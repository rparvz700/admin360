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dsummit-my.sharepoint.com/personal/zahed_ibrahim_summitcommunications_net/Documents/Desktop/"/>
    </mc:Choice>
  </mc:AlternateContent>
  <xr:revisionPtr revIDLastSave="0" documentId="8_{10CBB73F-30FA-4E8E-B359-E07CB29421BD}" xr6:coauthVersionLast="47" xr6:coauthVersionMax="47" xr10:uidLastSave="{00000000-0000-0000-0000-000000000000}"/>
  <bookViews>
    <workbookView xWindow="28680" yWindow="-120" windowWidth="29040" windowHeight="15720" xr2:uid="{C98EFCB0-784C-4F13-A43A-1DA951ED6945}"/>
  </bookViews>
  <sheets>
    <sheet name="2284" sheetId="1" r:id="rId1"/>
  </sheets>
  <externalReferences>
    <externalReference r:id="rId2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\C" localSheetId="0">#REF!</definedName>
    <definedName name="\C">#REF!</definedName>
    <definedName name="\D" localSheetId="0">#REF!</definedName>
    <definedName name="\D">#REF!</definedName>
    <definedName name="\p">#N/A</definedName>
    <definedName name="\q">#N/A</definedName>
    <definedName name="\s">#N/A</definedName>
    <definedName name="\z">#N/A</definedName>
    <definedName name="__123Graph_A" hidden="1">#REF!</definedName>
    <definedName name="__123Graph_B" hidden="1">#REF!</definedName>
    <definedName name="__123Graph_X" hidden="1">#REF!</definedName>
    <definedName name="__tam2" localSheetId="0">#REF!</definedName>
    <definedName name="__tam2">#REF!</definedName>
    <definedName name="__tdt6" localSheetId="0">#REF!</definedName>
    <definedName name="__tdt6">#REF!</definedName>
    <definedName name="__TXT1" localSheetId="0">#REF!</definedName>
    <definedName name="__TXT1">#REF!</definedName>
    <definedName name="__TXT2" localSheetId="0">#REF!</definedName>
    <definedName name="__TXT2">#REF!</definedName>
    <definedName name="__TXT21" localSheetId="0">#REF!</definedName>
    <definedName name="__TXT21">#REF!</definedName>
    <definedName name="__TXT22" localSheetId="0">#REF!</definedName>
    <definedName name="__TXT22">#REF!</definedName>
    <definedName name="__TXT3" localSheetId="0">#REF!</definedName>
    <definedName name="__TXT3">#REF!</definedName>
    <definedName name="_1_2004_SA" localSheetId="0">#REF!</definedName>
    <definedName name="_1_2004_SA">#REF!</definedName>
    <definedName name="_bUD2004" localSheetId="0">#REF!</definedName>
    <definedName name="_bUD2004">#REF!</definedName>
    <definedName name="_bUD2005" localSheetId="0">#REF!</definedName>
    <definedName name="_bUD2005">#REF!</definedName>
    <definedName name="_Fill" localSheetId="0" hidden="1">#REF!</definedName>
    <definedName name="_Fill" hidden="1">#REF!</definedName>
    <definedName name="_ISE3" localSheetId="0">#REF!</definedName>
    <definedName name="_ISE3">#REF!</definedName>
    <definedName name="_ISR2" localSheetId="0">#REF!</definedName>
    <definedName name="_ISR2">#REF!</definedName>
    <definedName name="_tam2" localSheetId="0">#REF!</definedName>
    <definedName name="_tam2">#REF!</definedName>
    <definedName name="_tdt6" localSheetId="0">#REF!</definedName>
    <definedName name="_tdt6">#REF!</definedName>
    <definedName name="_TXT1" localSheetId="0">#REF!</definedName>
    <definedName name="_TXT1">#REF!</definedName>
    <definedName name="_TXT2" localSheetId="0">#REF!</definedName>
    <definedName name="_TXT2">#REF!</definedName>
    <definedName name="_TXT21" localSheetId="0">#REF!</definedName>
    <definedName name="_TXT21">#REF!</definedName>
    <definedName name="_TXT22" localSheetId="0">#REF!</definedName>
    <definedName name="_TXT22">#REF!</definedName>
    <definedName name="_TXT3" localSheetId="0">#REF!</definedName>
    <definedName name="_TXT3">#REF!</definedName>
    <definedName name="aa" localSheetId="0">#REF!</definedName>
    <definedName name="aa">#REF!</definedName>
    <definedName name="AAA" localSheetId="0">#REF!</definedName>
    <definedName name="AAA">#REF!</definedName>
    <definedName name="aaaaa" localSheetId="0">#REF!</definedName>
    <definedName name="aaaaa">#REF!</definedName>
    <definedName name="aaaaaaaa" localSheetId="0">#REF!</definedName>
    <definedName name="aaaaaaaa">#REF!</definedName>
    <definedName name="abc">#REF!</definedName>
    <definedName name="abcd">#REF!</definedName>
    <definedName name="Account" localSheetId="0">#REF!</definedName>
    <definedName name="Account">#REF!</definedName>
    <definedName name="acct">#REF!</definedName>
    <definedName name="Actual_month">#REF!</definedName>
    <definedName name="Actual_ytd">#REF!</definedName>
    <definedName name="Address" localSheetId="0">#REF!</definedName>
    <definedName name="Address">#REF!</definedName>
    <definedName name="adew" localSheetId="0">#REF!</definedName>
    <definedName name="adew">#REF!</definedName>
    <definedName name="adfadf">#REF!</definedName>
    <definedName name="adfd">#REF!</definedName>
    <definedName name="adfdfd">#REF!</definedName>
    <definedName name="Admin_Budget" localSheetId="0">#REF!</definedName>
    <definedName name="Admin_Budget">#REF!</definedName>
    <definedName name="Administration" localSheetId="0">#REF!</definedName>
    <definedName name="Administration">#REF!</definedName>
    <definedName name="AIT" localSheetId="0">#REF!</definedName>
    <definedName name="AIT">#REF!</definedName>
    <definedName name="Användare" localSheetId="0">#REF!</definedName>
    <definedName name="Användare">#REF!</definedName>
    <definedName name="AP" localSheetId="0">#REF!</definedName>
    <definedName name="AP">#REF!</definedName>
    <definedName name="APGGAM" localSheetId="0">#REF!</definedName>
    <definedName name="APGGAM">#REF!</definedName>
    <definedName name="APOAM" localSheetId="0">#REF!</definedName>
    <definedName name="APOAM">#REF!</definedName>
    <definedName name="App" localSheetId="0">#REF!</definedName>
    <definedName name="App">#REF!</definedName>
    <definedName name="ARAP" localSheetId="0">#REF!</definedName>
    <definedName name="ARAP">#REF!</definedName>
    <definedName name="ASA" localSheetId="0">#REF!</definedName>
    <definedName name="ASA">#REF!</definedName>
    <definedName name="asdff">#REF!</definedName>
    <definedName name="ass">#REF!</definedName>
    <definedName name="Aug" localSheetId="0">#REF!</definedName>
    <definedName name="Aug">#REF!</definedName>
    <definedName name="AutoINS" localSheetId="0">#REF!</definedName>
    <definedName name="AutoINS">#REF!</definedName>
    <definedName name="Automation" localSheetId="0">#REF!</definedName>
    <definedName name="Automation">#REF!</definedName>
    <definedName name="avi" localSheetId="0">#REF!</definedName>
    <definedName name="avi">#REF!</definedName>
    <definedName name="bcrt4">#REF!</definedName>
    <definedName name="bonus" localSheetId="0">#REF!</definedName>
    <definedName name="bonus">#REF!</definedName>
    <definedName name="bp" localSheetId="0">#REF!</definedName>
    <definedName name="bp">#REF!</definedName>
    <definedName name="Budget_month">#REF!</definedName>
    <definedName name="Budget_ytd">#REF!</definedName>
    <definedName name="CAPEX_Scenario" localSheetId="0">#REF!</definedName>
    <definedName name="CAPEX_Scenario">#REF!</definedName>
    <definedName name="Cash">#REF!</definedName>
    <definedName name="City" localSheetId="0">#REF!</definedName>
    <definedName name="City">#REF!</definedName>
    <definedName name="colonne" localSheetId="0">#REF!</definedName>
    <definedName name="colonne">#REF!</definedName>
    <definedName name="Comp_list" localSheetId="0">#REF!</definedName>
    <definedName name="Comp_list">#REF!</definedName>
    <definedName name="companies">#REF!</definedName>
    <definedName name="Company_Code">#REF!</definedName>
    <definedName name="Company_Name">#REF!</definedName>
    <definedName name="Computation" localSheetId="0">#REF!</definedName>
    <definedName name="Computation">#REF!</definedName>
    <definedName name="Country" localSheetId="0">#REF!</definedName>
    <definedName name="Country">#REF!</definedName>
    <definedName name="CPF">#REF!</definedName>
    <definedName name="_xlnm.Criteria" localSheetId="0">#REF!</definedName>
    <definedName name="_xlnm.Criteria">#REF!</definedName>
    <definedName name="CSM" localSheetId="0">#REF!</definedName>
    <definedName name="CSM">#REF!</definedName>
    <definedName name="CSSMAP" localSheetId="0">#REF!</definedName>
    <definedName name="CSSMAP">#REF!</definedName>
    <definedName name="CurntPeriod">#REF!</definedName>
    <definedName name="Currency">#REF!</definedName>
    <definedName name="currency.tax">#REF!</definedName>
    <definedName name="CUSNO" localSheetId="0">#REF!</definedName>
    <definedName name="CUSNO">#REF!</definedName>
    <definedName name="CustSat">#REF!</definedName>
    <definedName name="d" localSheetId="0">#REF!</definedName>
    <definedName name="d">#REF!</definedName>
    <definedName name="DATAPAGE" localSheetId="0">#REF!</definedName>
    <definedName name="DATAPAGE">#REF!</definedName>
    <definedName name="Datatabell" localSheetId="0">#REF!</definedName>
    <definedName name="Datatabell">#REF!</definedName>
    <definedName name="Date" localSheetId="0">#REF!</definedName>
    <definedName name="Date">#REF!</definedName>
    <definedName name="date_écriture" localSheetId="0">#REF!</definedName>
    <definedName name="date_écriture">#REF!</definedName>
    <definedName name="date_od" localSheetId="0">#REF!</definedName>
    <definedName name="date_od">#REF!</definedName>
    <definedName name="date_réversible" localSheetId="0">#REF!</definedName>
    <definedName name="date_réversible">#REF!</definedName>
    <definedName name="dd" localSheetId="0">#REF!</definedName>
    <definedName name="dd">#REF!</definedName>
    <definedName name="dddd" localSheetId="0">#REF!</definedName>
    <definedName name="dddd">#REF!</definedName>
    <definedName name="DDDDDDDDDDD" localSheetId="0">#REF!</definedName>
    <definedName name="DDDDDDDDDDD">#REF!</definedName>
    <definedName name="DEBTOAUT">#REF!</definedName>
    <definedName name="DEBTOHOL">#REF!</definedName>
    <definedName name="dec">#REF!</definedName>
    <definedName name="dedw" localSheetId="0">#REF!</definedName>
    <definedName name="dedw">#REF!</definedName>
    <definedName name="depalloc" localSheetId="0">#REF!</definedName>
    <definedName name="depalloc">#REF!</definedName>
    <definedName name="DEPREC" localSheetId="0">#REF!</definedName>
    <definedName name="DEPREC">#REF!</definedName>
    <definedName name="dept">#REF!</definedName>
    <definedName name="dfltipf">#REF!</definedName>
    <definedName name="DRSEAP" localSheetId="0">#REF!</definedName>
    <definedName name="DRSEAP">#REF!</definedName>
    <definedName name="dsdd">#REF!</definedName>
    <definedName name="DTDUY">#REF!</definedName>
    <definedName name="DTHANH">#REF!</definedName>
    <definedName name="DTHIEU">#REF!</definedName>
    <definedName name="DTPHUNG">#REF!</definedName>
    <definedName name="DTPKD">#REF!</definedName>
    <definedName name="dwd" localSheetId="0">#REF!</definedName>
    <definedName name="dwd">#REF!</definedName>
    <definedName name="EFFINS" localSheetId="0">#REF!</definedName>
    <definedName name="EFFINS">#REF!</definedName>
    <definedName name="EFixFitt" localSheetId="0">#REF!</definedName>
    <definedName name="EFixFitt">#REF!</definedName>
    <definedName name="EgenRappPath" localSheetId="0">#REF!</definedName>
    <definedName name="EgenRappPath">#REF!</definedName>
    <definedName name="EMEA" localSheetId="0">#REF!</definedName>
    <definedName name="EMEA">#REF!</definedName>
    <definedName name="entity">#REF!</definedName>
    <definedName name="Equip1" localSheetId="0">#REF!</definedName>
    <definedName name="Equip1">#REF!</definedName>
    <definedName name="EquipINS" localSheetId="0">#REF!</definedName>
    <definedName name="EquipINS">#REF!</definedName>
    <definedName name="EV__EVCOM_OPTIONS__" hidden="1">8</definedName>
    <definedName name="EV__EXPOPTIONS__" hidden="1">1</definedName>
    <definedName name="EV__LASTREFTIME__" hidden="1">40023.3824652777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134217732</definedName>
    <definedName name="EV__WBVERSION__" hidden="1">0</definedName>
    <definedName name="EVDRE_Input_A1">0</definedName>
    <definedName name="EVDRE_Sheet1_A1">0</definedName>
    <definedName name="_xlnm.Extract" localSheetId="0">#REF!</definedName>
    <definedName name="_xlnm.Extract">#REF!</definedName>
    <definedName name="F.summ" localSheetId="0">#REF!</definedName>
    <definedName name="F.summ">#REF!</definedName>
    <definedName name="Flag_LU" localSheetId="0">#REF!</definedName>
    <definedName name="Flag_LU">#REF!</definedName>
    <definedName name="Flood" localSheetId="0">#REF!</definedName>
    <definedName name="Flood">#REF!</definedName>
    <definedName name="Footer" localSheetId="0">#REF!</definedName>
    <definedName name="Footer">#REF!</definedName>
    <definedName name="Forecast_2000">#REF!</definedName>
    <definedName name="FOtherAxes" localSheetId="0">#REF!</definedName>
    <definedName name="FOtherAxes">#REF!</definedName>
    <definedName name="FurFixINS" localSheetId="0">#REF!</definedName>
    <definedName name="FurFixINS">#REF!</definedName>
    <definedName name="FurnFix1" localSheetId="0">#REF!</definedName>
    <definedName name="FurnFix1">#REF!</definedName>
    <definedName name="gh">#REF!</definedName>
    <definedName name="GSMAP" localSheetId="0">#REF!</definedName>
    <definedName name="GSMAP">#REF!</definedName>
    <definedName name="H._Resource" localSheetId="0">#REF!</definedName>
    <definedName name="H._Resource">#REF!</definedName>
    <definedName name="HASAN" localSheetId="0">#REF!</definedName>
    <definedName name="HASAN">#REF!</definedName>
    <definedName name="HDate" localSheetId="0">#REF!</definedName>
    <definedName name="HDate">#REF!</definedName>
    <definedName name="HTML_CodePage" hidden="1">1252</definedName>
    <definedName name="HTML_Control" localSheetId="0" hidden="1">{"'Market &amp; Company Profile'!$H$24:$I$25"}</definedName>
    <definedName name="HTML_Control" hidden="1">{"'Market &amp; Company Profile'!$H$24:$I$25"}</definedName>
    <definedName name="HTML_Control_1" localSheetId="0" hidden="1">{"'Market &amp; Company Profile'!$H$24:$I$25"}</definedName>
    <definedName name="HTML_Control_1" hidden="1">{"'Market &amp; Company Profile'!$H$24:$I$25"}</definedName>
    <definedName name="HTML_Description" hidden="1">""</definedName>
    <definedName name="HTML_Email" hidden="1">""</definedName>
    <definedName name="HTML_Header" hidden="1">"Market &amp; Company Profile"</definedName>
    <definedName name="HTML_LastUpdate" hidden="1">"25.01.01"</definedName>
    <definedName name="HTML_LineAfter" hidden="1">FALSE</definedName>
    <definedName name="HTML_LineBefore" hidden="1">FALSE</definedName>
    <definedName name="HTML_Name" hidden="1">"Arthur Andersen"</definedName>
    <definedName name="HTML_OBDlg2" hidden="1">TRUE</definedName>
    <definedName name="HTML_OBDlg4" hidden="1">TRUE</definedName>
    <definedName name="HTML_OS" hidden="1">0</definedName>
    <definedName name="HTML_PathFile" hidden="1">"C:\DATA\Aurora II\Design\Input\Actual\MyHTML.htm"</definedName>
    <definedName name="HTML_Title" hidden="1">"010124 (EndeligReportPackagesMarket)v"</definedName>
    <definedName name="Human_Resource" localSheetId="0">#REF!</definedName>
    <definedName name="Human_Resource">#REF!</definedName>
    <definedName name="HYP_2OP" localSheetId="0">#REF!</definedName>
    <definedName name="HYP_2OP">#REF!</definedName>
    <definedName name="HYP_2OP_PLCNO">#REF!</definedName>
    <definedName name="ICX" localSheetId="0">#REF!</definedName>
    <definedName name="ICX">#REF!</definedName>
    <definedName name="IGM" localSheetId="0">#REF!</definedName>
    <definedName name="IGM">#REF!</definedName>
    <definedName name="IIG" localSheetId="0">#REF!</definedName>
    <definedName name="IIG">#REF!</definedName>
    <definedName name="iii" localSheetId="0">#REF!</definedName>
    <definedName name="iii">#REF!</definedName>
    <definedName name="Infor_technology" localSheetId="0">#REF!</definedName>
    <definedName name="Infor_technology">#REF!</definedName>
    <definedName name="Information_Technology" localSheetId="0">#REF!</definedName>
    <definedName name="Information_Technology">#REF!</definedName>
    <definedName name="Interest_basis" localSheetId="0">#REF!</definedName>
    <definedName name="Interest_basis">#REF!</definedName>
    <definedName name="Interest_copy" localSheetId="0">#REF!</definedName>
    <definedName name="Interest_copy">#REF!</definedName>
    <definedName name="InvalidCombos">#REF!</definedName>
    <definedName name="ISETL" localSheetId="0">#REF!</definedName>
    <definedName name="ISETL">#REF!</definedName>
    <definedName name="ISMAP" localSheetId="0">#REF!</definedName>
    <definedName name="ISMAP">#REF!</definedName>
    <definedName name="ISRAP" localSheetId="0">#REF!</definedName>
    <definedName name="ISRAP">#REF!</definedName>
    <definedName name="ITC" localSheetId="0">#REF!</definedName>
    <definedName name="ITC">#REF!</definedName>
    <definedName name="jj" localSheetId="0">#REF!</definedName>
    <definedName name="jj">#REF!</definedName>
    <definedName name="JJJUJ">#REF!</definedName>
    <definedName name="Journal_Details">#REF!</definedName>
    <definedName name="kbl" localSheetId="0">#REF!</definedName>
    <definedName name="kbl">#REF!</definedName>
    <definedName name="kdfløs" localSheetId="0">#REF!</definedName>
    <definedName name="kdfløs">#REF!</definedName>
    <definedName name="Khalil" localSheetId="0">#REF!</definedName>
    <definedName name="Khalil">#REF!</definedName>
    <definedName name="kkkkkk">#REF!</definedName>
    <definedName name="lease" localSheetId="0">#REF!</definedName>
    <definedName name="lease">#REF!</definedName>
    <definedName name="légende_diverses" localSheetId="0">#REF!</definedName>
    <definedName name="légende_diverses">#REF!</definedName>
    <definedName name="libelle_écriture" localSheetId="0">#REF!</definedName>
    <definedName name="libelle_écriture">#REF!</definedName>
    <definedName name="LINE01" localSheetId="0">#REF!</definedName>
    <definedName name="LINE01">#REF!</definedName>
    <definedName name="LINE02" localSheetId="0">#REF!</definedName>
    <definedName name="LINE02">#REF!</definedName>
    <definedName name="LINE03" localSheetId="0">#REF!</definedName>
    <definedName name="LINE03">#REF!</definedName>
    <definedName name="LINE04" localSheetId="0">#REF!</definedName>
    <definedName name="LINE04">#REF!</definedName>
    <definedName name="LINE05" localSheetId="0">#REF!</definedName>
    <definedName name="LINE05">#REF!</definedName>
    <definedName name="LINE06" localSheetId="0">#REF!</definedName>
    <definedName name="LINE06">#REF!</definedName>
    <definedName name="LINE07" localSheetId="0">#REF!</definedName>
    <definedName name="LINE07">#REF!</definedName>
    <definedName name="LINE08" localSheetId="0">#REF!</definedName>
    <definedName name="LINE08">#REF!</definedName>
    <definedName name="LINE09" localSheetId="0">#REF!</definedName>
    <definedName name="LINE09">#REF!</definedName>
    <definedName name="LINE10" localSheetId="0">#REF!</definedName>
    <definedName name="LINE10">#REF!</definedName>
    <definedName name="LINE11" localSheetId="0">#REF!</definedName>
    <definedName name="LINE11">#REF!</definedName>
    <definedName name="LINE12" localSheetId="0">#REF!</definedName>
    <definedName name="LINE12">#REF!</definedName>
    <definedName name="LINE13" localSheetId="0">#REF!</definedName>
    <definedName name="LINE13">#REF!</definedName>
    <definedName name="LINE14" localSheetId="0">#REF!</definedName>
    <definedName name="LINE14">#REF!</definedName>
    <definedName name="LINE15" localSheetId="0">#REF!</definedName>
    <definedName name="LINE15">#REF!</definedName>
    <definedName name="LINE16" localSheetId="0">#REF!</definedName>
    <definedName name="LINE16">#REF!</definedName>
    <definedName name="LINE17" localSheetId="0">#REF!</definedName>
    <definedName name="LINE17">#REF!</definedName>
    <definedName name="LINE18" localSheetId="0">#REF!</definedName>
    <definedName name="LINE18">#REF!</definedName>
    <definedName name="LINE19" localSheetId="0">#REF!</definedName>
    <definedName name="LINE19">#REF!</definedName>
    <definedName name="LINE20" localSheetId="0">#REF!</definedName>
    <definedName name="LINE20">#REF!</definedName>
    <definedName name="LINE21" localSheetId="0">#REF!</definedName>
    <definedName name="LINE21">#REF!</definedName>
    <definedName name="LINE22" localSheetId="0">#REF!</definedName>
    <definedName name="LINE22">#REF!</definedName>
    <definedName name="LINE23" localSheetId="0">#REF!</definedName>
    <definedName name="LINE23">#REF!</definedName>
    <definedName name="LINE24" localSheetId="0">#REF!</definedName>
    <definedName name="LINE24">#REF!</definedName>
    <definedName name="LINE25" localSheetId="0">#REF!</definedName>
    <definedName name="LINE25">#REF!</definedName>
    <definedName name="LINE26" localSheetId="0">#REF!</definedName>
    <definedName name="LINE26">#REF!</definedName>
    <definedName name="LINE27" localSheetId="0">#REF!</definedName>
    <definedName name="LINE27">#REF!</definedName>
    <definedName name="LINE28" localSheetId="0">#REF!</definedName>
    <definedName name="LINE28">#REF!</definedName>
    <definedName name="LINE29" localSheetId="0">#REF!</definedName>
    <definedName name="LINE29">#REF!</definedName>
    <definedName name="LINE30" localSheetId="0">#REF!</definedName>
    <definedName name="LINE30">#REF!</definedName>
    <definedName name="LINE31" localSheetId="0">#REF!</definedName>
    <definedName name="LINE31">#REF!</definedName>
    <definedName name="LINE32" localSheetId="0">#REF!</definedName>
    <definedName name="LINE32">#REF!</definedName>
    <definedName name="LINE33" localSheetId="0">#REF!</definedName>
    <definedName name="LINE33">#REF!</definedName>
    <definedName name="LINE34" localSheetId="0">#REF!</definedName>
    <definedName name="LINE34">#REF!</definedName>
    <definedName name="LINE35" localSheetId="0">#REF!</definedName>
    <definedName name="LINE35">#REF!</definedName>
    <definedName name="LINE36" localSheetId="0">#REF!</definedName>
    <definedName name="LINE36">#REF!</definedName>
    <definedName name="LINE37" localSheetId="0">#REF!</definedName>
    <definedName name="LINE37">#REF!</definedName>
    <definedName name="LINE38" localSheetId="0">#REF!</definedName>
    <definedName name="LINE38">#REF!</definedName>
    <definedName name="LINE39" localSheetId="0">#REF!</definedName>
    <definedName name="LINE39">#REF!</definedName>
    <definedName name="LINE40" localSheetId="0">#REF!</definedName>
    <definedName name="LINE40">#REF!</definedName>
    <definedName name="LINE41" localSheetId="0">#REF!</definedName>
    <definedName name="LINE41">#REF!</definedName>
    <definedName name="LINE42" localSheetId="0">#REF!</definedName>
    <definedName name="LINE42">#REF!</definedName>
    <definedName name="LINE43" localSheetId="0">#REF!</definedName>
    <definedName name="LINE43">#REF!</definedName>
    <definedName name="LINE44" localSheetId="0">#REF!</definedName>
    <definedName name="LINE44">#REF!</definedName>
    <definedName name="LINE45" localSheetId="0">#REF!</definedName>
    <definedName name="LINE45">#REF!</definedName>
    <definedName name="LINE46" localSheetId="0">#REF!</definedName>
    <definedName name="LINE46">#REF!</definedName>
    <definedName name="LKHH" localSheetId="0">#REF!</definedName>
    <definedName name="LKHH">#REF!</definedName>
    <definedName name="lll" localSheetId="0">#REF!</definedName>
    <definedName name="lll">#REF!</definedName>
    <definedName name="loi" localSheetId="0">#REF!</definedName>
    <definedName name="loi">#REF!</definedName>
    <definedName name="Lookup">OFFSET(#REF!,0,0,COUNTA(#REF!),2)</definedName>
    <definedName name="Lösenord" localSheetId="0">#REF!</definedName>
    <definedName name="Lösenord">#REF!</definedName>
    <definedName name="m" localSheetId="0">#REF!</definedName>
    <definedName name="m">#REF!</definedName>
    <definedName name="man" localSheetId="0">#REF!</definedName>
    <definedName name="man">#REF!</definedName>
    <definedName name="MEWarning" hidden="1">1</definedName>
    <definedName name="MIAC" localSheetId="0">#REF!</definedName>
    <definedName name="MIAC">#REF!</definedName>
    <definedName name="MMK" localSheetId="0" hidden="1">#REF!</definedName>
    <definedName name="MMK" hidden="1">#REF!</definedName>
    <definedName name="MODEL" localSheetId="0">#REF!</definedName>
    <definedName name="MODEL">#REF!</definedName>
    <definedName name="mois_réf" localSheetId="0">#REF!</definedName>
    <definedName name="mois_réf">#REF!</definedName>
    <definedName name="Mois_tva" localSheetId="0">#REF!</definedName>
    <definedName name="Mois_tva">#REF!</definedName>
    <definedName name="MONJU" localSheetId="0">#REF!</definedName>
    <definedName name="MONJU">#REF!</definedName>
    <definedName name="Month" localSheetId="0">#REF!</definedName>
    <definedName name="Month">#REF!</definedName>
    <definedName name="Month_3">#REF!</definedName>
    <definedName name="mthname">#REF!</definedName>
    <definedName name="N">#REF!</definedName>
    <definedName name="N15.1" localSheetId="0">#REF!</definedName>
    <definedName name="N15.1">#REF!</definedName>
    <definedName name="Name" localSheetId="0">#REF!</definedName>
    <definedName name="Name">#REF!</definedName>
    <definedName name="nbre_ligne" localSheetId="0">#REF!</definedName>
    <definedName name="nbre_ligne">#REF!</definedName>
    <definedName name="NetProfit" localSheetId="0">#REF!</definedName>
    <definedName name="NetProfit">#REF!</definedName>
    <definedName name="nn" localSheetId="0">#REF!</definedName>
    <definedName name="nn">#REF!</definedName>
    <definedName name="NN15.1" localSheetId="0">#REF!</definedName>
    <definedName name="NN15.1">#REF!</definedName>
    <definedName name="nnn" localSheetId="0">#REF!</definedName>
    <definedName name="nnn">#REF!</definedName>
    <definedName name="NoInput" localSheetId="0">#REF!</definedName>
    <definedName name="NoInput">#REF!</definedName>
    <definedName name="NSEAP" localSheetId="0">#REF!</definedName>
    <definedName name="NSEAP">#REF!</definedName>
    <definedName name="NTTN" localSheetId="0">#REF!</definedName>
    <definedName name="NTTN">#REF!</definedName>
    <definedName name="num_écriture" localSheetId="0">#REF!</definedName>
    <definedName name="num_écriture">#REF!</definedName>
    <definedName name="num_réversible" localSheetId="0">#REF!</definedName>
    <definedName name="num_réversible">#REF!</definedName>
    <definedName name="Oct">#REF!</definedName>
    <definedName name="ooo" localSheetId="0">#REF!</definedName>
    <definedName name="ooo">#REF!</definedName>
    <definedName name="optOd1">"OptOD1"</definedName>
    <definedName name="optod2">"OptOd2"</definedName>
    <definedName name="p" localSheetId="0">#REF!</definedName>
    <definedName name="p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4" localSheetId="0">#REF!</definedName>
    <definedName name="Page4">#REF!</definedName>
    <definedName name="Page5" localSheetId="0">#REF!</definedName>
    <definedName name="Page5">#REF!</definedName>
    <definedName name="PasteValidation" localSheetId="0">#REF!</definedName>
    <definedName name="PasteValidation">#REF!</definedName>
    <definedName name="pay">#REF!</definedName>
    <definedName name="Period">#REF!</definedName>
    <definedName name="Period.To">#REF!</definedName>
    <definedName name="PeriodsInYear" localSheetId="0">#REF!</definedName>
    <definedName name="PeriodsInYear">#REF!</definedName>
    <definedName name="PISRAP" localSheetId="0">#REF!</definedName>
    <definedName name="PISRAP">#REF!</definedName>
    <definedName name="PlantMachinery" localSheetId="0">#REF!</definedName>
    <definedName name="PlantMachinery">#REF!</definedName>
    <definedName name="plcno">#REF!</definedName>
    <definedName name="Plcno_adj">#REF!</definedName>
    <definedName name="Plcno_NetProfit" localSheetId="0">#REF!</definedName>
    <definedName name="Plcno_NetProfit">#REF!</definedName>
    <definedName name="Plcno1BAS">#REF!</definedName>
    <definedName name="PMINS" localSheetId="0">#REF!</definedName>
    <definedName name="PMINS">#REF!</definedName>
    <definedName name="Policy" localSheetId="0">#REF!</definedName>
    <definedName name="Policy">#REF!</definedName>
    <definedName name="PPE" localSheetId="0">#REF!</definedName>
    <definedName name="PPE">#REF!</definedName>
    <definedName name="PPP">#REF!</definedName>
    <definedName name="PPPP" localSheetId="0">#REF!</definedName>
    <definedName name="PPPP">#REF!</definedName>
    <definedName name="PR" localSheetId="0">#REF!</definedName>
    <definedName name="PR">#REF!</definedName>
    <definedName name="Prince" localSheetId="0">#REF!</definedName>
    <definedName name="Prince">#REF!</definedName>
    <definedName name="_xlnm.Print_Area" localSheetId="0">'2284'!$A$2:$DT$63</definedName>
    <definedName name="_xlnm.Print_Area">#REF!</definedName>
    <definedName name="Print_Area_MI" localSheetId="0">#REF!</definedName>
    <definedName name="Print_Area_MI">#REF!</definedName>
    <definedName name="_xlnm.Print_Titles" localSheetId="0">'2284'!$A:$E,'2284'!$1:$38</definedName>
    <definedName name="_xlnm.Print_Titles">#N/A</definedName>
    <definedName name="Print_Titles_MI" localSheetId="0">#REF!</definedName>
    <definedName name="Print_Titles_MI">#REF!</definedName>
    <definedName name="proforma" localSheetId="0">#REF!</definedName>
    <definedName name="proforma">#REF!</definedName>
    <definedName name="PU" localSheetId="0">#REF!</definedName>
    <definedName name="PU">#REF!</definedName>
    <definedName name="Purpose" localSheetId="0">#REF!</definedName>
    <definedName name="Purpose">#REF!</definedName>
    <definedName name="qTY" localSheetId="0">#REF!</definedName>
    <definedName name="qTY">#REF!</definedName>
    <definedName name="qwqw">#REF!</definedName>
    <definedName name="R_ICX" localSheetId="0">#REF!</definedName>
    <definedName name="R_ICX">#REF!</definedName>
    <definedName name="R_IIG" localSheetId="0">#REF!</definedName>
    <definedName name="R_IIG">#REF!</definedName>
    <definedName name="R_ITC" localSheetId="0">#REF!</definedName>
    <definedName name="R_ITC">#REF!</definedName>
    <definedName name="R_NTTN" localSheetId="0">#REF!</definedName>
    <definedName name="R_NTTN">#REF!</definedName>
    <definedName name="RapportTyp" localSheetId="0">#REF!</definedName>
    <definedName name="RapportTyp">#REF!</definedName>
    <definedName name="rase" localSheetId="0" hidden="1">{"PAGE1",#N/A,FALSE,"BSN4";"PAGE2",#N/A,FALSE,"BSN4";"PAGE3",#N/A,FALSE,"BSN4"}</definedName>
    <definedName name="rase" hidden="1">{"PAGE1",#N/A,FALSE,"BSN4";"PAGE2",#N/A,FALSE,"BSN4";"PAGE3",#N/A,FALSE,"BSN4"}</definedName>
    <definedName name="rateact93" localSheetId="0">#REF!</definedName>
    <definedName name="rateact93">#REF!</definedName>
    <definedName name="rateact94" localSheetId="0">#REF!</definedName>
    <definedName name="rateact94">#REF!</definedName>
    <definedName name="ratebud94" localSheetId="0">#REF!</definedName>
    <definedName name="ratebud94">#REF!</definedName>
    <definedName name="rdg">#REF!</definedName>
    <definedName name="RECON_AS_ON_DT">#REF!</definedName>
    <definedName name="rectification" localSheetId="0">#REF!</definedName>
    <definedName name="rectification">#REF!</definedName>
    <definedName name="reducing" localSheetId="0">#REF!</definedName>
    <definedName name="reducing">#REF!</definedName>
    <definedName name="réversible" localSheetId="0">#REF!</definedName>
    <definedName name="réversible">#REF!</definedName>
    <definedName name="Road" localSheetId="0">#REF!</definedName>
    <definedName name="Road">#REF!</definedName>
    <definedName name="ROUGH" localSheetId="0">#REF!</definedName>
    <definedName name="ROUGH">#REF!</definedName>
    <definedName name="Ruhul">#REF!</definedName>
    <definedName name="sầd">#REF!</definedName>
    <definedName name="salecode" localSheetId="0">#REF!</definedName>
    <definedName name="salecode">#REF!</definedName>
    <definedName name="Samples" localSheetId="0">#REF!</definedName>
    <definedName name="Samples">#REF!</definedName>
    <definedName name="SAPBEXdnldView" hidden="1">"4NFBTXDRHKKNDLI55HCMPOANZ"</definedName>
    <definedName name="SAPBEXsysID" hidden="1">"BW1"</definedName>
    <definedName name="SCSPAP" localSheetId="0">#REF!</definedName>
    <definedName name="SCSPAP">#REF!</definedName>
    <definedName name="SD" localSheetId="0">#REF!</definedName>
    <definedName name="SD">#REF!</definedName>
    <definedName name="Selection" localSheetId="0">OFFSET(#REF!,0,0,COUNTA(#REF!),1)</definedName>
    <definedName name="Selection">OFFSET(#REF!,0,0,COUNTA(#REF!),1)</definedName>
    <definedName name="SendDiffCell" localSheetId="0">#REF!</definedName>
    <definedName name="SendDiffCell">#REF!</definedName>
    <definedName name="sep" localSheetId="0">#REF!</definedName>
    <definedName name="sep">#REF!</definedName>
    <definedName name="September" localSheetId="0" hidden="1">#REF!</definedName>
    <definedName name="September" hidden="1">#REF!</definedName>
    <definedName name="Sheet1" localSheetId="0">#REF!</definedName>
    <definedName name="Sheet1">#REF!</definedName>
    <definedName name="SL.5" localSheetId="0">#REF!</definedName>
    <definedName name="SL.5">#REF!</definedName>
    <definedName name="Spec" localSheetId="0">#REF!</definedName>
    <definedName name="Spec">#REF!</definedName>
    <definedName name="ss" localSheetId="0">#REF!</definedName>
    <definedName name="ss">#REF!</definedName>
    <definedName name="startdate">#REF!</definedName>
    <definedName name="StartValidation" localSheetId="0">#REF!</definedName>
    <definedName name="StartValidation">#REF!</definedName>
    <definedName name="StatusCell">#REF!</definedName>
    <definedName name="SUMM" localSheetId="0">#REF!</definedName>
    <definedName name="SUMM">#REF!</definedName>
    <definedName name="T">#REF!</definedName>
    <definedName name="TableName" localSheetId="0">#REF!</definedName>
    <definedName name="TableName">#REF!</definedName>
    <definedName name="tam" localSheetId="0">#REF!</definedName>
    <definedName name="tam">#REF!</definedName>
    <definedName name="TandC">#REF!</definedName>
    <definedName name="tao">#REF!</definedName>
    <definedName name="taux" localSheetId="0">#REF!</definedName>
    <definedName name="taux">#REF!</definedName>
    <definedName name="Tax_Rates">#REF!</definedName>
    <definedName name="tb" localSheetId="0">#REF!</definedName>
    <definedName name="tb">#REF!</definedName>
    <definedName name="Tel" localSheetId="0">#REF!</definedName>
    <definedName name="Tel">#REF!</definedName>
    <definedName name="Tele" localSheetId="0">#REF!</definedName>
    <definedName name="Tele">#REF!</definedName>
    <definedName name="Telephone" localSheetId="0">#REF!</definedName>
    <definedName name="Telephone">#REF!</definedName>
    <definedName name="TEN.5" localSheetId="0">#REF!</definedName>
    <definedName name="TEN.5">#REF!</definedName>
    <definedName name="Tolerance" localSheetId="0">#REF!</definedName>
    <definedName name="Tolerance">#REF!</definedName>
    <definedName name="Total" localSheetId="0">#REF!</definedName>
    <definedName name="Total">#REF!</definedName>
    <definedName name="total_amady" localSheetId="0">#REF!</definedName>
    <definedName name="total_amady">#REF!</definedName>
    <definedName name="total_chalvet" localSheetId="0">#REF!</definedName>
    <definedName name="total_chalvet">#REF!</definedName>
    <definedName name="total_écriture" localSheetId="0">#REF!</definedName>
    <definedName name="total_écriture">#REF!</definedName>
    <definedName name="total_negre" localSheetId="0">#REF!</definedName>
    <definedName name="total_negre">#REF!</definedName>
    <definedName name="total_note_frais" localSheetId="0">#REF!</definedName>
    <definedName name="total_note_frais">#REF!</definedName>
    <definedName name="total_poupard" localSheetId="0">#REF!</definedName>
    <definedName name="total_poupard">#REF!</definedName>
    <definedName name="total_verh" localSheetId="0">#REF!</definedName>
    <definedName name="total_verh">#REF!</definedName>
    <definedName name="Traffic" localSheetId="0" hidden="1">{"'Market &amp; Company Profile'!$H$24:$I$25"}</definedName>
    <definedName name="Traffic" hidden="1">{"'Market &amp; Company Profile'!$H$24:$I$25"}</definedName>
    <definedName name="Traffic_1" localSheetId="0" hidden="1">{"'Market &amp; Company Profile'!$H$24:$I$25"}</definedName>
    <definedName name="Traffic_1" hidden="1">{"'Market &amp; Company Profile'!$H$24:$I$25"}</definedName>
    <definedName name="Transaction_Type">#REF!</definedName>
    <definedName name="TXT1" localSheetId="0">#REF!</definedName>
    <definedName name="TXT1">#REF!</definedName>
    <definedName name="TXT2" localSheetId="0">#REF!</definedName>
    <definedName name="TXT2">#REF!</definedName>
    <definedName name="TXT21" localSheetId="0">#REF!</definedName>
    <definedName name="TXT21">#REF!</definedName>
    <definedName name="TXT22" localSheetId="0">#REF!</definedName>
    <definedName name="TXT22">#REF!</definedName>
    <definedName name="TXT3" localSheetId="0">#REF!</definedName>
    <definedName name="TXT3">#REF!</definedName>
    <definedName name="TYPE" localSheetId="0">#REF!</definedName>
    <definedName name="TYPE">#REF!</definedName>
    <definedName name="V" localSheetId="0">#REF!</definedName>
    <definedName name="V">#REF!</definedName>
    <definedName name="val_lu" localSheetId="0">#REF!</definedName>
    <definedName name="val_lu">#REF!</definedName>
    <definedName name="Val1Cell" localSheetId="0">#REF!</definedName>
    <definedName name="Val1Cell">#REF!</definedName>
    <definedName name="VALUE" localSheetId="0">#REF!</definedName>
    <definedName name="VALUE">#REF!</definedName>
    <definedName name="vascode" localSheetId="0">#REF!</definedName>
    <definedName name="vascode">#REF!</definedName>
    <definedName name="VAT" localSheetId="0">#REF!</definedName>
    <definedName name="VAT">#REF!</definedName>
    <definedName name="VHH" localSheetId="0">#REF!</definedName>
    <definedName name="VHH">#REF!</definedName>
    <definedName name="VPAP" localSheetId="0">#REF!</definedName>
    <definedName name="VPAP">#REF!</definedName>
    <definedName name="w" localSheetId="0">#REF!</definedName>
    <definedName name="w">#REF!</definedName>
    <definedName name="WEFDWSE" localSheetId="0">#REF!</definedName>
    <definedName name="WEFDWSE">#REF!</definedName>
    <definedName name="wrn.BSN1." localSheetId="0" hidden="1">{"PAGE1",#N/A,FALSE,"BSN1";"PAGE2",#N/A,FALSE,"BSN1";"PAGE3",#N/A,FALSE,"BSN1";"PAGE4",#N/A,FALSE,"BSN1";"PAGE5",#N/A,FALSE,"BSN1";"PAGE6",#N/A,FALSE,"BSN1"}</definedName>
    <definedName name="wrn.BSN1." hidden="1">{"PAGE1",#N/A,FALSE,"BSN1";"PAGE2",#N/A,FALSE,"BSN1";"PAGE3",#N/A,FALSE,"BSN1";"PAGE4",#N/A,FALSE,"BSN1";"PAGE5",#N/A,FALSE,"BSN1";"PAGE6",#N/A,FALSE,"BSN1"}</definedName>
    <definedName name="wrn.BSN1._1" localSheetId="0" hidden="1">{"PAGE1",#N/A,FALSE,"BSN1";"PAGE2",#N/A,FALSE,"BSN1";"PAGE3",#N/A,FALSE,"BSN1";"PAGE4",#N/A,FALSE,"BSN1";"PAGE5",#N/A,FALSE,"BSN1";"PAGE6",#N/A,FALSE,"BSN1"}</definedName>
    <definedName name="wrn.BSN1._1" hidden="1">{"PAGE1",#N/A,FALSE,"BSN1";"PAGE2",#N/A,FALSE,"BSN1";"PAGE3",#N/A,FALSE,"BSN1";"PAGE4",#N/A,FALSE,"BSN1";"PAGE5",#N/A,FALSE,"BSN1";"PAGE6",#N/A,FALSE,"BSN1"}</definedName>
    <definedName name="wrn.BSN4." localSheetId="0" hidden="1">{"PAGE1",#N/A,FALSE,"BSN4";"PAGE2",#N/A,FALSE,"BSN4";"PAGE3",#N/A,FALSE,"BSN4"}</definedName>
    <definedName name="wrn.BSN4." hidden="1">{"PAGE1",#N/A,FALSE,"BSN4";"PAGE2",#N/A,FALSE,"BSN4";"PAGE3",#N/A,FALSE,"BSN4"}</definedName>
    <definedName name="wrn.BSN4._1" localSheetId="0" hidden="1">{"PAGE1",#N/A,FALSE,"BSN4";"PAGE2",#N/A,FALSE,"BSN4";"PAGE3",#N/A,FALSE,"BSN4"}</definedName>
    <definedName name="wrn.BSN4._1" hidden="1">{"PAGE1",#N/A,FALSE,"BSN4";"PAGE2",#N/A,FALSE,"BSN4";"PAGE3",#N/A,FALSE,"BSN4"}</definedName>
    <definedName name="wrn.CF." localSheetId="0" hidden="1">{"PAGE1",#N/A,FALSE,"CF";"PAGE2",#N/A,FALSE,"CF"}</definedName>
    <definedName name="wrn.CF." hidden="1">{"PAGE1",#N/A,FALSE,"CF";"PAGE2",#N/A,FALSE,"CF"}</definedName>
    <definedName name="wrn.CF._1" localSheetId="0" hidden="1">{"PAGE1",#N/A,FALSE,"CF";"PAGE2",#N/A,FALSE,"CF"}</definedName>
    <definedName name="wrn.CF._1" hidden="1">{"PAGE1",#N/A,FALSE,"CF";"PAGE2",#N/A,FALSE,"CF"}</definedName>
    <definedName name="wrn.PLN1." localSheetId="0" hidden="1">{"PAGE1",#N/A,FALSE,"PLN1";"PAGE2",#N/A,FALSE,"PLN1";"PAGE3",#N/A,FALSE,"PLN1"}</definedName>
    <definedName name="wrn.PLN1." hidden="1">{"PAGE1",#N/A,FALSE,"PLN1";"PAGE2",#N/A,FALSE,"PLN1";"PAGE3",#N/A,FALSE,"PLN1"}</definedName>
    <definedName name="wrn.PLN1._1" localSheetId="0" hidden="1">{"PAGE1",#N/A,FALSE,"PLN1";"PAGE2",#N/A,FALSE,"PLN1";"PAGE3",#N/A,FALSE,"PLN1"}</definedName>
    <definedName name="wrn.PLN1._1" hidden="1">{"PAGE1",#N/A,FALSE,"PLN1";"PAGE2",#N/A,FALSE,"PLN1";"PAGE3",#N/A,FALSE,"PLN1"}</definedName>
    <definedName name="wsob1" localSheetId="0">#REF!</definedName>
    <definedName name="wsob1">#REF!</definedName>
    <definedName name="XX" localSheetId="0" hidden="1">#REF!</definedName>
    <definedName name="XX" hidden="1">#REF!</definedName>
    <definedName name="Year" localSheetId="0">#REF!</definedName>
    <definedName name="Year">#REF!</definedName>
    <definedName name="YTD1BAS">#REF!</definedName>
    <definedName name="YTD2OP">#REF!</definedName>
    <definedName name="YTD2OPADJ">#REF!</definedName>
    <definedName name="yuuuu" localSheetId="0">#REF!</definedName>
    <definedName name="yuuuu">#REF!</definedName>
    <definedName name="Zamal" localSheetId="0">#REF!</definedName>
    <definedName name="Zamal">#REF!</definedName>
    <definedName name="Zip" localSheetId="0">#REF!</definedName>
    <definedName name="Zi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2" i="1" l="1"/>
  <c r="G44" i="1" s="1"/>
  <c r="DT62" i="1"/>
  <c r="F44" i="1"/>
  <c r="F40" i="1"/>
  <c r="F41" i="1" s="1"/>
  <c r="E34" i="1"/>
  <c r="E21" i="1"/>
  <c r="E22" i="1" s="1"/>
  <c r="E23" i="1" s="1"/>
  <c r="E24" i="1" s="1"/>
  <c r="C17" i="1"/>
  <c r="E17" i="1" s="1"/>
  <c r="B12" i="1"/>
  <c r="C16" i="1" s="1"/>
  <c r="E16" i="1" s="1"/>
  <c r="C11" i="1"/>
  <c r="E10" i="1"/>
  <c r="E8" i="1"/>
  <c r="E6" i="1"/>
  <c r="F46" i="1" l="1"/>
  <c r="G61" i="1"/>
  <c r="G63" i="1" s="1"/>
  <c r="H61" i="1" s="1"/>
  <c r="EH42" i="1"/>
  <c r="DZ42" i="1"/>
  <c r="DV42" i="1"/>
  <c r="ED42" i="1"/>
  <c r="EC42" i="1"/>
  <c r="EB42" i="1"/>
  <c r="G42" i="1"/>
  <c r="H42" i="1" s="1"/>
  <c r="DW42" i="1"/>
  <c r="EA42" i="1"/>
  <c r="DY42" i="1"/>
  <c r="DX42" i="1"/>
  <c r="EG42" i="1"/>
  <c r="F22" i="1"/>
  <c r="F23" i="1" s="1"/>
  <c r="F24" i="1" s="1"/>
  <c r="EF42" i="1"/>
  <c r="EH43" i="1"/>
  <c r="EF43" i="1"/>
  <c r="F43" i="1"/>
  <c r="DU42" i="1"/>
  <c r="EE42" i="1"/>
  <c r="G40" i="1"/>
  <c r="DY43" i="1" l="1"/>
  <c r="EE43" i="1"/>
  <c r="DU43" i="1"/>
  <c r="DU62" i="1"/>
  <c r="DX43" i="1"/>
  <c r="DX62" i="1"/>
  <c r="DW43" i="1"/>
  <c r="DW62" i="1"/>
  <c r="H62" i="1"/>
  <c r="H63" i="1" s="1"/>
  <c r="I61" i="1" s="1"/>
  <c r="EB43" i="1"/>
  <c r="EC43" i="1"/>
  <c r="EF62" i="1"/>
  <c r="EG62" i="1"/>
  <c r="ED43" i="1"/>
  <c r="G41" i="1"/>
  <c r="G39" i="1"/>
  <c r="EA41" i="1"/>
  <c r="EA62" i="1" s="1"/>
  <c r="EA40" i="1"/>
  <c r="DU41" i="1"/>
  <c r="DU40" i="1"/>
  <c r="H40" i="1"/>
  <c r="H41" i="1"/>
  <c r="EG40" i="1"/>
  <c r="EG41" i="1"/>
  <c r="DW40" i="1"/>
  <c r="DW41" i="1"/>
  <c r="ED40" i="1"/>
  <c r="ED41" i="1"/>
  <c r="ED62" i="1" s="1"/>
  <c r="DZ40" i="1"/>
  <c r="DZ41" i="1"/>
  <c r="DZ62" i="1" s="1"/>
  <c r="EH40" i="1"/>
  <c r="EH41" i="1"/>
  <c r="EH62" i="1" s="1"/>
  <c r="EF40" i="1"/>
  <c r="EF41" i="1"/>
  <c r="G43" i="1"/>
  <c r="G46" i="1" s="1"/>
  <c r="EG43" i="1"/>
  <c r="EE40" i="1"/>
  <c r="EE41" i="1"/>
  <c r="EE62" i="1" s="1"/>
  <c r="EC40" i="1"/>
  <c r="EC41" i="1"/>
  <c r="EC62" i="1" s="1"/>
  <c r="EA43" i="1"/>
  <c r="DY41" i="1"/>
  <c r="DY62" i="1" s="1"/>
  <c r="DY40" i="1"/>
  <c r="DV41" i="1"/>
  <c r="DV62" i="1" s="1"/>
  <c r="DV40" i="1"/>
  <c r="H43" i="1"/>
  <c r="DV43" i="1"/>
  <c r="DZ43" i="1"/>
  <c r="DX41" i="1"/>
  <c r="DX40" i="1"/>
  <c r="I42" i="1"/>
  <c r="EB41" i="1"/>
  <c r="EB62" i="1" s="1"/>
  <c r="EB40" i="1"/>
  <c r="EG45" i="1" l="1"/>
  <c r="EB44" i="1"/>
  <c r="EB45" i="1"/>
  <c r="I40" i="1"/>
  <c r="J42" i="1"/>
  <c r="I43" i="1"/>
  <c r="DY44" i="1"/>
  <c r="DY45" i="1"/>
  <c r="EH45" i="1"/>
  <c r="EG44" i="1"/>
  <c r="EF45" i="1"/>
  <c r="EF44" i="1"/>
  <c r="EC45" i="1"/>
  <c r="EC44" i="1"/>
  <c r="DZ45" i="1"/>
  <c r="H44" i="1"/>
  <c r="DZ44" i="1"/>
  <c r="DU44" i="1"/>
  <c r="DU45" i="1"/>
  <c r="DX45" i="1"/>
  <c r="DX44" i="1"/>
  <c r="EE45" i="1"/>
  <c r="EE44" i="1"/>
  <c r="ED45" i="1"/>
  <c r="ED44" i="1"/>
  <c r="EA44" i="1"/>
  <c r="EA45" i="1"/>
  <c r="EH44" i="1"/>
  <c r="DV45" i="1"/>
  <c r="DV44" i="1"/>
  <c r="DW44" i="1"/>
  <c r="DW45" i="1"/>
  <c r="I41" i="1" l="1"/>
  <c r="I62" i="1" s="1"/>
  <c r="H30" i="1"/>
  <c r="DX46" i="1"/>
  <c r="EG46" i="1"/>
  <c r="DZ46" i="1"/>
  <c r="ED46" i="1"/>
  <c r="EH46" i="1"/>
  <c r="DY46" i="1"/>
  <c r="I45" i="1"/>
  <c r="DU46" i="1"/>
  <c r="H46" i="1"/>
  <c r="EC46" i="1"/>
  <c r="EE46" i="1"/>
  <c r="EF46" i="1"/>
  <c r="EB46" i="1"/>
  <c r="EA46" i="1"/>
  <c r="DV46" i="1"/>
  <c r="J40" i="1"/>
  <c r="J41" i="1" s="1"/>
  <c r="J62" i="1" s="1"/>
  <c r="J43" i="1"/>
  <c r="K42" i="1"/>
  <c r="DW46" i="1"/>
  <c r="I63" i="1" l="1"/>
  <c r="J61" i="1" s="1"/>
  <c r="J63" i="1" s="1"/>
  <c r="K61" i="1" s="1"/>
  <c r="I44" i="1"/>
  <c r="J44" i="1"/>
  <c r="J45" i="1"/>
  <c r="K40" i="1"/>
  <c r="L42" i="1"/>
  <c r="K43" i="1"/>
  <c r="I46" i="1"/>
  <c r="L40" i="1" l="1"/>
  <c r="M42" i="1"/>
  <c r="L43" i="1"/>
  <c r="K41" i="1"/>
  <c r="K62" i="1" s="1"/>
  <c r="K63" i="1" s="1"/>
  <c r="L61" i="1" s="1"/>
  <c r="J46" i="1"/>
  <c r="K45" i="1" l="1"/>
  <c r="M40" i="1"/>
  <c r="M41" i="1" s="1"/>
  <c r="N42" i="1"/>
  <c r="M43" i="1"/>
  <c r="L41" i="1"/>
  <c r="L62" i="1" s="1"/>
  <c r="L63" i="1" s="1"/>
  <c r="M61" i="1" s="1"/>
  <c r="M62" i="1" l="1"/>
  <c r="M63" i="1" s="1"/>
  <c r="N61" i="1" s="1"/>
  <c r="M45" i="1"/>
  <c r="M44" i="1"/>
  <c r="L45" i="1"/>
  <c r="L44" i="1"/>
  <c r="N40" i="1"/>
  <c r="N41" i="1" s="1"/>
  <c r="N43" i="1"/>
  <c r="O42" i="1"/>
  <c r="K44" i="1"/>
  <c r="N62" i="1" l="1"/>
  <c r="N63" i="1" s="1"/>
  <c r="O61" i="1" s="1"/>
  <c r="N45" i="1"/>
  <c r="M46" i="1"/>
  <c r="K46" i="1"/>
  <c r="O40" i="1"/>
  <c r="O41" i="1" s="1"/>
  <c r="P42" i="1"/>
  <c r="O43" i="1"/>
  <c r="L46" i="1"/>
  <c r="O62" i="1" l="1"/>
  <c r="O63" i="1" s="1"/>
  <c r="P61" i="1" s="1"/>
  <c r="P40" i="1"/>
  <c r="Q42" i="1"/>
  <c r="P43" i="1"/>
  <c r="O45" i="1"/>
  <c r="O44" i="1"/>
  <c r="N44" i="1"/>
  <c r="N46" i="1" l="1"/>
  <c r="O46" i="1"/>
  <c r="Q40" i="1"/>
  <c r="Q43" i="1"/>
  <c r="R42" i="1"/>
  <c r="P41" i="1"/>
  <c r="P62" i="1" s="1"/>
  <c r="P63" i="1" s="1"/>
  <c r="Q61" i="1" s="1"/>
  <c r="P45" i="1" l="1"/>
  <c r="R40" i="1"/>
  <c r="R41" i="1" s="1"/>
  <c r="S42" i="1"/>
  <c r="R43" i="1"/>
  <c r="Q41" i="1"/>
  <c r="Q62" i="1" s="1"/>
  <c r="Q63" i="1" s="1"/>
  <c r="R61" i="1" s="1"/>
  <c r="R62" i="1" l="1"/>
  <c r="R63" i="1" s="1"/>
  <c r="S61" i="1" s="1"/>
  <c r="R45" i="1"/>
  <c r="R44" i="1"/>
  <c r="S40" i="1"/>
  <c r="S41" i="1" s="1"/>
  <c r="S43" i="1"/>
  <c r="T42" i="1"/>
  <c r="P44" i="1"/>
  <c r="Q45" i="1"/>
  <c r="Q44" i="1"/>
  <c r="S62" i="1" l="1"/>
  <c r="S63" i="1" s="1"/>
  <c r="T61" i="1" s="1"/>
  <c r="Q46" i="1"/>
  <c r="R46" i="1"/>
  <c r="S45" i="1"/>
  <c r="P46" i="1"/>
  <c r="S44" i="1"/>
  <c r="T40" i="1"/>
  <c r="T41" i="1" s="1"/>
  <c r="U42" i="1"/>
  <c r="T43" i="1"/>
  <c r="T62" i="1" l="1"/>
  <c r="T63" i="1" s="1"/>
  <c r="U61" i="1" s="1"/>
  <c r="T45" i="1"/>
  <c r="S46" i="1"/>
  <c r="U40" i="1"/>
  <c r="U41" i="1" s="1"/>
  <c r="V42" i="1"/>
  <c r="U43" i="1"/>
  <c r="T44" i="1"/>
  <c r="U62" i="1" l="1"/>
  <c r="U63" i="1" s="1"/>
  <c r="V61" i="1" s="1"/>
  <c r="T46" i="1"/>
  <c r="U45" i="1"/>
  <c r="V40" i="1"/>
  <c r="V62" i="1" s="1"/>
  <c r="V41" i="1"/>
  <c r="V43" i="1"/>
  <c r="W42" i="1"/>
  <c r="U44" i="1"/>
  <c r="V63" i="1" l="1"/>
  <c r="W61" i="1" s="1"/>
  <c r="U46" i="1"/>
  <c r="V44" i="1"/>
  <c r="V45" i="1"/>
  <c r="W40" i="1"/>
  <c r="W41" i="1" s="1"/>
  <c r="X42" i="1"/>
  <c r="W43" i="1"/>
  <c r="W62" i="1" l="1"/>
  <c r="W63" i="1"/>
  <c r="X61" i="1" s="1"/>
  <c r="W45" i="1"/>
  <c r="X40" i="1"/>
  <c r="X62" i="1" s="1"/>
  <c r="X41" i="1"/>
  <c r="X43" i="1"/>
  <c r="Y42" i="1"/>
  <c r="W44" i="1"/>
  <c r="V46" i="1"/>
  <c r="X63" i="1" l="1"/>
  <c r="Y61" i="1" s="1"/>
  <c r="W46" i="1"/>
  <c r="Y40" i="1"/>
  <c r="Z42" i="1"/>
  <c r="Y43" i="1"/>
  <c r="X44" i="1"/>
  <c r="X45" i="1"/>
  <c r="X46" i="1" l="1"/>
  <c r="Z40" i="1"/>
  <c r="Z43" i="1"/>
  <c r="AA42" i="1"/>
  <c r="Y41" i="1"/>
  <c r="Y62" i="1" s="1"/>
  <c r="Y63" i="1" s="1"/>
  <c r="Z61" i="1" s="1"/>
  <c r="Y45" i="1" l="1"/>
  <c r="AA40" i="1"/>
  <c r="AB42" i="1"/>
  <c r="AA43" i="1"/>
  <c r="Z41" i="1"/>
  <c r="Z62" i="1" s="1"/>
  <c r="Z63" i="1" s="1"/>
  <c r="AA61" i="1" s="1"/>
  <c r="AB40" i="1" l="1"/>
  <c r="AC42" i="1"/>
  <c r="AB43" i="1"/>
  <c r="AA41" i="1"/>
  <c r="AA62" i="1" s="1"/>
  <c r="AA63" i="1" s="1"/>
  <c r="AB61" i="1" s="1"/>
  <c r="Y44" i="1"/>
  <c r="Z45" i="1"/>
  <c r="AA45" i="1" l="1"/>
  <c r="Z44" i="1"/>
  <c r="AB41" i="1"/>
  <c r="AB62" i="1" s="1"/>
  <c r="AB63" i="1" s="1"/>
  <c r="AC61" i="1" s="1"/>
  <c r="Y46" i="1"/>
  <c r="AC40" i="1"/>
  <c r="AC43" i="1"/>
  <c r="AD42" i="1"/>
  <c r="AD40" i="1" l="1"/>
  <c r="AD41" i="1" s="1"/>
  <c r="AD43" i="1"/>
  <c r="AE42" i="1"/>
  <c r="AB45" i="1"/>
  <c r="Z46" i="1"/>
  <c r="AA44" i="1"/>
  <c r="AC41" i="1"/>
  <c r="AC62" i="1" s="1"/>
  <c r="AC63" i="1" s="1"/>
  <c r="AD61" i="1" s="1"/>
  <c r="AD62" i="1" l="1"/>
  <c r="AD63" i="1" s="1"/>
  <c r="AE61" i="1" s="1"/>
  <c r="AD45" i="1"/>
  <c r="AD44" i="1"/>
  <c r="AA46" i="1"/>
  <c r="AC44" i="1"/>
  <c r="AC45" i="1"/>
  <c r="AB44" i="1"/>
  <c r="AE40" i="1"/>
  <c r="AE43" i="1"/>
  <c r="AF42" i="1"/>
  <c r="AD46" i="1" l="1"/>
  <c r="AF40" i="1"/>
  <c r="AG42" i="1"/>
  <c r="AF43" i="1"/>
  <c r="AB46" i="1"/>
  <c r="AE41" i="1"/>
  <c r="AE62" i="1" s="1"/>
  <c r="AE63" i="1" s="1"/>
  <c r="AF61" i="1" s="1"/>
  <c r="AC46" i="1"/>
  <c r="AE45" i="1" l="1"/>
  <c r="AG40" i="1"/>
  <c r="AG43" i="1"/>
  <c r="AH42" i="1"/>
  <c r="AF41" i="1"/>
  <c r="AF62" i="1" s="1"/>
  <c r="AF63" i="1" s="1"/>
  <c r="AG61" i="1" s="1"/>
  <c r="AF45" i="1" l="1"/>
  <c r="AH40" i="1"/>
  <c r="AH43" i="1"/>
  <c r="AI42" i="1"/>
  <c r="AG41" i="1"/>
  <c r="AG62" i="1" s="1"/>
  <c r="AG63" i="1" s="1"/>
  <c r="AH61" i="1" s="1"/>
  <c r="AE44" i="1"/>
  <c r="AF44" i="1" l="1"/>
  <c r="AE46" i="1"/>
  <c r="AG45" i="1"/>
  <c r="AI40" i="1"/>
  <c r="AI43" i="1"/>
  <c r="AJ42" i="1"/>
  <c r="AH41" i="1"/>
  <c r="AH62" i="1" s="1"/>
  <c r="AH63" i="1" s="1"/>
  <c r="AI61" i="1" s="1"/>
  <c r="AH45" i="1" l="1"/>
  <c r="AF46" i="1"/>
  <c r="AJ40" i="1"/>
  <c r="AJ41" i="1" s="1"/>
  <c r="AK42" i="1"/>
  <c r="AJ43" i="1"/>
  <c r="AI41" i="1"/>
  <c r="AI62" i="1" s="1"/>
  <c r="AI63" i="1" s="1"/>
  <c r="AJ61" i="1" s="1"/>
  <c r="AG44" i="1"/>
  <c r="AJ62" i="1" l="1"/>
  <c r="AJ63" i="1" s="1"/>
  <c r="AK61" i="1" s="1"/>
  <c r="AJ45" i="1"/>
  <c r="AG46" i="1"/>
  <c r="AI45" i="1"/>
  <c r="AI44" i="1"/>
  <c r="AK40" i="1"/>
  <c r="AK43" i="1"/>
  <c r="AL42" i="1"/>
  <c r="AJ44" i="1"/>
  <c r="AH44" i="1"/>
  <c r="AJ46" i="1" l="1"/>
  <c r="AH46" i="1"/>
  <c r="AL40" i="1"/>
  <c r="AM42" i="1"/>
  <c r="AL43" i="1"/>
  <c r="AK41" i="1"/>
  <c r="AK62" i="1" s="1"/>
  <c r="AK63" i="1" s="1"/>
  <c r="AL61" i="1" s="1"/>
  <c r="AI46" i="1"/>
  <c r="AK45" i="1" l="1"/>
  <c r="AL41" i="1"/>
  <c r="AL62" i="1" s="1"/>
  <c r="AL63" i="1" s="1"/>
  <c r="AM61" i="1" s="1"/>
  <c r="AM40" i="1"/>
  <c r="AM43" i="1"/>
  <c r="AN42" i="1"/>
  <c r="AL45" i="1" l="1"/>
  <c r="AN40" i="1"/>
  <c r="AN41" i="1" s="1"/>
  <c r="AN43" i="1"/>
  <c r="AO42" i="1"/>
  <c r="AM41" i="1"/>
  <c r="AM62" i="1" s="1"/>
  <c r="AM63" i="1" s="1"/>
  <c r="AN61" i="1" s="1"/>
  <c r="AK44" i="1"/>
  <c r="AL44" i="1"/>
  <c r="AN62" i="1" l="1"/>
  <c r="AN63" i="1" s="1"/>
  <c r="AO61" i="1" s="1"/>
  <c r="AN45" i="1"/>
  <c r="AL46" i="1"/>
  <c r="AM44" i="1"/>
  <c r="AM45" i="1"/>
  <c r="AN44" i="1"/>
  <c r="AK46" i="1"/>
  <c r="AO40" i="1"/>
  <c r="AO41" i="1" s="1"/>
  <c r="AO43" i="1"/>
  <c r="AP42" i="1"/>
  <c r="AO62" i="1" l="1"/>
  <c r="AO63" i="1" s="1"/>
  <c r="AP61" i="1" s="1"/>
  <c r="AO45" i="1"/>
  <c r="AN46" i="1"/>
  <c r="AO44" i="1"/>
  <c r="AM46" i="1"/>
  <c r="AP40" i="1"/>
  <c r="AP43" i="1"/>
  <c r="AQ42" i="1"/>
  <c r="AO46" i="1" l="1"/>
  <c r="AQ40" i="1"/>
  <c r="AR42" i="1"/>
  <c r="AQ43" i="1"/>
  <c r="AP41" i="1"/>
  <c r="AP62" i="1" s="1"/>
  <c r="AP63" i="1" s="1"/>
  <c r="AQ61" i="1" s="1"/>
  <c r="AP45" i="1" l="1"/>
  <c r="AR40" i="1"/>
  <c r="AR62" i="1" s="1"/>
  <c r="AR41" i="1"/>
  <c r="AR43" i="1"/>
  <c r="AS42" i="1"/>
  <c r="AQ41" i="1"/>
  <c r="AQ62" i="1" s="1"/>
  <c r="AQ63" i="1" s="1"/>
  <c r="AR61" i="1" s="1"/>
  <c r="AR63" i="1" s="1"/>
  <c r="AS61" i="1" s="1"/>
  <c r="AQ45" i="1" l="1"/>
  <c r="AS40" i="1"/>
  <c r="AT42" i="1"/>
  <c r="AS43" i="1"/>
  <c r="AR44" i="1"/>
  <c r="AR45" i="1"/>
  <c r="AP44" i="1"/>
  <c r="AT40" i="1" l="1"/>
  <c r="AT41" i="1" s="1"/>
  <c r="AU42" i="1"/>
  <c r="AT43" i="1"/>
  <c r="AP46" i="1"/>
  <c r="AR46" i="1"/>
  <c r="AS41" i="1"/>
  <c r="AS62" i="1" s="1"/>
  <c r="AS63" i="1" s="1"/>
  <c r="AT61" i="1" s="1"/>
  <c r="AQ44" i="1"/>
  <c r="AT62" i="1" l="1"/>
  <c r="AT63" i="1" s="1"/>
  <c r="AU61" i="1" s="1"/>
  <c r="AT45" i="1"/>
  <c r="AQ46" i="1"/>
  <c r="AS44" i="1"/>
  <c r="AS45" i="1"/>
  <c r="E38" i="1"/>
  <c r="E37" i="1"/>
  <c r="AU40" i="1"/>
  <c r="AU41" i="1" s="1"/>
  <c r="AV42" i="1"/>
  <c r="AU43" i="1"/>
  <c r="AT44" i="1"/>
  <c r="AU62" i="1" l="1"/>
  <c r="AU63" i="1" s="1"/>
  <c r="AV61" i="1" s="1"/>
  <c r="AT46" i="1"/>
  <c r="AS46" i="1"/>
  <c r="AU45" i="1"/>
  <c r="AU44" i="1"/>
  <c r="AV40" i="1"/>
  <c r="AV41" i="1" s="1"/>
  <c r="AV43" i="1"/>
  <c r="AW42" i="1"/>
  <c r="AV62" i="1" l="1"/>
  <c r="AV63" i="1" s="1"/>
  <c r="AW61" i="1" s="1"/>
  <c r="AV45" i="1"/>
  <c r="AW40" i="1"/>
  <c r="AW41" i="1" s="1"/>
  <c r="AW43" i="1"/>
  <c r="AX42" i="1"/>
  <c r="AU46" i="1"/>
  <c r="AV44" i="1"/>
  <c r="AW62" i="1" l="1"/>
  <c r="AW63" i="1" s="1"/>
  <c r="AX61" i="1" s="1"/>
  <c r="AW45" i="1"/>
  <c r="AV46" i="1"/>
  <c r="AW44" i="1"/>
  <c r="AX40" i="1"/>
  <c r="AX43" i="1"/>
  <c r="AY42" i="1"/>
  <c r="AW46" i="1" l="1"/>
  <c r="AX41" i="1"/>
  <c r="AX62" i="1" s="1"/>
  <c r="AX63" i="1" s="1"/>
  <c r="AY61" i="1" s="1"/>
  <c r="AY40" i="1"/>
  <c r="AY41" i="1" s="1"/>
  <c r="AY43" i="1"/>
  <c r="AZ42" i="1"/>
  <c r="AY62" i="1" l="1"/>
  <c r="AY63" i="1" s="1"/>
  <c r="AZ61" i="1" s="1"/>
  <c r="AY45" i="1"/>
  <c r="AZ40" i="1"/>
  <c r="AZ62" i="1" s="1"/>
  <c r="AZ41" i="1"/>
  <c r="BA42" i="1"/>
  <c r="AZ43" i="1"/>
  <c r="AX45" i="1"/>
  <c r="AY44" i="1"/>
  <c r="AX44" i="1"/>
  <c r="AZ63" i="1" l="1"/>
  <c r="BA61" i="1" s="1"/>
  <c r="AX46" i="1"/>
  <c r="AY46" i="1"/>
  <c r="BA40" i="1"/>
  <c r="BB42" i="1"/>
  <c r="BA43" i="1"/>
  <c r="AZ45" i="1"/>
  <c r="AZ44" i="1"/>
  <c r="AZ46" i="1" l="1"/>
  <c r="BB40" i="1"/>
  <c r="BB62" i="1" s="1"/>
  <c r="BB41" i="1"/>
  <c r="BB43" i="1"/>
  <c r="BC42" i="1"/>
  <c r="BA41" i="1"/>
  <c r="BA62" i="1" s="1"/>
  <c r="BA63" i="1" s="1"/>
  <c r="BB61" i="1" s="1"/>
  <c r="BB63" i="1" s="1"/>
  <c r="BC61" i="1" s="1"/>
  <c r="BA45" i="1" l="1"/>
  <c r="BC40" i="1"/>
  <c r="BC41" i="1" s="1"/>
  <c r="BD42" i="1"/>
  <c r="BC43" i="1"/>
  <c r="BB45" i="1"/>
  <c r="BB44" i="1"/>
  <c r="BC62" i="1" l="1"/>
  <c r="BC63" i="1" s="1"/>
  <c r="BD61" i="1" s="1"/>
  <c r="BC45" i="1"/>
  <c r="BB46" i="1"/>
  <c r="BD40" i="1"/>
  <c r="BE42" i="1"/>
  <c r="BD43" i="1"/>
  <c r="BC44" i="1"/>
  <c r="BA44" i="1"/>
  <c r="BC46" i="1" l="1"/>
  <c r="BA46" i="1"/>
  <c r="BD41" i="1"/>
  <c r="BD62" i="1" s="1"/>
  <c r="BD63" i="1" s="1"/>
  <c r="BE61" i="1" s="1"/>
  <c r="BE40" i="1"/>
  <c r="BF42" i="1"/>
  <c r="BE43" i="1"/>
  <c r="BF40" i="1" l="1"/>
  <c r="BF62" i="1" s="1"/>
  <c r="BF41" i="1"/>
  <c r="BG42" i="1"/>
  <c r="BF43" i="1"/>
  <c r="BE41" i="1"/>
  <c r="BE62" i="1" s="1"/>
  <c r="BE63" i="1" s="1"/>
  <c r="BF61" i="1" s="1"/>
  <c r="BF63" i="1" s="1"/>
  <c r="BG61" i="1" s="1"/>
  <c r="BD45" i="1"/>
  <c r="BD44" i="1" l="1"/>
  <c r="BE45" i="1"/>
  <c r="BG40" i="1"/>
  <c r="BH42" i="1"/>
  <c r="BG43" i="1"/>
  <c r="BF44" i="1"/>
  <c r="BF45" i="1"/>
  <c r="BF46" i="1" l="1"/>
  <c r="BH40" i="1"/>
  <c r="BI42" i="1"/>
  <c r="BH43" i="1"/>
  <c r="BG41" i="1"/>
  <c r="BG62" i="1" s="1"/>
  <c r="BG63" i="1" s="1"/>
  <c r="BH61" i="1" s="1"/>
  <c r="BE44" i="1"/>
  <c r="BD46" i="1"/>
  <c r="BE46" i="1" l="1"/>
  <c r="BG45" i="1"/>
  <c r="BI40" i="1"/>
  <c r="BI41" i="1" s="1"/>
  <c r="BI43" i="1"/>
  <c r="BJ42" i="1"/>
  <c r="BH41" i="1"/>
  <c r="BH62" i="1" s="1"/>
  <c r="BH63" i="1" s="1"/>
  <c r="BI61" i="1" s="1"/>
  <c r="BI62" i="1" l="1"/>
  <c r="BI63" i="1" s="1"/>
  <c r="BJ61" i="1" s="1"/>
  <c r="BI45" i="1"/>
  <c r="BJ40" i="1"/>
  <c r="BK42" i="1"/>
  <c r="BJ43" i="1"/>
  <c r="BH45" i="1"/>
  <c r="BI44" i="1"/>
  <c r="BG44" i="1"/>
  <c r="BH44" i="1"/>
  <c r="BH46" i="1" l="1"/>
  <c r="BI46" i="1"/>
  <c r="BG46" i="1"/>
  <c r="BK40" i="1"/>
  <c r="BK43" i="1"/>
  <c r="BL42" i="1"/>
  <c r="BJ41" i="1"/>
  <c r="BJ62" i="1" s="1"/>
  <c r="BJ63" i="1" s="1"/>
  <c r="BK61" i="1" s="1"/>
  <c r="BJ45" i="1" l="1"/>
  <c r="BL40" i="1"/>
  <c r="BL43" i="1"/>
  <c r="BM42" i="1"/>
  <c r="BK41" i="1"/>
  <c r="BK62" i="1" s="1"/>
  <c r="BK63" i="1" s="1"/>
  <c r="BL61" i="1" s="1"/>
  <c r="BJ44" i="1"/>
  <c r="BJ46" i="1" l="1"/>
  <c r="BK45" i="1"/>
  <c r="BM40" i="1"/>
  <c r="BM41" i="1" s="1"/>
  <c r="BN42" i="1"/>
  <c r="BM43" i="1"/>
  <c r="BL41" i="1"/>
  <c r="BL62" i="1" s="1"/>
  <c r="BL63" i="1" s="1"/>
  <c r="BM61" i="1" s="1"/>
  <c r="BK44" i="1"/>
  <c r="BM62" i="1" l="1"/>
  <c r="BM63" i="1" s="1"/>
  <c r="BN61" i="1" s="1"/>
  <c r="BK46" i="1"/>
  <c r="BL45" i="1"/>
  <c r="BN40" i="1"/>
  <c r="BO42" i="1"/>
  <c r="BN43" i="1"/>
  <c r="BM45" i="1"/>
  <c r="BM44" i="1"/>
  <c r="BL44" i="1"/>
  <c r="BL46" i="1" l="1"/>
  <c r="BM46" i="1"/>
  <c r="BO40" i="1"/>
  <c r="BO43" i="1"/>
  <c r="BP42" i="1"/>
  <c r="BN41" i="1"/>
  <c r="BN62" i="1" s="1"/>
  <c r="BN63" i="1" s="1"/>
  <c r="BO61" i="1" s="1"/>
  <c r="BN45" i="1" l="1"/>
  <c r="E45" i="1" s="1"/>
  <c r="BP40" i="1"/>
  <c r="BP43" i="1"/>
  <c r="BQ42" i="1"/>
  <c r="BO41" i="1"/>
  <c r="BO62" i="1" s="1"/>
  <c r="BO63" i="1" s="1"/>
  <c r="BP61" i="1" s="1"/>
  <c r="BN44" i="1"/>
  <c r="BN46" i="1" l="1"/>
  <c r="BO45" i="1"/>
  <c r="BP41" i="1"/>
  <c r="BP62" i="1" s="1"/>
  <c r="BP63" i="1" s="1"/>
  <c r="BQ61" i="1" s="1"/>
  <c r="BQ40" i="1"/>
  <c r="BQ43" i="1"/>
  <c r="BR42" i="1"/>
  <c r="BO44" i="1"/>
  <c r="BO46" i="1" l="1"/>
  <c r="BR40" i="1"/>
  <c r="BR62" i="1" s="1"/>
  <c r="BR41" i="1"/>
  <c r="BR43" i="1"/>
  <c r="BS42" i="1"/>
  <c r="BQ41" i="1"/>
  <c r="BQ62" i="1" s="1"/>
  <c r="BQ63" i="1" s="1"/>
  <c r="BR61" i="1" s="1"/>
  <c r="BR63" i="1" s="1"/>
  <c r="BS61" i="1" s="1"/>
  <c r="BP45" i="1"/>
  <c r="BP44" i="1"/>
  <c r="BP46" i="1" l="1"/>
  <c r="BQ45" i="1"/>
  <c r="BS40" i="1"/>
  <c r="BT42" i="1"/>
  <c r="BS43" i="1"/>
  <c r="BR45" i="1"/>
  <c r="BR44" i="1"/>
  <c r="BQ44" i="1"/>
  <c r="BQ46" i="1" l="1"/>
  <c r="BR46" i="1"/>
  <c r="BT40" i="1"/>
  <c r="BU42" i="1"/>
  <c r="BT43" i="1"/>
  <c r="BS41" i="1"/>
  <c r="BS62" i="1" s="1"/>
  <c r="BS63" i="1" s="1"/>
  <c r="BT61" i="1" s="1"/>
  <c r="BS45" i="1" l="1"/>
  <c r="BU40" i="1"/>
  <c r="BV42" i="1"/>
  <c r="BU43" i="1"/>
  <c r="BT41" i="1"/>
  <c r="BT62" i="1" s="1"/>
  <c r="BT63" i="1" s="1"/>
  <c r="BU61" i="1" s="1"/>
  <c r="BT45" i="1" l="1"/>
  <c r="BV40" i="1"/>
  <c r="BV62" i="1" s="1"/>
  <c r="BV41" i="1"/>
  <c r="BV43" i="1"/>
  <c r="BW42" i="1"/>
  <c r="BU41" i="1"/>
  <c r="BU62" i="1" s="1"/>
  <c r="BU63" i="1" s="1"/>
  <c r="BV61" i="1" s="1"/>
  <c r="BV63" i="1" s="1"/>
  <c r="BW61" i="1" s="1"/>
  <c r="BS44" i="1"/>
  <c r="BW40" i="1" l="1"/>
  <c r="BW62" i="1" s="1"/>
  <c r="BW63" i="1" s="1"/>
  <c r="BX61" i="1" s="1"/>
  <c r="BW41" i="1"/>
  <c r="BW43" i="1"/>
  <c r="BX42" i="1"/>
  <c r="BS46" i="1"/>
  <c r="BU45" i="1"/>
  <c r="BV44" i="1"/>
  <c r="BV45" i="1"/>
  <c r="BT44" i="1"/>
  <c r="BT46" i="1" l="1"/>
  <c r="BV46" i="1"/>
  <c r="BU44" i="1"/>
  <c r="BX40" i="1"/>
  <c r="BX62" i="1" s="1"/>
  <c r="BX63" i="1" s="1"/>
  <c r="BY61" i="1" s="1"/>
  <c r="BX41" i="1"/>
  <c r="BX43" i="1"/>
  <c r="BY42" i="1"/>
  <c r="BW44" i="1"/>
  <c r="BW45" i="1"/>
  <c r="BX44" i="1" l="1"/>
  <c r="BX45" i="1"/>
  <c r="BW46" i="1"/>
  <c r="BY40" i="1"/>
  <c r="BY62" i="1" s="1"/>
  <c r="BY63" i="1" s="1"/>
  <c r="BZ61" i="1" s="1"/>
  <c r="BY41" i="1"/>
  <c r="BZ42" i="1"/>
  <c r="BY43" i="1"/>
  <c r="BU46" i="1"/>
  <c r="BZ40" i="1" l="1"/>
  <c r="BZ62" i="1" s="1"/>
  <c r="BZ63" i="1" s="1"/>
  <c r="CA61" i="1" s="1"/>
  <c r="BZ41" i="1"/>
  <c r="CA42" i="1"/>
  <c r="BZ43" i="1"/>
  <c r="BY44" i="1"/>
  <c r="BY45" i="1"/>
  <c r="BX46" i="1"/>
  <c r="BY46" i="1" l="1"/>
  <c r="CA40" i="1"/>
  <c r="CA62" i="1" s="1"/>
  <c r="CA63" i="1" s="1"/>
  <c r="CB61" i="1" s="1"/>
  <c r="CA41" i="1"/>
  <c r="CA43" i="1"/>
  <c r="CB42" i="1"/>
  <c r="BZ44" i="1"/>
  <c r="BZ45" i="1"/>
  <c r="BZ46" i="1" l="1"/>
  <c r="CB40" i="1"/>
  <c r="CB62" i="1" s="1"/>
  <c r="CB63" i="1" s="1"/>
  <c r="CC61" i="1" s="1"/>
  <c r="CB41" i="1"/>
  <c r="CC42" i="1"/>
  <c r="CB43" i="1"/>
  <c r="CA44" i="1"/>
  <c r="CA45" i="1"/>
  <c r="CA46" i="1" l="1"/>
  <c r="CC40" i="1"/>
  <c r="CD42" i="1"/>
  <c r="CC43" i="1"/>
  <c r="CB45" i="1"/>
  <c r="CB44" i="1"/>
  <c r="CB46" i="1" l="1"/>
  <c r="CD40" i="1"/>
  <c r="CE42" i="1"/>
  <c r="CD43" i="1"/>
  <c r="CC41" i="1"/>
  <c r="CC62" i="1" s="1"/>
  <c r="CC63" i="1" s="1"/>
  <c r="CD61" i="1" s="1"/>
  <c r="CC45" i="1" l="1"/>
  <c r="CE40" i="1"/>
  <c r="CE43" i="1"/>
  <c r="CF42" i="1"/>
  <c r="CD41" i="1"/>
  <c r="CD62" i="1" s="1"/>
  <c r="CD63" i="1" s="1"/>
  <c r="CE61" i="1" s="1"/>
  <c r="CD45" i="1" l="1"/>
  <c r="CF40" i="1"/>
  <c r="CF62" i="1" s="1"/>
  <c r="CF41" i="1"/>
  <c r="CF43" i="1"/>
  <c r="CG42" i="1"/>
  <c r="CE41" i="1"/>
  <c r="CE62" i="1" s="1"/>
  <c r="CE63" i="1" s="1"/>
  <c r="CF61" i="1" s="1"/>
  <c r="CF63" i="1" s="1"/>
  <c r="CG61" i="1" s="1"/>
  <c r="CC44" i="1"/>
  <c r="CC46" i="1" l="1"/>
  <c r="CE45" i="1"/>
  <c r="CG40" i="1"/>
  <c r="CG62" i="1" s="1"/>
  <c r="CG63" i="1" s="1"/>
  <c r="CH61" i="1" s="1"/>
  <c r="CG41" i="1"/>
  <c r="CH42" i="1"/>
  <c r="CG43" i="1"/>
  <c r="CF45" i="1"/>
  <c r="CF44" i="1"/>
  <c r="CD44" i="1"/>
  <c r="CF46" i="1" l="1"/>
  <c r="CD46" i="1"/>
  <c r="CH40" i="1"/>
  <c r="CH62" i="1" s="1"/>
  <c r="CH63" i="1" s="1"/>
  <c r="CI61" i="1" s="1"/>
  <c r="CH41" i="1"/>
  <c r="CH43" i="1"/>
  <c r="CI42" i="1"/>
  <c r="CG45" i="1"/>
  <c r="CG44" i="1"/>
  <c r="CE44" i="1"/>
  <c r="CE46" i="1" l="1"/>
  <c r="CG46" i="1"/>
  <c r="CI40" i="1"/>
  <c r="CI43" i="1"/>
  <c r="CJ42" i="1"/>
  <c r="CH44" i="1"/>
  <c r="CH45" i="1"/>
  <c r="CH46" i="1" l="1"/>
  <c r="CJ40" i="1"/>
  <c r="CK42" i="1"/>
  <c r="CJ43" i="1"/>
  <c r="CI41" i="1"/>
  <c r="CI62" i="1" s="1"/>
  <c r="CI63" i="1" s="1"/>
  <c r="CJ61" i="1" s="1"/>
  <c r="CI45" i="1" l="1"/>
  <c r="CK40" i="1"/>
  <c r="CK62" i="1" s="1"/>
  <c r="CK41" i="1"/>
  <c r="CK43" i="1"/>
  <c r="CL42" i="1"/>
  <c r="CJ41" i="1"/>
  <c r="CJ62" i="1" s="1"/>
  <c r="CJ63" i="1" s="1"/>
  <c r="CK61" i="1" s="1"/>
  <c r="CK63" i="1" s="1"/>
  <c r="CL61" i="1" s="1"/>
  <c r="CJ45" i="1" l="1"/>
  <c r="CL40" i="1"/>
  <c r="CL62" i="1" s="1"/>
  <c r="CL63" i="1" s="1"/>
  <c r="CM61" i="1" s="1"/>
  <c r="CL41" i="1"/>
  <c r="CM42" i="1"/>
  <c r="CL43" i="1"/>
  <c r="CK44" i="1"/>
  <c r="CK45" i="1"/>
  <c r="CI44" i="1"/>
  <c r="CI46" i="1" l="1"/>
  <c r="CK46" i="1"/>
  <c r="CM40" i="1"/>
  <c r="CM41" i="1" s="1"/>
  <c r="CN42" i="1"/>
  <c r="CM43" i="1"/>
  <c r="CL44" i="1"/>
  <c r="CL45" i="1"/>
  <c r="CJ44" i="1"/>
  <c r="CM62" i="1" l="1"/>
  <c r="CM63" i="1" s="1"/>
  <c r="CN61" i="1" s="1"/>
  <c r="CJ46" i="1"/>
  <c r="CL46" i="1"/>
  <c r="CN40" i="1"/>
  <c r="CN43" i="1"/>
  <c r="CO42" i="1"/>
  <c r="CM44" i="1"/>
  <c r="CM45" i="1"/>
  <c r="CN41" i="1" l="1"/>
  <c r="CN62" i="1" s="1"/>
  <c r="CM46" i="1"/>
  <c r="CO40" i="1"/>
  <c r="CO62" i="1" s="1"/>
  <c r="CO41" i="1"/>
  <c r="CP42" i="1"/>
  <c r="CO43" i="1"/>
  <c r="CN45" i="1"/>
  <c r="CN63" i="1" l="1"/>
  <c r="CO61" i="1" s="1"/>
  <c r="CO63" i="1" s="1"/>
  <c r="CP61" i="1" s="1"/>
  <c r="CN44" i="1"/>
  <c r="CN46" i="1" s="1"/>
  <c r="CP40" i="1"/>
  <c r="CP62" i="1" s="1"/>
  <c r="CP41" i="1"/>
  <c r="CP43" i="1"/>
  <c r="CQ42" i="1"/>
  <c r="CO44" i="1"/>
  <c r="CO45" i="1"/>
  <c r="CP63" i="1" l="1"/>
  <c r="CQ61" i="1" s="1"/>
  <c r="CO46" i="1"/>
  <c r="CQ40" i="1"/>
  <c r="CR42" i="1"/>
  <c r="CQ43" i="1"/>
  <c r="CP44" i="1"/>
  <c r="CP45" i="1"/>
  <c r="CP46" i="1" l="1"/>
  <c r="CR40" i="1"/>
  <c r="CR41" i="1" s="1"/>
  <c r="CR43" i="1"/>
  <c r="CS42" i="1"/>
  <c r="CQ41" i="1"/>
  <c r="CQ62" i="1" s="1"/>
  <c r="CQ63" i="1" s="1"/>
  <c r="CR61" i="1" s="1"/>
  <c r="CR62" i="1" l="1"/>
  <c r="CR63" i="1" s="1"/>
  <c r="CS61" i="1" s="1"/>
  <c r="CR45" i="1"/>
  <c r="CQ45" i="1"/>
  <c r="CS40" i="1"/>
  <c r="CS41" i="1" s="1"/>
  <c r="CT42" i="1"/>
  <c r="CS43" i="1"/>
  <c r="CR44" i="1"/>
  <c r="CS62" i="1" l="1"/>
  <c r="CS63" i="1" s="1"/>
  <c r="CT61" i="1" s="1"/>
  <c r="CR46" i="1"/>
  <c r="CS45" i="1"/>
  <c r="CS44" i="1"/>
  <c r="CQ44" i="1"/>
  <c r="CT40" i="1"/>
  <c r="CU42" i="1"/>
  <c r="CT43" i="1"/>
  <c r="CS46" i="1" l="1"/>
  <c r="CT41" i="1"/>
  <c r="CT62" i="1" s="1"/>
  <c r="CT63" i="1" s="1"/>
  <c r="CU61" i="1" s="1"/>
  <c r="CU40" i="1"/>
  <c r="CU43" i="1"/>
  <c r="CV42" i="1"/>
  <c r="CQ46" i="1"/>
  <c r="CV40" i="1" l="1"/>
  <c r="CV41" i="1" s="1"/>
  <c r="CV43" i="1"/>
  <c r="CW42" i="1"/>
  <c r="CT45" i="1"/>
  <c r="CU41" i="1"/>
  <c r="CU62" i="1" s="1"/>
  <c r="CU63" i="1" s="1"/>
  <c r="CV61" i="1" s="1"/>
  <c r="CT44" i="1"/>
  <c r="CV62" i="1" l="1"/>
  <c r="CV63" i="1" s="1"/>
  <c r="CW61" i="1" s="1"/>
  <c r="CT46" i="1"/>
  <c r="CV45" i="1"/>
  <c r="CV44" i="1"/>
  <c r="CU45" i="1"/>
  <c r="CW40" i="1"/>
  <c r="CW41" i="1" s="1"/>
  <c r="CW43" i="1"/>
  <c r="CX42" i="1"/>
  <c r="CU44" i="1"/>
  <c r="CW62" i="1" l="1"/>
  <c r="CW63" i="1" s="1"/>
  <c r="CX61" i="1" s="1"/>
  <c r="CU46" i="1"/>
  <c r="CV46" i="1"/>
  <c r="CX40" i="1"/>
  <c r="CX43" i="1"/>
  <c r="CY42" i="1"/>
  <c r="CW44" i="1"/>
  <c r="CW45" i="1"/>
  <c r="CW46" i="1" l="1"/>
  <c r="CX41" i="1"/>
  <c r="CX62" i="1" s="1"/>
  <c r="CX63" i="1" s="1"/>
  <c r="CY61" i="1" s="1"/>
  <c r="CY40" i="1"/>
  <c r="CY62" i="1" s="1"/>
  <c r="CY41" i="1"/>
  <c r="CZ42" i="1"/>
  <c r="CY43" i="1"/>
  <c r="CY63" i="1" l="1"/>
  <c r="CZ61" i="1" s="1"/>
  <c r="CZ40" i="1"/>
  <c r="CZ62" i="1" s="1"/>
  <c r="CZ41" i="1"/>
  <c r="CZ43" i="1"/>
  <c r="DA42" i="1"/>
  <c r="CY44" i="1"/>
  <c r="CY45" i="1"/>
  <c r="CX45" i="1"/>
  <c r="CZ63" i="1" l="1"/>
  <c r="DA61" i="1" s="1"/>
  <c r="CX44" i="1"/>
  <c r="CY46" i="1"/>
  <c r="DA40" i="1"/>
  <c r="DA41" i="1" s="1"/>
  <c r="DB42" i="1"/>
  <c r="DA43" i="1"/>
  <c r="CZ44" i="1"/>
  <c r="CZ45" i="1"/>
  <c r="DA62" i="1" l="1"/>
  <c r="DA63" i="1" s="1"/>
  <c r="DB61" i="1" s="1"/>
  <c r="CZ46" i="1"/>
  <c r="DB40" i="1"/>
  <c r="DB62" i="1" s="1"/>
  <c r="DB41" i="1"/>
  <c r="DB43" i="1"/>
  <c r="DC42" i="1"/>
  <c r="DA45" i="1"/>
  <c r="DA44" i="1"/>
  <c r="CX46" i="1"/>
  <c r="DB63" i="1" l="1"/>
  <c r="DC61" i="1" s="1"/>
  <c r="DA46" i="1"/>
  <c r="DC40" i="1"/>
  <c r="DC62" i="1" s="1"/>
  <c r="DC41" i="1"/>
  <c r="DC43" i="1"/>
  <c r="DD42" i="1"/>
  <c r="DB45" i="1"/>
  <c r="DB44" i="1"/>
  <c r="DC63" i="1" l="1"/>
  <c r="DD61" i="1" s="1"/>
  <c r="DB46" i="1"/>
  <c r="DD40" i="1"/>
  <c r="DD62" i="1" s="1"/>
  <c r="DD41" i="1"/>
  <c r="DD43" i="1"/>
  <c r="DE42" i="1"/>
  <c r="DC44" i="1"/>
  <c r="DC45" i="1"/>
  <c r="DD63" i="1" l="1"/>
  <c r="DE61" i="1" s="1"/>
  <c r="DC46" i="1"/>
  <c r="DE40" i="1"/>
  <c r="DE43" i="1"/>
  <c r="DF42" i="1"/>
  <c r="DD45" i="1"/>
  <c r="DE41" i="1" l="1"/>
  <c r="DE62" i="1" s="1"/>
  <c r="DD44" i="1"/>
  <c r="DF40" i="1"/>
  <c r="DF43" i="1"/>
  <c r="DG42" i="1"/>
  <c r="DE45" i="1"/>
  <c r="DE63" i="1" l="1"/>
  <c r="DF61" i="1" s="1"/>
  <c r="DE44" i="1"/>
  <c r="DE46" i="1" s="1"/>
  <c r="DG40" i="1"/>
  <c r="DH42" i="1"/>
  <c r="DG43" i="1"/>
  <c r="DF41" i="1"/>
  <c r="DF62" i="1" s="1"/>
  <c r="DD46" i="1"/>
  <c r="DF63" i="1" l="1"/>
  <c r="DG61" i="1" s="1"/>
  <c r="DF45" i="1"/>
  <c r="DH40" i="1"/>
  <c r="DH43" i="1"/>
  <c r="DI42" i="1"/>
  <c r="DG41" i="1"/>
  <c r="DG62" i="1" s="1"/>
  <c r="DG63" i="1" l="1"/>
  <c r="DH61" i="1" s="1"/>
  <c r="DG45" i="1"/>
  <c r="DI40" i="1"/>
  <c r="DI62" i="1" s="1"/>
  <c r="DI41" i="1"/>
  <c r="DI43" i="1"/>
  <c r="DJ42" i="1"/>
  <c r="DH41" i="1"/>
  <c r="DH62" i="1" s="1"/>
  <c r="DF44" i="1"/>
  <c r="DH63" i="1" l="1"/>
  <c r="DI61" i="1" s="1"/>
  <c r="DI63" i="1" s="1"/>
  <c r="DJ61" i="1" s="1"/>
  <c r="DF46" i="1"/>
  <c r="DH45" i="1"/>
  <c r="DJ40" i="1"/>
  <c r="DJ62" i="1" s="1"/>
  <c r="DJ41" i="1"/>
  <c r="DJ43" i="1"/>
  <c r="DK42" i="1"/>
  <c r="DI44" i="1"/>
  <c r="DI45" i="1"/>
  <c r="DG44" i="1"/>
  <c r="DJ63" i="1" l="1"/>
  <c r="DK61" i="1" s="1"/>
  <c r="DG46" i="1"/>
  <c r="DI46" i="1"/>
  <c r="DK40" i="1"/>
  <c r="DL42" i="1"/>
  <c r="DK43" i="1"/>
  <c r="DJ45" i="1"/>
  <c r="DJ44" i="1"/>
  <c r="DH44" i="1"/>
  <c r="DH46" i="1" l="1"/>
  <c r="DJ46" i="1"/>
  <c r="DL40" i="1"/>
  <c r="DM42" i="1"/>
  <c r="DL43" i="1"/>
  <c r="DK41" i="1"/>
  <c r="DK62" i="1" s="1"/>
  <c r="DK63" i="1" s="1"/>
  <c r="DL61" i="1" s="1"/>
  <c r="DK45" i="1" l="1"/>
  <c r="DM40" i="1"/>
  <c r="DN42" i="1"/>
  <c r="DM43" i="1"/>
  <c r="DL41" i="1"/>
  <c r="DL62" i="1" s="1"/>
  <c r="DL63" i="1" s="1"/>
  <c r="DM61" i="1" s="1"/>
  <c r="DL45" i="1" l="1"/>
  <c r="DN40" i="1"/>
  <c r="DN62" i="1" s="1"/>
  <c r="DN41" i="1"/>
  <c r="DO42" i="1"/>
  <c r="DN43" i="1"/>
  <c r="DM41" i="1"/>
  <c r="DM62" i="1" s="1"/>
  <c r="DM63" i="1" s="1"/>
  <c r="DN61" i="1" s="1"/>
  <c r="DN63" i="1" s="1"/>
  <c r="DO61" i="1" s="1"/>
  <c r="DK44" i="1"/>
  <c r="DM45" i="1" l="1"/>
  <c r="DK46" i="1"/>
  <c r="DO40" i="1"/>
  <c r="DO41" i="1" s="1"/>
  <c r="DO43" i="1"/>
  <c r="DP42" i="1"/>
  <c r="DN45" i="1"/>
  <c r="DN44" i="1"/>
  <c r="DL44" i="1"/>
  <c r="DO62" i="1" l="1"/>
  <c r="DO63" i="1" s="1"/>
  <c r="DP61" i="1" s="1"/>
  <c r="DN46" i="1"/>
  <c r="DO45" i="1"/>
  <c r="DO44" i="1"/>
  <c r="DL46" i="1"/>
  <c r="DP40" i="1"/>
  <c r="DP62" i="1" s="1"/>
  <c r="DP41" i="1"/>
  <c r="DQ42" i="1"/>
  <c r="DP43" i="1"/>
  <c r="DM44" i="1"/>
  <c r="DP63" i="1" l="1"/>
  <c r="DQ61" i="1" s="1"/>
  <c r="DM46" i="1"/>
  <c r="DQ40" i="1"/>
  <c r="DQ62" i="1" s="1"/>
  <c r="DQ41" i="1"/>
  <c r="DQ43" i="1"/>
  <c r="DR42" i="1"/>
  <c r="DP44" i="1"/>
  <c r="DP45" i="1"/>
  <c r="DO46" i="1"/>
  <c r="DQ63" i="1" l="1"/>
  <c r="DR61" i="1" s="1"/>
  <c r="DP46" i="1"/>
  <c r="DR40" i="1"/>
  <c r="DR62" i="1" s="1"/>
  <c r="DR41" i="1"/>
  <c r="DS42" i="1"/>
  <c r="DR43" i="1"/>
  <c r="DQ45" i="1"/>
  <c r="DQ44" i="1"/>
  <c r="DR63" i="1" l="1"/>
  <c r="DS61" i="1" s="1"/>
  <c r="DQ46" i="1"/>
  <c r="DS40" i="1"/>
  <c r="DS62" i="1" s="1"/>
  <c r="DS41" i="1"/>
  <c r="DS43" i="1"/>
  <c r="DT42" i="1"/>
  <c r="DR45" i="1"/>
  <c r="DR44" i="1"/>
  <c r="DS63" i="1" l="1"/>
  <c r="DT61" i="1" s="1"/>
  <c r="DT63" i="1" s="1"/>
  <c r="DU61" i="1" s="1"/>
  <c r="DU63" i="1" s="1"/>
  <c r="DV61" i="1" s="1"/>
  <c r="DV63" i="1" s="1"/>
  <c r="DW61" i="1" s="1"/>
  <c r="DW63" i="1" s="1"/>
  <c r="DX61" i="1" s="1"/>
  <c r="DX63" i="1" s="1"/>
  <c r="DY61" i="1" s="1"/>
  <c r="DY63" i="1" s="1"/>
  <c r="DZ61" i="1" s="1"/>
  <c r="DZ63" i="1" s="1"/>
  <c r="EA61" i="1" s="1"/>
  <c r="EA63" i="1" s="1"/>
  <c r="EB61" i="1" s="1"/>
  <c r="EB63" i="1" s="1"/>
  <c r="EC61" i="1" s="1"/>
  <c r="EC63" i="1" s="1"/>
  <c r="ED61" i="1" s="1"/>
  <c r="ED63" i="1" s="1"/>
  <c r="EE61" i="1" s="1"/>
  <c r="EE63" i="1" s="1"/>
  <c r="EF61" i="1" s="1"/>
  <c r="EF63" i="1" s="1"/>
  <c r="EG61" i="1" s="1"/>
  <c r="EG63" i="1" s="1"/>
  <c r="EH61" i="1" s="1"/>
  <c r="EH63" i="1" s="1"/>
  <c r="DR46" i="1"/>
  <c r="DT40" i="1"/>
  <c r="DT41" i="1"/>
  <c r="DT43" i="1"/>
  <c r="DS45" i="1"/>
  <c r="DS44" i="1"/>
  <c r="DS46" i="1" l="1"/>
  <c r="DT45" i="1"/>
  <c r="DT44" i="1"/>
  <c r="DT46" i="1" l="1"/>
  <c r="E46" i="1" s="1"/>
  <c r="E44" i="1"/>
  <c r="G49" i="1" l="1"/>
  <c r="G57" i="1"/>
  <c r="E36" i="1"/>
  <c r="S58" i="1" l="1"/>
  <c r="AG58" i="1"/>
  <c r="AU58" i="1"/>
  <c r="BI58" i="1"/>
  <c r="BW58" i="1"/>
  <c r="CK58" i="1"/>
  <c r="CY58" i="1"/>
  <c r="DM58" i="1"/>
  <c r="EA58" i="1"/>
  <c r="L58" i="1"/>
  <c r="AA58" i="1"/>
  <c r="AP58" i="1"/>
  <c r="BE58" i="1"/>
  <c r="BT58" i="1"/>
  <c r="CI58" i="1"/>
  <c r="CX58" i="1"/>
  <c r="DN58" i="1"/>
  <c r="EC58" i="1"/>
  <c r="M58" i="1"/>
  <c r="AB58" i="1"/>
  <c r="AQ58" i="1"/>
  <c r="BF58" i="1"/>
  <c r="BU58" i="1"/>
  <c r="CJ58" i="1"/>
  <c r="CZ58" i="1"/>
  <c r="DO58" i="1"/>
  <c r="ED58" i="1"/>
  <c r="N58" i="1"/>
  <c r="AC58" i="1"/>
  <c r="AR58" i="1"/>
  <c r="BG58" i="1"/>
  <c r="BV58" i="1"/>
  <c r="CL58" i="1"/>
  <c r="DA58" i="1"/>
  <c r="DP58" i="1"/>
  <c r="EE58" i="1"/>
  <c r="P58" i="1"/>
  <c r="AE58" i="1"/>
  <c r="AT58" i="1"/>
  <c r="BJ58" i="1"/>
  <c r="BY58" i="1"/>
  <c r="CN58" i="1"/>
  <c r="DC58" i="1"/>
  <c r="DR58" i="1"/>
  <c r="EG58" i="1"/>
  <c r="U58" i="1"/>
  <c r="AN58" i="1"/>
  <c r="BL58" i="1"/>
  <c r="CE58" i="1"/>
  <c r="DB58" i="1"/>
  <c r="DV58" i="1"/>
  <c r="V58" i="1"/>
  <c r="AO58" i="1"/>
  <c r="BM58" i="1"/>
  <c r="CF58" i="1"/>
  <c r="DD58" i="1"/>
  <c r="DW58" i="1"/>
  <c r="X58" i="1"/>
  <c r="AV58" i="1"/>
  <c r="BO58" i="1"/>
  <c r="CH58" i="1"/>
  <c r="DF58" i="1"/>
  <c r="DY58" i="1"/>
  <c r="W58" i="1"/>
  <c r="AY58" i="1"/>
  <c r="BZ58" i="1"/>
  <c r="CV58" i="1"/>
  <c r="DZ58" i="1"/>
  <c r="Y58" i="1"/>
  <c r="AZ58" i="1"/>
  <c r="CA58" i="1"/>
  <c r="CW58" i="1"/>
  <c r="EB58" i="1"/>
  <c r="Z58" i="1"/>
  <c r="BA58" i="1"/>
  <c r="CB58" i="1"/>
  <c r="DE58" i="1"/>
  <c r="EF58" i="1"/>
  <c r="G58" i="1"/>
  <c r="G59" i="1" s="1"/>
  <c r="H57" i="1" s="1"/>
  <c r="AH58" i="1"/>
  <c r="BD58" i="1"/>
  <c r="CG58" i="1"/>
  <c r="DI58" i="1"/>
  <c r="H58" i="1"/>
  <c r="AI58" i="1"/>
  <c r="BH58" i="1"/>
  <c r="CM58" i="1"/>
  <c r="DJ58" i="1"/>
  <c r="R58" i="1"/>
  <c r="AW58" i="1"/>
  <c r="BS58" i="1"/>
  <c r="CT58" i="1"/>
  <c r="DU58" i="1"/>
  <c r="AK58" i="1"/>
  <c r="CD58" i="1"/>
  <c r="DX58" i="1"/>
  <c r="AL58" i="1"/>
  <c r="CO58" i="1"/>
  <c r="EH58" i="1"/>
  <c r="CP58" i="1"/>
  <c r="BC58" i="1"/>
  <c r="AD58" i="1"/>
  <c r="AF58" i="1"/>
  <c r="DT58" i="1"/>
  <c r="CR58" i="1"/>
  <c r="DQ58" i="1"/>
  <c r="AM58" i="1"/>
  <c r="AX58" i="1"/>
  <c r="AS58" i="1"/>
  <c r="CQ58" i="1"/>
  <c r="T58" i="1"/>
  <c r="CC58" i="1"/>
  <c r="CU58" i="1"/>
  <c r="BK58" i="1"/>
  <c r="BQ58" i="1"/>
  <c r="BR58" i="1"/>
  <c r="BX58" i="1"/>
  <c r="I58" i="1"/>
  <c r="BB58" i="1"/>
  <c r="CS58" i="1"/>
  <c r="J58" i="1"/>
  <c r="K58" i="1"/>
  <c r="DG58" i="1"/>
  <c r="AJ58" i="1"/>
  <c r="O58" i="1"/>
  <c r="BN58" i="1"/>
  <c r="DH58" i="1"/>
  <c r="Q58" i="1"/>
  <c r="BP58" i="1"/>
  <c r="DK58" i="1"/>
  <c r="DL58" i="1"/>
  <c r="DS58" i="1"/>
  <c r="G52" i="1"/>
  <c r="G50" i="1" s="1"/>
  <c r="G51" i="1"/>
  <c r="H49" i="1" s="1"/>
  <c r="H59" i="1" l="1"/>
  <c r="I57" i="1" s="1"/>
  <c r="I59" i="1" s="1"/>
  <c r="J57" i="1" s="1"/>
  <c r="J59" i="1" s="1"/>
  <c r="K57" i="1" s="1"/>
  <c r="K59" i="1" s="1"/>
  <c r="L57" i="1" s="1"/>
  <c r="L59" i="1" s="1"/>
  <c r="M57" i="1" s="1"/>
  <c r="M59" i="1" s="1"/>
  <c r="N57" i="1" s="1"/>
  <c r="N59" i="1" s="1"/>
  <c r="O57" i="1" s="1"/>
  <c r="O59" i="1" s="1"/>
  <c r="P57" i="1" s="1"/>
  <c r="P59" i="1" s="1"/>
  <c r="Q57" i="1" s="1"/>
  <c r="Q59" i="1" s="1"/>
  <c r="R57" i="1" s="1"/>
  <c r="R59" i="1" s="1"/>
  <c r="S57" i="1" s="1"/>
  <c r="S59" i="1" s="1"/>
  <c r="T57" i="1" s="1"/>
  <c r="T59" i="1" s="1"/>
  <c r="U57" i="1" s="1"/>
  <c r="U59" i="1" s="1"/>
  <c r="V57" i="1" s="1"/>
  <c r="V59" i="1" s="1"/>
  <c r="W57" i="1" s="1"/>
  <c r="W59" i="1" s="1"/>
  <c r="X57" i="1" s="1"/>
  <c r="X59" i="1" s="1"/>
  <c r="Y57" i="1" s="1"/>
  <c r="Y59" i="1" s="1"/>
  <c r="Z57" i="1" s="1"/>
  <c r="Z59" i="1" s="1"/>
  <c r="AA57" i="1" s="1"/>
  <c r="AA59" i="1" s="1"/>
  <c r="AB57" i="1" s="1"/>
  <c r="AB59" i="1" s="1"/>
  <c r="AC57" i="1" s="1"/>
  <c r="AC59" i="1" s="1"/>
  <c r="AD57" i="1" s="1"/>
  <c r="AD59" i="1" s="1"/>
  <c r="AE57" i="1" s="1"/>
  <c r="AE59" i="1" s="1"/>
  <c r="AF57" i="1" s="1"/>
  <c r="AF59" i="1" s="1"/>
  <c r="AG57" i="1" s="1"/>
  <c r="AG59" i="1" s="1"/>
  <c r="AH57" i="1" s="1"/>
  <c r="AH59" i="1" s="1"/>
  <c r="AI57" i="1" s="1"/>
  <c r="AI59" i="1" s="1"/>
  <c r="AJ57" i="1" s="1"/>
  <c r="AJ59" i="1" s="1"/>
  <c r="AK57" i="1" s="1"/>
  <c r="AK59" i="1" s="1"/>
  <c r="AL57" i="1" s="1"/>
  <c r="AL59" i="1" s="1"/>
  <c r="AM57" i="1" s="1"/>
  <c r="AM59" i="1" s="1"/>
  <c r="AN57" i="1" s="1"/>
  <c r="AN59" i="1" s="1"/>
  <c r="AO57" i="1" s="1"/>
  <c r="AO59" i="1" s="1"/>
  <c r="AP57" i="1" s="1"/>
  <c r="AP59" i="1" s="1"/>
  <c r="AQ57" i="1" s="1"/>
  <c r="AQ59" i="1" s="1"/>
  <c r="AR57" i="1" s="1"/>
  <c r="AR59" i="1" s="1"/>
  <c r="AS57" i="1" s="1"/>
  <c r="AS59" i="1" s="1"/>
  <c r="AT57" i="1" s="1"/>
  <c r="AT59" i="1" s="1"/>
  <c r="AU57" i="1" s="1"/>
  <c r="AU59" i="1" s="1"/>
  <c r="AV57" i="1" s="1"/>
  <c r="AV59" i="1" s="1"/>
  <c r="AW57" i="1" s="1"/>
  <c r="AW59" i="1" s="1"/>
  <c r="AX57" i="1" s="1"/>
  <c r="AX59" i="1" s="1"/>
  <c r="AY57" i="1" s="1"/>
  <c r="AY59" i="1" s="1"/>
  <c r="AZ57" i="1" s="1"/>
  <c r="AZ59" i="1" s="1"/>
  <c r="BA57" i="1" s="1"/>
  <c r="BA59" i="1" s="1"/>
  <c r="BB57" i="1" s="1"/>
  <c r="BB59" i="1" s="1"/>
  <c r="BC57" i="1" s="1"/>
  <c r="BC59" i="1" s="1"/>
  <c r="BD57" i="1" s="1"/>
  <c r="BD59" i="1" s="1"/>
  <c r="BE57" i="1" s="1"/>
  <c r="BE59" i="1" s="1"/>
  <c r="BF57" i="1" s="1"/>
  <c r="BF59" i="1" s="1"/>
  <c r="BG57" i="1" s="1"/>
  <c r="BG59" i="1" s="1"/>
  <c r="BH57" i="1" s="1"/>
  <c r="BH59" i="1" s="1"/>
  <c r="BI57" i="1" s="1"/>
  <c r="BI59" i="1" s="1"/>
  <c r="BJ57" i="1" s="1"/>
  <c r="BJ59" i="1" s="1"/>
  <c r="BK57" i="1" s="1"/>
  <c r="BK59" i="1" s="1"/>
  <c r="BL57" i="1" s="1"/>
  <c r="BL59" i="1" s="1"/>
  <c r="BM57" i="1" s="1"/>
  <c r="BM59" i="1" s="1"/>
  <c r="BN57" i="1" s="1"/>
  <c r="BN59" i="1" s="1"/>
  <c r="BO57" i="1" s="1"/>
  <c r="BO59" i="1" s="1"/>
  <c r="BP57" i="1" s="1"/>
  <c r="BP59" i="1" s="1"/>
  <c r="BQ57" i="1" s="1"/>
  <c r="BQ59" i="1" s="1"/>
  <c r="BR57" i="1" s="1"/>
  <c r="BR59" i="1" s="1"/>
  <c r="BS57" i="1" s="1"/>
  <c r="BS59" i="1" s="1"/>
  <c r="BT57" i="1" s="1"/>
  <c r="BT59" i="1" s="1"/>
  <c r="BU57" i="1" s="1"/>
  <c r="BU59" i="1" s="1"/>
  <c r="BV57" i="1" s="1"/>
  <c r="BV59" i="1" s="1"/>
  <c r="BW57" i="1" s="1"/>
  <c r="BW59" i="1" s="1"/>
  <c r="BX57" i="1" s="1"/>
  <c r="BX59" i="1" s="1"/>
  <c r="BY57" i="1" s="1"/>
  <c r="BY59" i="1" s="1"/>
  <c r="BZ57" i="1" s="1"/>
  <c r="BZ59" i="1" s="1"/>
  <c r="CA57" i="1" s="1"/>
  <c r="CA59" i="1" s="1"/>
  <c r="CB57" i="1" s="1"/>
  <c r="CB59" i="1" s="1"/>
  <c r="CC57" i="1" s="1"/>
  <c r="CC59" i="1" s="1"/>
  <c r="CD57" i="1" s="1"/>
  <c r="CD59" i="1" s="1"/>
  <c r="CE57" i="1" s="1"/>
  <c r="CE59" i="1" s="1"/>
  <c r="CF57" i="1" s="1"/>
  <c r="CF59" i="1" s="1"/>
  <c r="CG57" i="1" s="1"/>
  <c r="CG59" i="1" s="1"/>
  <c r="CH57" i="1" s="1"/>
  <c r="CH59" i="1" s="1"/>
  <c r="CI57" i="1" s="1"/>
  <c r="CI59" i="1" s="1"/>
  <c r="CJ57" i="1" s="1"/>
  <c r="CJ59" i="1" s="1"/>
  <c r="CK57" i="1" s="1"/>
  <c r="CK59" i="1" s="1"/>
  <c r="CL57" i="1" s="1"/>
  <c r="CL59" i="1" s="1"/>
  <c r="CM57" i="1" s="1"/>
  <c r="CM59" i="1" s="1"/>
  <c r="CN57" i="1" s="1"/>
  <c r="CN59" i="1" s="1"/>
  <c r="CO57" i="1" s="1"/>
  <c r="CO59" i="1" s="1"/>
  <c r="CP57" i="1" s="1"/>
  <c r="CP59" i="1" s="1"/>
  <c r="CQ57" i="1" s="1"/>
  <c r="CQ59" i="1" s="1"/>
  <c r="CR57" i="1" s="1"/>
  <c r="CR59" i="1" s="1"/>
  <c r="CS57" i="1" s="1"/>
  <c r="CS59" i="1" s="1"/>
  <c r="CT57" i="1" s="1"/>
  <c r="CT59" i="1" s="1"/>
  <c r="CU57" i="1" s="1"/>
  <c r="CU59" i="1" s="1"/>
  <c r="CV57" i="1" s="1"/>
  <c r="CV59" i="1" s="1"/>
  <c r="CW57" i="1" s="1"/>
  <c r="CW59" i="1" s="1"/>
  <c r="CX57" i="1" s="1"/>
  <c r="CX59" i="1" s="1"/>
  <c r="CY57" i="1" s="1"/>
  <c r="CY59" i="1" s="1"/>
  <c r="CZ57" i="1" s="1"/>
  <c r="CZ59" i="1" s="1"/>
  <c r="DA57" i="1" s="1"/>
  <c r="DA59" i="1" s="1"/>
  <c r="DB57" i="1" s="1"/>
  <c r="DB59" i="1" s="1"/>
  <c r="DC57" i="1" s="1"/>
  <c r="DC59" i="1" s="1"/>
  <c r="DD57" i="1" s="1"/>
  <c r="DD59" i="1" s="1"/>
  <c r="DE57" i="1" s="1"/>
  <c r="DE59" i="1" s="1"/>
  <c r="DF57" i="1" s="1"/>
  <c r="DF59" i="1" s="1"/>
  <c r="DG57" i="1" s="1"/>
  <c r="DG59" i="1" s="1"/>
  <c r="DH57" i="1" s="1"/>
  <c r="DH59" i="1" s="1"/>
  <c r="DI57" i="1" s="1"/>
  <c r="DI59" i="1" s="1"/>
  <c r="DJ57" i="1" s="1"/>
  <c r="DJ59" i="1" s="1"/>
  <c r="DK57" i="1" s="1"/>
  <c r="DK59" i="1" s="1"/>
  <c r="DL57" i="1" s="1"/>
  <c r="DL59" i="1" s="1"/>
  <c r="DM57" i="1" s="1"/>
  <c r="DM59" i="1" s="1"/>
  <c r="DN57" i="1" s="1"/>
  <c r="DN59" i="1" s="1"/>
  <c r="DO57" i="1" s="1"/>
  <c r="DO59" i="1" s="1"/>
  <c r="DP57" i="1" s="1"/>
  <c r="DP59" i="1" s="1"/>
  <c r="DQ57" i="1" s="1"/>
  <c r="DQ59" i="1" s="1"/>
  <c r="DR57" i="1" s="1"/>
  <c r="DR59" i="1" s="1"/>
  <c r="DS57" i="1" s="1"/>
  <c r="DS59" i="1" s="1"/>
  <c r="DT57" i="1" s="1"/>
  <c r="DT59" i="1" s="1"/>
  <c r="DU57" i="1" s="1"/>
  <c r="DU59" i="1" s="1"/>
  <c r="DV57" i="1" s="1"/>
  <c r="DV59" i="1" s="1"/>
  <c r="DW57" i="1" s="1"/>
  <c r="DW59" i="1" s="1"/>
  <c r="DX57" i="1" s="1"/>
  <c r="DX59" i="1" s="1"/>
  <c r="DY57" i="1" s="1"/>
  <c r="DY59" i="1" s="1"/>
  <c r="DZ57" i="1" s="1"/>
  <c r="DZ59" i="1" s="1"/>
  <c r="EA57" i="1" s="1"/>
  <c r="EA59" i="1" s="1"/>
  <c r="EB57" i="1" s="1"/>
  <c r="EB59" i="1" s="1"/>
  <c r="EC57" i="1" s="1"/>
  <c r="EC59" i="1" s="1"/>
  <c r="ED57" i="1" s="1"/>
  <c r="ED59" i="1" s="1"/>
  <c r="EE57" i="1" s="1"/>
  <c r="EE59" i="1" s="1"/>
  <c r="EF57" i="1" s="1"/>
  <c r="EF59" i="1" s="1"/>
  <c r="EG57" i="1" s="1"/>
  <c r="EG59" i="1" s="1"/>
  <c r="EH57" i="1" s="1"/>
  <c r="EH59" i="1" s="1"/>
  <c r="H52" i="1"/>
  <c r="H50" i="1" s="1"/>
  <c r="H51" i="1" s="1"/>
  <c r="I49" i="1" s="1"/>
  <c r="I52" i="1" l="1"/>
  <c r="I50" i="1" s="1"/>
  <c r="I51" i="1" s="1"/>
  <c r="J49" i="1" s="1"/>
  <c r="J52" i="1" l="1"/>
  <c r="J50" i="1" s="1"/>
  <c r="J51" i="1" s="1"/>
  <c r="K49" i="1" s="1"/>
  <c r="K52" i="1" l="1"/>
  <c r="K50" i="1" s="1"/>
  <c r="K51" i="1"/>
  <c r="L49" i="1" s="1"/>
  <c r="L52" i="1" l="1"/>
  <c r="L50" i="1" s="1"/>
  <c r="L51" i="1" s="1"/>
  <c r="M49" i="1" s="1"/>
  <c r="M52" i="1" l="1"/>
  <c r="M50" i="1" s="1"/>
  <c r="M51" i="1" s="1"/>
  <c r="N49" i="1" s="1"/>
  <c r="N52" i="1" l="1"/>
  <c r="N50" i="1" s="1"/>
  <c r="N51" i="1" s="1"/>
  <c r="O49" i="1" s="1"/>
  <c r="O52" i="1" l="1"/>
  <c r="O50" i="1" s="1"/>
  <c r="O51" i="1" s="1"/>
  <c r="P49" i="1" s="1"/>
  <c r="P52" i="1" l="1"/>
  <c r="P50" i="1" s="1"/>
  <c r="P51" i="1" s="1"/>
  <c r="Q49" i="1" s="1"/>
  <c r="Q52" i="1" l="1"/>
  <c r="Q50" i="1" s="1"/>
  <c r="Q51" i="1"/>
  <c r="R49" i="1" s="1"/>
  <c r="R52" i="1" l="1"/>
  <c r="R50" i="1" s="1"/>
  <c r="R51" i="1" s="1"/>
  <c r="S49" i="1" s="1"/>
  <c r="S52" i="1" l="1"/>
  <c r="S50" i="1" s="1"/>
  <c r="S51" i="1"/>
  <c r="T49" i="1" s="1"/>
  <c r="T52" i="1" l="1"/>
  <c r="T50" i="1" s="1"/>
  <c r="T51" i="1"/>
  <c r="U49" i="1" s="1"/>
  <c r="U52" i="1" l="1"/>
  <c r="U50" i="1" s="1"/>
  <c r="U51" i="1"/>
  <c r="V49" i="1" s="1"/>
  <c r="V52" i="1" l="1"/>
  <c r="V50" i="1" s="1"/>
  <c r="V51" i="1"/>
  <c r="W49" i="1" s="1"/>
  <c r="W52" i="1" l="1"/>
  <c r="W50" i="1" s="1"/>
  <c r="W51" i="1" s="1"/>
  <c r="X49" i="1" s="1"/>
  <c r="X52" i="1" l="1"/>
  <c r="X50" i="1" s="1"/>
  <c r="X51" i="1"/>
  <c r="Y49" i="1" s="1"/>
  <c r="Y52" i="1" l="1"/>
  <c r="Y50" i="1" s="1"/>
  <c r="Y51" i="1" s="1"/>
  <c r="Z49" i="1" s="1"/>
  <c r="Z52" i="1" l="1"/>
  <c r="Z50" i="1" s="1"/>
  <c r="Z51" i="1" s="1"/>
  <c r="AA49" i="1" s="1"/>
  <c r="AA52" i="1" l="1"/>
  <c r="AA50" i="1" s="1"/>
  <c r="AA51" i="1"/>
  <c r="AB49" i="1" s="1"/>
  <c r="AB52" i="1" l="1"/>
  <c r="AB50" i="1" s="1"/>
  <c r="AB51" i="1"/>
  <c r="AC49" i="1" s="1"/>
  <c r="AC52" i="1" l="1"/>
  <c r="AC50" i="1" s="1"/>
  <c r="AC51" i="1" s="1"/>
  <c r="AD49" i="1" s="1"/>
  <c r="AD52" i="1" l="1"/>
  <c r="AD50" i="1" s="1"/>
  <c r="AD51" i="1"/>
  <c r="AE49" i="1" s="1"/>
  <c r="AE52" i="1" l="1"/>
  <c r="AE50" i="1" s="1"/>
  <c r="AE51" i="1"/>
  <c r="AF49" i="1" s="1"/>
  <c r="AF52" i="1" l="1"/>
  <c r="AF50" i="1" s="1"/>
  <c r="AF51" i="1" s="1"/>
  <c r="AG49" i="1" s="1"/>
  <c r="AG52" i="1" l="1"/>
  <c r="AG50" i="1" s="1"/>
  <c r="AG51" i="1" s="1"/>
  <c r="AH49" i="1" s="1"/>
  <c r="AH52" i="1" l="1"/>
  <c r="AH50" i="1" s="1"/>
  <c r="AH51" i="1"/>
  <c r="AI49" i="1" s="1"/>
  <c r="AI52" i="1" l="1"/>
  <c r="AI50" i="1" s="1"/>
  <c r="AI51" i="1"/>
  <c r="AJ49" i="1" s="1"/>
  <c r="AJ52" i="1" l="1"/>
  <c r="AJ50" i="1" s="1"/>
  <c r="AJ51" i="1" s="1"/>
  <c r="AK49" i="1" s="1"/>
  <c r="AK52" i="1" l="1"/>
  <c r="AK50" i="1" s="1"/>
  <c r="AK51" i="1" s="1"/>
  <c r="AL49" i="1" s="1"/>
  <c r="AL52" i="1" l="1"/>
  <c r="AL50" i="1" s="1"/>
  <c r="AL51" i="1" s="1"/>
  <c r="AM49" i="1" s="1"/>
  <c r="AM52" i="1" l="1"/>
  <c r="AM50" i="1" s="1"/>
  <c r="AM51" i="1"/>
  <c r="AN49" i="1" s="1"/>
  <c r="AN52" i="1" l="1"/>
  <c r="AN50" i="1" s="1"/>
  <c r="AN51" i="1" s="1"/>
  <c r="AO49" i="1" s="1"/>
  <c r="AO52" i="1" l="1"/>
  <c r="AO50" i="1" s="1"/>
  <c r="AO51" i="1" s="1"/>
  <c r="AP49" i="1" s="1"/>
  <c r="AP52" i="1" l="1"/>
  <c r="AP50" i="1" s="1"/>
  <c r="AP51" i="1" s="1"/>
  <c r="AQ49" i="1" s="1"/>
  <c r="AQ52" i="1" l="1"/>
  <c r="AQ50" i="1" s="1"/>
  <c r="AQ51" i="1"/>
  <c r="AR49" i="1" s="1"/>
  <c r="AR52" i="1" l="1"/>
  <c r="AR50" i="1" s="1"/>
  <c r="AR51" i="1"/>
  <c r="AS49" i="1" s="1"/>
  <c r="AS52" i="1" l="1"/>
  <c r="AS50" i="1" s="1"/>
  <c r="AS51" i="1"/>
  <c r="AT49" i="1" s="1"/>
  <c r="AT52" i="1" l="1"/>
  <c r="AT50" i="1" s="1"/>
  <c r="AT51" i="1" s="1"/>
  <c r="AU49" i="1" s="1"/>
  <c r="AU52" i="1" l="1"/>
  <c r="AU50" i="1" s="1"/>
  <c r="AU51" i="1" s="1"/>
  <c r="AV49" i="1" s="1"/>
  <c r="AV52" i="1" l="1"/>
  <c r="AV50" i="1" s="1"/>
  <c r="AV51" i="1" s="1"/>
  <c r="AW49" i="1" s="1"/>
  <c r="AW52" i="1" l="1"/>
  <c r="AW50" i="1" s="1"/>
  <c r="AW51" i="1"/>
  <c r="AX49" i="1" s="1"/>
  <c r="AX52" i="1" l="1"/>
  <c r="AX50" i="1" s="1"/>
  <c r="AX51" i="1"/>
  <c r="AY49" i="1" s="1"/>
  <c r="AY52" i="1" l="1"/>
  <c r="AY50" i="1" s="1"/>
  <c r="AY51" i="1" s="1"/>
  <c r="AZ49" i="1" s="1"/>
  <c r="AZ52" i="1" l="1"/>
  <c r="AZ50" i="1" s="1"/>
  <c r="AZ51" i="1"/>
  <c r="BA49" i="1" s="1"/>
  <c r="BA52" i="1" l="1"/>
  <c r="BA50" i="1" s="1"/>
  <c r="BA51" i="1" s="1"/>
  <c r="BB49" i="1" s="1"/>
  <c r="BB52" i="1" l="1"/>
  <c r="BB50" i="1" s="1"/>
  <c r="BB51" i="1"/>
  <c r="BC49" i="1" s="1"/>
  <c r="BC52" i="1" l="1"/>
  <c r="BC50" i="1" s="1"/>
  <c r="BC51" i="1"/>
  <c r="BD49" i="1" s="1"/>
  <c r="BD52" i="1" l="1"/>
  <c r="BD50" i="1" s="1"/>
  <c r="BD51" i="1"/>
  <c r="BE49" i="1" s="1"/>
  <c r="BE52" i="1" l="1"/>
  <c r="BE50" i="1" s="1"/>
  <c r="BE51" i="1" s="1"/>
  <c r="BF49" i="1" s="1"/>
  <c r="BF52" i="1" l="1"/>
  <c r="BF50" i="1" s="1"/>
  <c r="BF51" i="1" s="1"/>
  <c r="BG49" i="1" s="1"/>
  <c r="BG52" i="1" l="1"/>
  <c r="BG50" i="1" s="1"/>
  <c r="BG51" i="1"/>
  <c r="BH49" i="1" s="1"/>
  <c r="BH52" i="1" l="1"/>
  <c r="BH50" i="1" s="1"/>
  <c r="BH51" i="1" s="1"/>
  <c r="BI49" i="1" s="1"/>
  <c r="BI52" i="1" l="1"/>
  <c r="BI50" i="1" s="1"/>
  <c r="BI51" i="1" s="1"/>
  <c r="BJ49" i="1" s="1"/>
  <c r="BJ52" i="1" l="1"/>
  <c r="BJ50" i="1" s="1"/>
  <c r="BJ51" i="1" s="1"/>
  <c r="BK49" i="1" s="1"/>
  <c r="BK52" i="1" l="1"/>
  <c r="BK50" i="1" s="1"/>
  <c r="BK51" i="1" s="1"/>
  <c r="BL49" i="1" s="1"/>
  <c r="BL52" i="1" l="1"/>
  <c r="BL50" i="1" s="1"/>
  <c r="BL51" i="1" s="1"/>
  <c r="BM49" i="1" s="1"/>
  <c r="BM52" i="1" l="1"/>
  <c r="BM50" i="1" s="1"/>
  <c r="BM51" i="1" s="1"/>
  <c r="BN49" i="1" s="1"/>
  <c r="BN52" i="1" l="1"/>
  <c r="BN50" i="1" s="1"/>
  <c r="BN51" i="1"/>
  <c r="BO49" i="1" s="1"/>
  <c r="BO52" i="1" l="1"/>
  <c r="BO50" i="1" s="1"/>
  <c r="BO51" i="1"/>
  <c r="BP49" i="1" s="1"/>
  <c r="BP52" i="1" l="1"/>
  <c r="BP50" i="1" s="1"/>
  <c r="BP51" i="1" s="1"/>
  <c r="BQ49" i="1" s="1"/>
  <c r="BQ52" i="1" l="1"/>
  <c r="BQ50" i="1" s="1"/>
  <c r="BQ51" i="1"/>
  <c r="BR49" i="1" s="1"/>
  <c r="BR52" i="1" l="1"/>
  <c r="BR50" i="1" s="1"/>
  <c r="BR51" i="1" s="1"/>
  <c r="BS49" i="1" s="1"/>
  <c r="BS52" i="1" l="1"/>
  <c r="BS50" i="1" s="1"/>
  <c r="BS51" i="1"/>
  <c r="BT49" i="1" s="1"/>
  <c r="BT52" i="1" l="1"/>
  <c r="BT50" i="1" s="1"/>
  <c r="BT51" i="1" s="1"/>
  <c r="BU49" i="1" s="1"/>
  <c r="BU52" i="1" l="1"/>
  <c r="BU50" i="1" s="1"/>
  <c r="BU51" i="1" s="1"/>
  <c r="BV49" i="1" s="1"/>
  <c r="BV52" i="1" l="1"/>
  <c r="BV50" i="1" s="1"/>
  <c r="BV51" i="1"/>
  <c r="BW49" i="1" s="1"/>
  <c r="BW52" i="1" l="1"/>
  <c r="BW50" i="1" s="1"/>
  <c r="BW51" i="1"/>
  <c r="BX49" i="1" s="1"/>
  <c r="BX52" i="1" l="1"/>
  <c r="BX50" i="1" s="1"/>
  <c r="BX51" i="1" s="1"/>
  <c r="BY49" i="1" s="1"/>
  <c r="BY52" i="1" l="1"/>
  <c r="BY50" i="1" s="1"/>
  <c r="BY51" i="1" s="1"/>
  <c r="BZ49" i="1" s="1"/>
  <c r="BZ52" i="1" l="1"/>
  <c r="BZ50" i="1" s="1"/>
  <c r="BZ51" i="1" s="1"/>
  <c r="CA49" i="1" s="1"/>
  <c r="CA52" i="1" l="1"/>
  <c r="CA50" i="1" s="1"/>
  <c r="CA51" i="1" s="1"/>
  <c r="CB49" i="1" s="1"/>
  <c r="CB52" i="1" l="1"/>
  <c r="CB50" i="1" s="1"/>
  <c r="CB51" i="1"/>
  <c r="CC49" i="1" s="1"/>
  <c r="CC52" i="1" l="1"/>
  <c r="CC50" i="1" s="1"/>
  <c r="CC51" i="1"/>
  <c r="CD49" i="1" s="1"/>
  <c r="CD52" i="1" l="1"/>
  <c r="CD50" i="1" s="1"/>
  <c r="CD51" i="1"/>
  <c r="CE49" i="1" s="1"/>
  <c r="CE52" i="1" l="1"/>
  <c r="CE50" i="1" s="1"/>
  <c r="CE51" i="1"/>
  <c r="CF49" i="1" s="1"/>
  <c r="CF52" i="1" l="1"/>
  <c r="CF50" i="1" s="1"/>
  <c r="CF51" i="1"/>
  <c r="CG49" i="1" s="1"/>
  <c r="CG52" i="1" l="1"/>
  <c r="CG50" i="1" s="1"/>
  <c r="CG51" i="1" s="1"/>
  <c r="CH49" i="1" s="1"/>
  <c r="CH52" i="1" l="1"/>
  <c r="CH50" i="1" s="1"/>
  <c r="CH51" i="1"/>
  <c r="CI49" i="1" s="1"/>
  <c r="CI52" i="1" l="1"/>
  <c r="CI50" i="1" s="1"/>
  <c r="CI51" i="1"/>
  <c r="CJ49" i="1" s="1"/>
  <c r="CJ52" i="1" l="1"/>
  <c r="CJ50" i="1" s="1"/>
  <c r="CJ51" i="1" s="1"/>
  <c r="CK49" i="1" s="1"/>
  <c r="CK52" i="1" l="1"/>
  <c r="CK50" i="1" s="1"/>
  <c r="CK51" i="1"/>
  <c r="CL49" i="1" s="1"/>
  <c r="CL52" i="1" l="1"/>
  <c r="CL50" i="1" s="1"/>
  <c r="CL51" i="1" s="1"/>
  <c r="CM49" i="1" s="1"/>
  <c r="CM52" i="1" l="1"/>
  <c r="CM50" i="1" s="1"/>
  <c r="CM51" i="1" s="1"/>
  <c r="CN49" i="1" s="1"/>
  <c r="CN52" i="1" l="1"/>
  <c r="CN50" i="1" s="1"/>
  <c r="CN51" i="1" s="1"/>
  <c r="CO49" i="1" s="1"/>
  <c r="CO52" i="1" l="1"/>
  <c r="CO50" i="1" s="1"/>
  <c r="CO51" i="1" s="1"/>
  <c r="CP49" i="1" s="1"/>
  <c r="CP52" i="1" l="1"/>
  <c r="CP50" i="1" s="1"/>
  <c r="CP51" i="1" s="1"/>
  <c r="CQ49" i="1" s="1"/>
  <c r="CQ52" i="1" l="1"/>
  <c r="CQ50" i="1" s="1"/>
  <c r="CQ51" i="1"/>
  <c r="CR49" i="1" s="1"/>
  <c r="CR52" i="1" l="1"/>
  <c r="CR50" i="1" s="1"/>
  <c r="CR51" i="1"/>
  <c r="CS49" i="1" s="1"/>
  <c r="CS52" i="1" l="1"/>
  <c r="CS50" i="1" s="1"/>
  <c r="CS51" i="1"/>
  <c r="CT49" i="1" s="1"/>
  <c r="CT52" i="1" l="1"/>
  <c r="CT50" i="1" s="1"/>
  <c r="CT51" i="1" s="1"/>
  <c r="CU49" i="1" s="1"/>
  <c r="CU52" i="1" l="1"/>
  <c r="CU50" i="1" s="1"/>
  <c r="CU51" i="1" s="1"/>
  <c r="CV49" i="1" s="1"/>
  <c r="CV52" i="1" l="1"/>
  <c r="CV50" i="1" s="1"/>
  <c r="CV51" i="1" s="1"/>
  <c r="CW49" i="1" s="1"/>
  <c r="CW52" i="1" l="1"/>
  <c r="CW50" i="1" s="1"/>
  <c r="CW51" i="1" s="1"/>
  <c r="CX49" i="1" s="1"/>
  <c r="CX52" i="1" l="1"/>
  <c r="CX50" i="1" s="1"/>
  <c r="CX51" i="1" s="1"/>
  <c r="CY49" i="1" s="1"/>
  <c r="CY52" i="1" l="1"/>
  <c r="CY50" i="1" s="1"/>
  <c r="CY51" i="1" s="1"/>
  <c r="CZ49" i="1" s="1"/>
  <c r="CZ52" i="1" l="1"/>
  <c r="CZ50" i="1" s="1"/>
  <c r="CZ51" i="1" s="1"/>
  <c r="DA49" i="1" s="1"/>
  <c r="DA52" i="1" l="1"/>
  <c r="DA50" i="1" s="1"/>
  <c r="DA51" i="1" s="1"/>
  <c r="DB49" i="1" s="1"/>
  <c r="DB52" i="1" l="1"/>
  <c r="DB50" i="1" s="1"/>
  <c r="DB51" i="1" s="1"/>
  <c r="DC49" i="1" s="1"/>
  <c r="DC52" i="1" l="1"/>
  <c r="DC50" i="1" s="1"/>
  <c r="DC51" i="1" s="1"/>
  <c r="DD49" i="1" s="1"/>
  <c r="DD52" i="1" l="1"/>
  <c r="DD50" i="1" s="1"/>
  <c r="DD51" i="1" s="1"/>
  <c r="DE49" i="1" s="1"/>
  <c r="DE52" i="1" l="1"/>
  <c r="DE50" i="1" s="1"/>
  <c r="DE51" i="1" s="1"/>
  <c r="DF49" i="1" s="1"/>
  <c r="DF52" i="1" l="1"/>
  <c r="DF50" i="1" s="1"/>
  <c r="DF51" i="1"/>
  <c r="DG49" i="1" s="1"/>
  <c r="DG52" i="1" l="1"/>
  <c r="DG50" i="1" s="1"/>
  <c r="DG51" i="1"/>
  <c r="DH49" i="1" s="1"/>
  <c r="DH52" i="1" l="1"/>
  <c r="DH50" i="1" s="1"/>
  <c r="DH51" i="1"/>
  <c r="DI49" i="1" s="1"/>
  <c r="DI52" i="1" l="1"/>
  <c r="DI50" i="1" s="1"/>
  <c r="DI51" i="1" s="1"/>
  <c r="DJ49" i="1" s="1"/>
  <c r="DJ52" i="1" l="1"/>
  <c r="DJ50" i="1" s="1"/>
  <c r="DJ51" i="1"/>
  <c r="DK49" i="1" s="1"/>
  <c r="DK52" i="1" l="1"/>
  <c r="DK50" i="1" s="1"/>
  <c r="DK51" i="1"/>
  <c r="DL49" i="1" s="1"/>
  <c r="DL52" i="1" l="1"/>
  <c r="DL50" i="1" s="1"/>
  <c r="DL51" i="1" s="1"/>
  <c r="DM49" i="1" s="1"/>
  <c r="DM52" i="1" l="1"/>
  <c r="DM50" i="1" s="1"/>
  <c r="DM51" i="1"/>
  <c r="DN49" i="1" s="1"/>
  <c r="DN52" i="1" l="1"/>
  <c r="DN50" i="1" s="1"/>
  <c r="DN51" i="1"/>
  <c r="DO49" i="1" s="1"/>
  <c r="DO52" i="1" l="1"/>
  <c r="DO50" i="1" s="1"/>
  <c r="DO51" i="1" s="1"/>
  <c r="DP49" i="1" s="1"/>
  <c r="DP52" i="1" l="1"/>
  <c r="DP50" i="1" s="1"/>
  <c r="DP51" i="1" s="1"/>
  <c r="DQ49" i="1" s="1"/>
  <c r="DQ52" i="1" l="1"/>
  <c r="DQ50" i="1" s="1"/>
  <c r="DQ51" i="1" s="1"/>
  <c r="DR49" i="1" s="1"/>
  <c r="DR52" i="1" l="1"/>
  <c r="DR50" i="1" s="1"/>
  <c r="DR51" i="1" s="1"/>
  <c r="DS49" i="1" s="1"/>
  <c r="DS52" i="1" l="1"/>
  <c r="DS50" i="1" s="1"/>
  <c r="DS51" i="1" s="1"/>
  <c r="DT49" i="1" s="1"/>
  <c r="DT52" i="1" l="1"/>
  <c r="DT50" i="1" s="1"/>
  <c r="DT51" i="1" s="1"/>
  <c r="DU49" i="1" s="1"/>
  <c r="DU52" i="1" l="1"/>
  <c r="DU50" i="1" s="1"/>
  <c r="DU51" i="1" s="1"/>
  <c r="DV49" i="1" s="1"/>
  <c r="DV52" i="1" l="1"/>
  <c r="DV50" i="1" s="1"/>
  <c r="DV51" i="1"/>
  <c r="DW49" i="1" s="1"/>
  <c r="DW52" i="1" l="1"/>
  <c r="DW50" i="1" s="1"/>
  <c r="DW51" i="1"/>
  <c r="DX49" i="1" s="1"/>
  <c r="DX52" i="1" l="1"/>
  <c r="DX50" i="1" s="1"/>
  <c r="DX51" i="1" s="1"/>
  <c r="DY49" i="1" s="1"/>
  <c r="DY52" i="1" l="1"/>
  <c r="DY50" i="1" s="1"/>
  <c r="DY51" i="1"/>
  <c r="DZ49" i="1" s="1"/>
  <c r="DZ52" i="1" l="1"/>
  <c r="DZ50" i="1" s="1"/>
  <c r="DZ51" i="1"/>
  <c r="EA49" i="1" s="1"/>
  <c r="EA52" i="1" l="1"/>
  <c r="EA50" i="1" s="1"/>
  <c r="EA51" i="1"/>
  <c r="EB49" i="1" s="1"/>
  <c r="EB52" i="1" l="1"/>
  <c r="EB50" i="1" s="1"/>
  <c r="EB51" i="1" s="1"/>
  <c r="EC49" i="1" s="1"/>
  <c r="EC52" i="1" l="1"/>
  <c r="EC50" i="1" s="1"/>
  <c r="EC51" i="1" s="1"/>
  <c r="ED49" i="1" s="1"/>
  <c r="ED52" i="1" l="1"/>
  <c r="ED50" i="1" s="1"/>
  <c r="ED51" i="1" s="1"/>
  <c r="EE49" i="1" s="1"/>
  <c r="EE52" i="1" l="1"/>
  <c r="EE50" i="1" s="1"/>
  <c r="EE51" i="1" s="1"/>
  <c r="EF49" i="1" s="1"/>
  <c r="EF52" i="1" l="1"/>
  <c r="EF50" i="1" s="1"/>
  <c r="EF51" i="1"/>
  <c r="EG49" i="1" s="1"/>
  <c r="EG52" i="1" l="1"/>
  <c r="EG50" i="1" s="1"/>
  <c r="EG51" i="1" s="1"/>
  <c r="EH49" i="1" s="1"/>
  <c r="EH52" i="1" l="1"/>
  <c r="EH50" i="1" s="1"/>
  <c r="EH51" i="1" s="1"/>
</calcChain>
</file>

<file path=xl/sharedStrings.xml><?xml version="1.0" encoding="utf-8"?>
<sst xmlns="http://schemas.openxmlformats.org/spreadsheetml/2006/main" count="49" uniqueCount="47">
  <si>
    <t>M.A. Gafur</t>
  </si>
  <si>
    <t>Laxmipur BB POP</t>
  </si>
  <si>
    <t>Agreement date</t>
  </si>
  <si>
    <t>Expiry date</t>
  </si>
  <si>
    <t>Remaining term</t>
  </si>
  <si>
    <t>Base date</t>
  </si>
  <si>
    <t>Months to calculate</t>
  </si>
  <si>
    <t>Interest rate (annually)</t>
  </si>
  <si>
    <t>Interest rate (monthly) (1+Annual Rate)^(1/12)-1</t>
  </si>
  <si>
    <t>Sq Ft</t>
  </si>
  <si>
    <t>Net rent-office</t>
  </si>
  <si>
    <t>Net rent-DG &amp; Battery room</t>
  </si>
  <si>
    <t>Tax need to be top up? (Yes/No)</t>
  </si>
  <si>
    <t>Gross rent-office</t>
  </si>
  <si>
    <t>Gross rent-DG &amp; Battery room</t>
  </si>
  <si>
    <t>Tax</t>
  </si>
  <si>
    <t>VAT</t>
  </si>
  <si>
    <t>Increment interval (year)</t>
  </si>
  <si>
    <t>Increment interval counting date</t>
  </si>
  <si>
    <t>Increment dates</t>
  </si>
  <si>
    <t>Security Deposit</t>
  </si>
  <si>
    <t>security deposits to m/s t.k</t>
  </si>
  <si>
    <t>1st rental payment after intial advance</t>
  </si>
  <si>
    <t>Advance amount</t>
  </si>
  <si>
    <t>Advance adj start date</t>
  </si>
  <si>
    <t>no. of months for advance adjustment</t>
  </si>
  <si>
    <t>Advance adj end date</t>
  </si>
  <si>
    <t>Payment month</t>
  </si>
  <si>
    <t>NPV</t>
  </si>
  <si>
    <t>Principle repayment</t>
  </si>
  <si>
    <t>Interest cost</t>
  </si>
  <si>
    <t>Particulars</t>
  </si>
  <si>
    <t>Total present value for rent</t>
  </si>
  <si>
    <t>No. of months</t>
  </si>
  <si>
    <t>Discount factor (1/(1+rate)^number of installment)</t>
  </si>
  <si>
    <t>Cash outflow-office</t>
  </si>
  <si>
    <t>Cash outflow-DG &amp; Battery room</t>
  </si>
  <si>
    <t>Openning lease obligation</t>
  </si>
  <si>
    <t>Lease payment</t>
  </si>
  <si>
    <t>Closing lease obligation</t>
  </si>
  <si>
    <t>Finance expense</t>
  </si>
  <si>
    <t>PPE movement</t>
  </si>
  <si>
    <t>Openning balance</t>
  </si>
  <si>
    <t>Depeciation charged</t>
  </si>
  <si>
    <t>WDV</t>
  </si>
  <si>
    <t>Adjustement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</si>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</sst>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[$-409]d\-mmm\-yy;@"/>
    <numFmt numFmtId="167" formatCode="_(* #,##0_);_(* \(#,##0\);_(* &quot;-&quot;??_);_(@_)"/>
    <numFmt numFmtId="168" formatCode="[$-409]dd\-mmm\-yy;@"/>
    <numFmt numFmtId="169" formatCode="[$-F800]dddd\,\ mmmm\ dd\,\ yyyy"/>
    <numFmt numFmtId="170" formatCode="[$-409]mmmm\-yy;@"/>
    <numFmt numFmtId="171" formatCode="_(* #,##0.0000_);_(* \(#,##0.0000\);_(* &quot;-&quot;??_);_(@_)"/>
    <numFmt numFmtId="172" formatCode="[$-409]d/mmm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i/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2">
    <xf numFmtId="0" fontId="0" fillId="0" borderId="0" xfId="0"/>
    <xf numFmtId="41" fontId="3" fillId="0" borderId="0" xfId="3" applyNumberFormat="1" applyFont="1" applyFill="1" applyBorder="1" applyAlignment="1">
      <alignment vertical="top"/>
    </xf>
    <xf numFmtId="165" fontId="3" fillId="0" borderId="0" xfId="3" applyNumberFormat="1" applyFont="1" applyFill="1" applyBorder="1" applyAlignment="1">
      <alignment vertical="top" wrapText="1"/>
    </xf>
    <xf numFmtId="165" fontId="3" fillId="0" borderId="0" xfId="3" applyNumberFormat="1" applyFont="1" applyFill="1" applyBorder="1" applyAlignment="1">
      <alignment vertical="top"/>
    </xf>
    <xf numFmtId="167" fontId="4" fillId="0" borderId="0" xfId="1" applyNumberFormat="1" applyFont="1" applyFill="1" applyBorder="1" applyAlignment="1">
      <alignment vertical="top"/>
    </xf>
    <xf numFmtId="3" fontId="4" fillId="0" borderId="5" xfId="1" applyNumberFormat="1" applyFont="1" applyFill="1" applyBorder="1" applyAlignment="1">
      <alignment horizontal="right" vertical="top"/>
    </xf>
    <xf numFmtId="167" fontId="8" fillId="0" borderId="0" xfId="1" applyNumberFormat="1" applyFont="1" applyFill="1" applyAlignment="1">
      <alignment vertical="top"/>
    </xf>
    <xf numFmtId="165" fontId="3" fillId="0" borderId="10" xfId="3" applyNumberFormat="1" applyFont="1" applyFill="1" applyBorder="1" applyAlignment="1">
      <alignment vertical="top"/>
    </xf>
    <xf numFmtId="165" fontId="3" fillId="0" borderId="11" xfId="3" applyNumberFormat="1" applyFont="1" applyFill="1" applyBorder="1" applyAlignment="1">
      <alignment vertical="top"/>
    </xf>
    <xf numFmtId="167" fontId="3" fillId="0" borderId="11" xfId="1" applyNumberFormat="1" applyFont="1" applyFill="1" applyBorder="1" applyAlignment="1">
      <alignment vertical="top"/>
    </xf>
    <xf numFmtId="166" fontId="5" fillId="0" borderId="12" xfId="3" applyNumberFormat="1" applyFont="1" applyFill="1" applyBorder="1" applyAlignment="1">
      <alignment vertical="top"/>
    </xf>
    <xf numFmtId="0" fontId="5" fillId="0" borderId="10" xfId="3" applyNumberFormat="1" applyFont="1" applyFill="1" applyBorder="1" applyAlignment="1">
      <alignment vertical="top"/>
    </xf>
    <xf numFmtId="0" fontId="5" fillId="0" borderId="11" xfId="3" applyNumberFormat="1" applyFont="1" applyFill="1" applyBorder="1" applyAlignment="1">
      <alignment vertical="top"/>
    </xf>
    <xf numFmtId="0" fontId="5" fillId="0" borderId="13" xfId="3" applyNumberFormat="1" applyFont="1" applyFill="1" applyBorder="1" applyAlignment="1">
      <alignment vertical="top"/>
    </xf>
    <xf numFmtId="0" fontId="5" fillId="0" borderId="14" xfId="3" applyNumberFormat="1" applyFont="1" applyFill="1" applyBorder="1" applyAlignment="1">
      <alignment horizontal="center" vertical="top" wrapText="1"/>
    </xf>
    <xf numFmtId="0" fontId="5" fillId="0" borderId="15" xfId="3" applyNumberFormat="1" applyFont="1" applyFill="1" applyBorder="1" applyAlignment="1">
      <alignment horizontal="center" vertical="top" wrapText="1"/>
    </xf>
    <xf numFmtId="168" fontId="5" fillId="0" borderId="12" xfId="3" applyNumberFormat="1" applyFont="1" applyFill="1" applyBorder="1" applyAlignment="1">
      <alignment vertical="top"/>
    </xf>
    <xf numFmtId="168" fontId="5" fillId="0" borderId="12" xfId="3" applyNumberFormat="1" applyFont="1" applyFill="1" applyBorder="1" applyAlignment="1">
      <alignment vertical="top" wrapText="1"/>
    </xf>
    <xf numFmtId="0" fontId="3" fillId="0" borderId="16" xfId="3" applyNumberFormat="1" applyFont="1" applyFill="1" applyBorder="1" applyAlignment="1">
      <alignment horizontal="left" vertical="top"/>
    </xf>
    <xf numFmtId="165" fontId="3" fillId="0" borderId="16" xfId="3" applyNumberFormat="1" applyFont="1" applyFill="1" applyBorder="1" applyAlignment="1">
      <alignment horizontal="center" vertical="top"/>
    </xf>
    <xf numFmtId="1" fontId="3" fillId="0" borderId="16" xfId="3" applyNumberFormat="1" applyFont="1" applyFill="1" applyBorder="1" applyAlignment="1">
      <alignment horizontal="center" vertical="top"/>
    </xf>
    <xf numFmtId="1" fontId="3" fillId="0" borderId="16" xfId="3" applyNumberFormat="1" applyFont="1" applyFill="1" applyBorder="1" applyAlignment="1">
      <alignment horizontal="center" vertical="top" wrapText="1"/>
    </xf>
    <xf numFmtId="0" fontId="4" fillId="0" borderId="0" xfId="3" applyNumberFormat="1" applyFont="1" applyFill="1" applyBorder="1" applyAlignment="1">
      <alignment vertical="top"/>
    </xf>
    <xf numFmtId="166" fontId="3" fillId="0" borderId="0" xfId="3" applyNumberFormat="1" applyFont="1" applyFill="1" applyBorder="1" applyAlignment="1">
      <alignment vertical="top"/>
    </xf>
    <xf numFmtId="165" fontId="5" fillId="0" borderId="0" xfId="3" applyNumberFormat="1" applyFont="1" applyFill="1" applyBorder="1" applyAlignment="1">
      <alignment vertical="top"/>
    </xf>
    <xf numFmtId="0" fontId="5" fillId="0" borderId="0" xfId="3" applyNumberFormat="1" applyFont="1" applyFill="1" applyBorder="1" applyAlignment="1">
      <alignment vertical="top"/>
    </xf>
    <xf numFmtId="172" fontId="5" fillId="0" borderId="0" xfId="3" applyNumberFormat="1" applyFont="1" applyFill="1" applyBorder="1" applyAlignment="1">
      <alignment vertical="top"/>
    </xf>
    <xf numFmtId="165" fontId="5" fillId="0" borderId="0" xfId="3" applyNumberFormat="1" applyFont="1" applyFill="1" applyBorder="1" applyAlignment="1">
      <alignment vertical="top" wrapText="1"/>
    </xf>
    <xf numFmtId="0" fontId="3" fillId="0" borderId="17" xfId="3" applyNumberFormat="1" applyFont="1" applyFill="1" applyBorder="1" applyAlignment="1">
      <alignment vertical="top"/>
    </xf>
    <xf numFmtId="167" fontId="3" fillId="0" borderId="17" xfId="3" applyNumberFormat="1" applyFont="1" applyFill="1" applyBorder="1" applyAlignment="1">
      <alignment horizontal="left" vertical="top"/>
    </xf>
    <xf numFmtId="167" fontId="3" fillId="0" borderId="17" xfId="3" applyNumberFormat="1" applyFont="1" applyFill="1" applyBorder="1" applyAlignment="1">
      <alignment horizontal="left" vertical="top" wrapText="1"/>
    </xf>
    <xf numFmtId="165" fontId="3" fillId="0" borderId="0" xfId="3" applyNumberFormat="1" applyFont="1" applyFill="1" applyAlignment="1">
      <alignment vertical="top" wrapText="1"/>
    </xf>
    <xf numFmtId="0" fontId="3" fillId="0" borderId="0" xfId="3" applyNumberFormat="1" applyFont="1" applyFill="1" applyBorder="1" applyAlignment="1">
      <alignment vertical="top"/>
    </xf>
    <xf numFmtId="167" fontId="3" fillId="0" borderId="18" xfId="3" applyNumberFormat="1" applyFont="1" applyFill="1" applyBorder="1" applyAlignment="1">
      <alignment horizontal="left" vertical="top"/>
    </xf>
    <xf numFmtId="0" fontId="5" fillId="0" borderId="19" xfId="3" applyNumberFormat="1" applyFont="1" applyFill="1" applyBorder="1" applyAlignment="1">
      <alignment vertical="top"/>
    </xf>
    <xf numFmtId="167" fontId="3" fillId="0" borderId="19" xfId="3" applyNumberFormat="1" applyFont="1" applyFill="1" applyBorder="1" applyAlignment="1">
      <alignment horizontal="left" vertical="top"/>
    </xf>
    <xf numFmtId="167" fontId="3" fillId="0" borderId="19" xfId="3" applyNumberFormat="1" applyFont="1" applyFill="1" applyBorder="1" applyAlignment="1">
      <alignment horizontal="left" vertical="top" wrapText="1"/>
    </xf>
    <xf numFmtId="0" fontId="3" fillId="0" borderId="16" xfId="3" applyNumberFormat="1" applyFont="1" applyFill="1" applyBorder="1" applyAlignment="1">
      <alignment vertical="top"/>
    </xf>
    <xf numFmtId="167" fontId="3" fillId="0" borderId="16" xfId="3" applyNumberFormat="1" applyFont="1" applyFill="1" applyBorder="1" applyAlignment="1">
      <alignment horizontal="left" vertical="top"/>
    </xf>
    <xf numFmtId="167" fontId="3" fillId="0" borderId="16" xfId="3" applyNumberFormat="1" applyFont="1" applyFill="1" applyBorder="1" applyAlignment="1">
      <alignment horizontal="left" vertical="top" wrapText="1"/>
    </xf>
    <xf numFmtId="165" fontId="3" fillId="0" borderId="16" xfId="3" applyNumberFormat="1" applyFont="1" applyFill="1" applyBorder="1" applyAlignment="1">
      <alignment vertical="top" wrapText="1"/>
    </xf>
    <xf numFmtId="167" fontId="3" fillId="0" borderId="0" xfId="3" applyNumberFormat="1" applyFont="1" applyFill="1" applyBorder="1" applyAlignment="1">
      <alignment horizontal="left" vertical="top"/>
    </xf>
    <xf numFmtId="167" fontId="3" fillId="0" borderId="0" xfId="3" applyNumberFormat="1" applyFont="1" applyFill="1" applyBorder="1" applyAlignment="1">
      <alignment horizontal="left" vertical="top" wrapText="1"/>
    </xf>
    <xf numFmtId="0" fontId="5" fillId="0" borderId="17" xfId="3" applyNumberFormat="1" applyFont="1" applyFill="1" applyBorder="1" applyAlignment="1">
      <alignment vertical="top"/>
    </xf>
    <xf numFmtId="165" fontId="3" fillId="0" borderId="17" xfId="3" applyNumberFormat="1" applyFont="1" applyFill="1" applyBorder="1" applyAlignment="1">
      <alignment vertical="top"/>
    </xf>
    <xf numFmtId="165" fontId="3" fillId="0" borderId="17" xfId="3" applyNumberFormat="1" applyFont="1" applyFill="1" applyBorder="1" applyAlignment="1">
      <alignment vertical="top" wrapText="1"/>
    </xf>
    <xf numFmtId="0" fontId="5" fillId="0" borderId="16" xfId="3" applyNumberFormat="1" applyFont="1" applyFill="1" applyBorder="1" applyAlignment="1">
      <alignment vertical="top"/>
    </xf>
    <xf numFmtId="167" fontId="5" fillId="0" borderId="16" xfId="3" applyNumberFormat="1" applyFont="1" applyFill="1" applyBorder="1" applyAlignment="1">
      <alignment horizontal="left" vertical="top"/>
    </xf>
    <xf numFmtId="167" fontId="5" fillId="0" borderId="16" xfId="3" applyNumberFormat="1" applyFont="1" applyFill="1" applyBorder="1" applyAlignment="1">
      <alignment horizontal="left" vertical="top" wrapText="1"/>
    </xf>
    <xf numFmtId="167" fontId="3" fillId="0" borderId="0" xfId="1" applyNumberFormat="1" applyFont="1" applyFill="1" applyBorder="1" applyAlignment="1">
      <alignment vertical="top"/>
    </xf>
    <xf numFmtId="165" fontId="3" fillId="0" borderId="16" xfId="3" applyNumberFormat="1" applyFont="1" applyFill="1" applyBorder="1" applyAlignment="1">
      <alignment vertical="top"/>
    </xf>
    <xf numFmtId="0" fontId="3" fillId="0" borderId="0" xfId="0" applyFont="1" applyFill="1" applyAlignment="1">
      <alignment vertical="top"/>
    </xf>
    <xf numFmtId="165" fontId="3" fillId="0" borderId="0" xfId="3" applyNumberFormat="1" applyFont="1" applyFill="1" applyAlignment="1">
      <alignment vertical="top"/>
    </xf>
    <xf numFmtId="0" fontId="4" fillId="0" borderId="0" xfId="0" applyFont="1" applyFill="1" applyAlignment="1">
      <alignment vertical="top"/>
    </xf>
    <xf numFmtId="166" fontId="4" fillId="0" borderId="0" xfId="3" applyNumberFormat="1" applyFont="1" applyFill="1" applyBorder="1" applyAlignment="1">
      <alignment vertical="top"/>
    </xf>
    <xf numFmtId="0" fontId="3" fillId="0" borderId="0" xfId="0" applyFont="1" applyFill="1" applyAlignment="1">
      <alignment vertical="top" wrapText="1"/>
    </xf>
    <xf numFmtId="165" fontId="5" fillId="0" borderId="1" xfId="3" applyNumberFormat="1" applyFont="1" applyFill="1" applyBorder="1" applyAlignment="1">
      <alignment vertical="top"/>
    </xf>
    <xf numFmtId="165" fontId="5" fillId="0" borderId="2" xfId="3" applyNumberFormat="1" applyFont="1" applyFill="1" applyBorder="1" applyAlignment="1">
      <alignment vertical="top"/>
    </xf>
    <xf numFmtId="0" fontId="5" fillId="0" borderId="2" xfId="0" applyFont="1" applyFill="1" applyBorder="1" applyAlignment="1">
      <alignment vertical="top"/>
    </xf>
    <xf numFmtId="165" fontId="3" fillId="0" borderId="3" xfId="3" applyNumberFormat="1" applyFont="1" applyFill="1" applyBorder="1" applyAlignment="1">
      <alignment vertical="top"/>
    </xf>
    <xf numFmtId="165" fontId="5" fillId="0" borderId="4" xfId="3" applyNumberFormat="1" applyFont="1" applyFill="1" applyBorder="1" applyAlignment="1">
      <alignment vertical="top"/>
    </xf>
    <xf numFmtId="0" fontId="5" fillId="0" borderId="0" xfId="0" applyFont="1" applyFill="1" applyAlignment="1">
      <alignment vertical="top"/>
    </xf>
    <xf numFmtId="165" fontId="3" fillId="0" borderId="5" xfId="3" applyNumberFormat="1" applyFont="1" applyFill="1" applyBorder="1" applyAlignment="1">
      <alignment vertical="top"/>
    </xf>
    <xf numFmtId="0" fontId="3" fillId="0" borderId="4" xfId="0" applyFont="1" applyFill="1" applyBorder="1" applyAlignment="1">
      <alignment vertical="top"/>
    </xf>
    <xf numFmtId="15" fontId="3" fillId="0" borderId="5" xfId="0" applyNumberFormat="1" applyFont="1" applyFill="1" applyBorder="1" applyAlignment="1">
      <alignment horizontal="right" vertical="top"/>
    </xf>
    <xf numFmtId="165" fontId="3" fillId="0" borderId="0" xfId="0" applyNumberFormat="1" applyFont="1" applyFill="1" applyAlignment="1">
      <alignment vertical="top"/>
    </xf>
    <xf numFmtId="165" fontId="3" fillId="0" borderId="5" xfId="3" applyNumberFormat="1" applyFont="1" applyFill="1" applyBorder="1" applyAlignment="1">
      <alignment horizontal="right" vertical="top"/>
    </xf>
    <xf numFmtId="15" fontId="3" fillId="0" borderId="0" xfId="0" applyNumberFormat="1" applyFont="1" applyFill="1" applyAlignment="1">
      <alignment vertical="top"/>
    </xf>
    <xf numFmtId="10" fontId="6" fillId="0" borderId="6" xfId="2" applyNumberFormat="1" applyFont="1" applyFill="1" applyBorder="1" applyAlignment="1">
      <alignment horizontal="right"/>
    </xf>
    <xf numFmtId="166" fontId="7" fillId="0" borderId="0" xfId="3" applyNumberFormat="1" applyFont="1" applyFill="1" applyBorder="1" applyAlignment="1">
      <alignment vertical="top"/>
    </xf>
    <xf numFmtId="166" fontId="5" fillId="0" borderId="5" xfId="3" applyNumberFormat="1" applyFont="1" applyFill="1" applyBorder="1" applyAlignment="1">
      <alignment horizontal="right" vertical="top"/>
    </xf>
    <xf numFmtId="167" fontId="5" fillId="0" borderId="0" xfId="1" applyNumberFormat="1" applyFont="1" applyFill="1" applyBorder="1" applyAlignment="1">
      <alignment vertical="top"/>
    </xf>
    <xf numFmtId="43" fontId="3" fillId="0" borderId="0" xfId="0" applyNumberFormat="1" applyFont="1" applyFill="1" applyAlignment="1">
      <alignment vertical="top"/>
    </xf>
    <xf numFmtId="167" fontId="4" fillId="0" borderId="5" xfId="1" applyNumberFormat="1" applyFont="1" applyFill="1" applyBorder="1" applyAlignment="1">
      <alignment horizontal="right" vertical="top"/>
    </xf>
    <xf numFmtId="167" fontId="3" fillId="0" borderId="0" xfId="1" applyNumberFormat="1" applyFont="1" applyFill="1" applyAlignment="1">
      <alignment vertical="top"/>
    </xf>
    <xf numFmtId="167" fontId="8" fillId="0" borderId="0" xfId="1" applyNumberFormat="1" applyFont="1" applyFill="1" applyBorder="1" applyAlignment="1">
      <alignment vertical="top"/>
    </xf>
    <xf numFmtId="167" fontId="3" fillId="0" borderId="5" xfId="1" applyNumberFormat="1" applyFont="1" applyFill="1" applyBorder="1" applyAlignment="1">
      <alignment horizontal="right" vertical="top"/>
    </xf>
    <xf numFmtId="167" fontId="3" fillId="0" borderId="0" xfId="0" applyNumberFormat="1" applyFont="1" applyFill="1" applyAlignment="1">
      <alignment vertical="top"/>
    </xf>
    <xf numFmtId="167" fontId="4" fillId="0" borderId="0" xfId="1" applyNumberFormat="1" applyFont="1" applyFill="1" applyBorder="1" applyAlignment="1">
      <alignment horizontal="right" vertical="top"/>
    </xf>
    <xf numFmtId="9" fontId="3" fillId="0" borderId="5" xfId="2" applyFont="1" applyFill="1" applyBorder="1" applyAlignment="1">
      <alignment horizontal="right" vertical="top"/>
    </xf>
    <xf numFmtId="166" fontId="5" fillId="0" borderId="0" xfId="3" applyNumberFormat="1" applyFont="1" applyFill="1" applyBorder="1" applyAlignment="1">
      <alignment vertical="top"/>
    </xf>
    <xf numFmtId="15" fontId="3" fillId="0" borderId="5" xfId="1" applyNumberFormat="1" applyFont="1" applyFill="1" applyBorder="1" applyAlignment="1">
      <alignment horizontal="right" vertical="top"/>
    </xf>
    <xf numFmtId="9" fontId="3" fillId="0" borderId="0" xfId="2" applyFont="1" applyFill="1" applyBorder="1" applyAlignment="1">
      <alignment horizontal="right" vertical="top"/>
    </xf>
    <xf numFmtId="168" fontId="4" fillId="0" borderId="5" xfId="1" applyNumberFormat="1" applyFont="1" applyFill="1" applyBorder="1" applyAlignment="1">
      <alignment horizontal="right" vertical="top"/>
    </xf>
    <xf numFmtId="167" fontId="3" fillId="0" borderId="0" xfId="0" applyNumberFormat="1" applyFont="1" applyFill="1" applyAlignment="1">
      <alignment vertical="top" wrapText="1"/>
    </xf>
    <xf numFmtId="0" fontId="8" fillId="0" borderId="0" xfId="0" applyFont="1" applyFill="1" applyAlignment="1">
      <alignment vertical="top"/>
    </xf>
    <xf numFmtId="166" fontId="3" fillId="0" borderId="5" xfId="3" applyNumberFormat="1" applyFont="1" applyFill="1" applyBorder="1" applyAlignment="1">
      <alignment horizontal="right" vertical="top"/>
    </xf>
    <xf numFmtId="169" fontId="3" fillId="0" borderId="0" xfId="0" applyNumberFormat="1" applyFont="1" applyFill="1" applyAlignment="1">
      <alignment vertical="top"/>
    </xf>
    <xf numFmtId="170" fontId="4" fillId="0" borderId="5" xfId="1" applyNumberFormat="1" applyFont="1" applyFill="1" applyBorder="1" applyAlignment="1">
      <alignment horizontal="right" vertical="top"/>
    </xf>
    <xf numFmtId="0" fontId="3" fillId="0" borderId="7" xfId="0" applyFont="1" applyFill="1" applyBorder="1" applyAlignment="1">
      <alignment vertical="top"/>
    </xf>
    <xf numFmtId="0" fontId="3" fillId="0" borderId="8" xfId="0" applyFont="1" applyFill="1" applyBorder="1" applyAlignment="1">
      <alignment vertical="top"/>
    </xf>
    <xf numFmtId="165" fontId="3" fillId="0" borderId="8" xfId="3" applyNumberFormat="1" applyFont="1" applyFill="1" applyBorder="1" applyAlignment="1">
      <alignment vertical="top"/>
    </xf>
    <xf numFmtId="167" fontId="4" fillId="0" borderId="9" xfId="1" applyNumberFormat="1" applyFont="1" applyFill="1" applyBorder="1" applyAlignment="1">
      <alignment horizontal="right" vertical="top"/>
    </xf>
    <xf numFmtId="168" fontId="9" fillId="0" borderId="12" xfId="0" applyNumberFormat="1" applyFont="1" applyFill="1" applyBorder="1" applyAlignment="1">
      <alignment vertical="top"/>
    </xf>
    <xf numFmtId="168" fontId="9" fillId="0" borderId="12" xfId="0" applyNumberFormat="1" applyFont="1" applyFill="1" applyBorder="1" applyAlignment="1">
      <alignment vertical="top" wrapText="1"/>
    </xf>
    <xf numFmtId="0" fontId="3" fillId="0" borderId="11" xfId="0" applyFont="1" applyFill="1" applyBorder="1" applyAlignment="1">
      <alignment vertical="top" wrapText="1"/>
    </xf>
    <xf numFmtId="0" fontId="5" fillId="0" borderId="11" xfId="0" applyFont="1" applyFill="1" applyBorder="1" applyAlignment="1">
      <alignment vertical="top" wrapText="1"/>
    </xf>
    <xf numFmtId="0" fontId="5" fillId="0" borderId="0" xfId="0" applyFont="1" applyFill="1" applyAlignment="1">
      <alignment horizontal="center" vertical="top" wrapText="1"/>
    </xf>
    <xf numFmtId="0" fontId="8" fillId="0" borderId="0" xfId="3" applyNumberFormat="1" applyFont="1" applyFill="1" applyBorder="1" applyAlignment="1">
      <alignment vertical="top"/>
    </xf>
    <xf numFmtId="172" fontId="3" fillId="0" borderId="0" xfId="0" applyNumberFormat="1" applyFont="1" applyFill="1" applyAlignment="1">
      <alignment vertical="top" wrapText="1"/>
    </xf>
    <xf numFmtId="0" fontId="3" fillId="0" borderId="17" xfId="0" applyFont="1" applyFill="1" applyBorder="1" applyAlignment="1">
      <alignment vertical="top" wrapText="1"/>
    </xf>
    <xf numFmtId="0" fontId="3" fillId="0" borderId="0" xfId="0" applyFont="1" applyFill="1" applyAlignment="1">
      <alignment horizontal="left" vertical="top" wrapText="1"/>
    </xf>
    <xf numFmtId="10" fontId="3" fillId="2" borderId="5" xfId="0" applyNumberFormat="1" applyFont="1" applyFill="1" applyBorder="1" applyAlignment="1">
      <alignment horizontal="right" vertical="top"/>
    </xf>
    <xf numFmtId="171" fontId="3" fillId="2" borderId="0" xfId="1" applyNumberFormat="1" applyFont="1" applyFill="1" applyAlignment="1">
      <alignment vertical="top"/>
    </xf>
    <xf numFmtId="171" fontId="3" fillId="2" borderId="0" xfId="1" applyNumberFormat="1" applyFont="1" applyFill="1" applyBorder="1" applyAlignment="1">
      <alignment vertical="top"/>
    </xf>
    <xf numFmtId="171" fontId="3" fillId="2" borderId="0" xfId="1" applyNumberFormat="1" applyFont="1" applyFill="1" applyAlignment="1">
      <alignment vertical="top" wrapText="1"/>
    </xf>
    <xf numFmtId="171" fontId="5" fillId="2" borderId="0" xfId="1" applyNumberFormat="1" applyFont="1" applyFill="1" applyAlignment="1">
      <alignment vertical="top" wrapText="1"/>
    </xf>
    <xf numFmtId="0" fontId="10" fillId="3" borderId="0" xfId="3" applyNumberFormat="1" applyFont="1" applyFill="1" applyBorder="1" applyAlignment="1">
      <alignment vertical="top"/>
    </xf>
    <xf numFmtId="172" fontId="10" fillId="3" borderId="0" xfId="3" applyNumberFormat="1" applyFont="1" applyFill="1" applyBorder="1" applyAlignment="1">
      <alignment vertical="top"/>
    </xf>
    <xf numFmtId="165" fontId="11" fillId="3" borderId="0" xfId="3" applyNumberFormat="1" applyFont="1" applyFill="1" applyBorder="1" applyAlignment="1">
      <alignment vertical="top"/>
    </xf>
    <xf numFmtId="165" fontId="3" fillId="3" borderId="0" xfId="3" applyNumberFormat="1" applyFont="1" applyFill="1" applyBorder="1" applyAlignment="1">
      <alignment vertical="top"/>
    </xf>
    <xf numFmtId="165" fontId="5" fillId="3" borderId="0" xfId="3" applyNumberFormat="1" applyFont="1" applyFill="1" applyBorder="1" applyAlignment="1">
      <alignment vertical="top"/>
    </xf>
    <xf numFmtId="172" fontId="3" fillId="3" borderId="0" xfId="0" applyNumberFormat="1" applyFont="1" applyFill="1" applyAlignment="1">
      <alignment vertical="top" wrapText="1"/>
    </xf>
    <xf numFmtId="167" fontId="3" fillId="4" borderId="17" xfId="3" applyNumberFormat="1" applyFont="1" applyFill="1" applyBorder="1" applyAlignment="1">
      <alignment horizontal="left" vertical="top"/>
    </xf>
    <xf numFmtId="167" fontId="3" fillId="4" borderId="0" xfId="3" applyNumberFormat="1" applyFont="1" applyFill="1" applyBorder="1" applyAlignment="1">
      <alignment horizontal="left" vertical="top"/>
    </xf>
    <xf numFmtId="0" fontId="3" fillId="4" borderId="17" xfId="3" applyNumberFormat="1" applyFont="1" applyFill="1" applyBorder="1" applyAlignment="1">
      <alignment vertical="top"/>
    </xf>
    <xf numFmtId="0" fontId="5" fillId="4" borderId="17" xfId="3" applyNumberFormat="1" applyFont="1" applyFill="1" applyBorder="1" applyAlignment="1">
      <alignment vertical="top"/>
    </xf>
    <xf numFmtId="167" fontId="3" fillId="4" borderId="5" xfId="1" applyNumberFormat="1" applyFont="1" applyFill="1" applyBorder="1" applyAlignment="1">
      <alignment horizontal="right" vertical="top"/>
    </xf>
    <xf numFmtId="9" fontId="3" fillId="4" borderId="0" xfId="2" applyFont="1" applyFill="1" applyBorder="1" applyAlignment="1">
      <alignment horizontal="right" vertical="top"/>
    </xf>
    <xf numFmtId="0" fontId="4" fillId="5" borderId="0" xfId="3" applyNumberFormat="1" applyFont="1" applyFill="1" applyBorder="1" applyAlignment="1">
      <alignment vertical="top"/>
    </xf>
    <xf numFmtId="166" fontId="3" fillId="5" borderId="0" xfId="3" applyNumberFormat="1" applyFont="1" applyFill="1" applyBorder="1" applyAlignment="1">
      <alignment vertical="top"/>
    </xf>
    <xf numFmtId="165" fontId="3" fillId="5" borderId="0" xfId="3" applyNumberFormat="1" applyFont="1" applyFill="1" applyBorder="1" applyAlignment="1">
      <alignment vertical="top"/>
    </xf>
  </cellXfs>
  <cellStyles count="4">
    <cellStyle name="Comma" xfId="1" builtinId="3"/>
    <cellStyle name="Comma 2" xfId="3" xr:uid="{58ADA365-0CC7-4BEF-864C-E909F1C7FFFB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fmlaLink="$D$15" lockText="1" noThreeD="1"/>
</file>

<file path=xl/ctrlProps/ctrlProp2.xml><?xml version="1.0" encoding="utf-8"?>
<formControlPr xmlns="http://schemas.microsoft.com/office/spreadsheetml/2009/9/main" objectType="CheckBox" checked="Checked" fmlaLink="$C$29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50800</xdr:colOff>
          <xdr:row>13</xdr:row>
          <xdr:rowOff>165100</xdr:rowOff>
        </xdr:from>
        <xdr:to>
          <xdr:col>1</xdr:col>
          <xdr:colOff>257175</xdr:colOff>
          <xdr:row>15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77B40DC-A5AD-472F-9108-19480A2FFC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27</xdr:row>
          <xdr:rowOff>133350</xdr:rowOff>
        </xdr:from>
        <xdr:to>
          <xdr:col>1</xdr:col>
          <xdr:colOff>447675</xdr:colOff>
          <xdr:row>29</xdr:row>
          <xdr:rowOff>28575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909879F-BE50-487D-8DA3-B9CA1CA8B8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</a:t>
              </a:r>
            </a:p>
          </xdr:txBody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zahed_ibrahim_summitcommunications_net/Documents/New%20folder/Lease%20IFRS%2016/New%20folder%20(2)/ROU%20&amp;%20lease%20202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 sheet (2)"/>
      <sheetName val="Top sheet (3)"/>
      <sheetName val="Top sheet info3"/>
      <sheetName val="Top sheet"/>
      <sheetName val="1145-G.M Compos"/>
      <sheetName val="0177-Sayda Nargis 3rd&amp;1st"/>
      <sheetName val="0177-3rd&amp;1st"/>
      <sheetName val="0177-Sayda Nargis 2nd"/>
      <sheetName val="0177-2nd"/>
      <sheetName val="0177-608sft"/>
      <sheetName val="0177-608sft (2)"/>
      <sheetName val="0177-rooftop"/>
      <sheetName val="0177-rooftop (2)"/>
      <sheetName val="0191-renewed"/>
      <sheetName val="0191-renewed (2)"/>
      <sheetName val="1145-G.M Compos (2)"/>
      <sheetName val="0172-modified"/>
      <sheetName val="0172-modified (2)"/>
      <sheetName val="0178"/>
      <sheetName val="0178 (2)"/>
      <sheetName val="0178 -expansion"/>
      <sheetName val="0178 -expansion (2)"/>
      <sheetName val="0179"/>
      <sheetName val="0179 (2)"/>
      <sheetName val="0181"/>
      <sheetName val="0316"/>
      <sheetName val="0316 (2)"/>
      <sheetName val="0318"/>
      <sheetName val="0318 (2)"/>
      <sheetName val="0375 "/>
      <sheetName val="0375  (2)"/>
      <sheetName val="0391 "/>
      <sheetName val="0391  (2)"/>
      <sheetName val="1362"/>
      <sheetName val="1362 (2)"/>
      <sheetName val="1682"/>
      <sheetName val="1682 (2)"/>
      <sheetName val="1727mirpur new"/>
      <sheetName val="1727mirpur new (2)"/>
      <sheetName val="1833"/>
      <sheetName val="1833 (2)"/>
      <sheetName val="1904-modification"/>
      <sheetName val="1904-modification (2)"/>
      <sheetName val="1906"/>
      <sheetName val="1906 (2)"/>
      <sheetName val="1926"/>
      <sheetName val="1926 (2)"/>
      <sheetName val="1983"/>
      <sheetName val="1983 (2)"/>
      <sheetName val="1984"/>
      <sheetName val="1984 (2)"/>
      <sheetName val="2000"/>
      <sheetName val="2000 (2)"/>
      <sheetName val="2006"/>
      <sheetName val="2006 (2)"/>
      <sheetName val="2021"/>
      <sheetName val="2021 (2)"/>
      <sheetName val="2029"/>
      <sheetName val="2029 (2)"/>
      <sheetName val="2056"/>
      <sheetName val="2056 (2)"/>
      <sheetName val="2079"/>
      <sheetName val="2079 (2)"/>
      <sheetName val="0708"/>
      <sheetName val="0708 (2)"/>
      <sheetName val=" 0277-Amzad hossai"/>
      <sheetName val=" 0277-Amzad hossai (2)"/>
      <sheetName val="0277-gen&amp;parking"/>
      <sheetName val="0277-gen&amp;parking (2)"/>
      <sheetName val="0162-modification"/>
      <sheetName val="0162-modification (2)"/>
      <sheetName val="0168-renewal"/>
      <sheetName val="0168-renewal (2)"/>
      <sheetName val="0182 Khalilur rahman"/>
      <sheetName val="0182 Khalilur rahman (2)"/>
      <sheetName val="1611"/>
      <sheetName val="1611 (2)"/>
      <sheetName val="1924"/>
      <sheetName val="1924 (2)"/>
      <sheetName val="1928"/>
      <sheetName val="1928 (2)"/>
      <sheetName val="1929"/>
      <sheetName val="1929 (2)"/>
      <sheetName val="1966"/>
      <sheetName val="1966 (2)"/>
      <sheetName val="0551-new"/>
      <sheetName val="0551-new (2)"/>
      <sheetName val="1322 "/>
      <sheetName val="1322  (2)"/>
      <sheetName val="0450"/>
      <sheetName val="0450 (2)"/>
      <sheetName val="0458"/>
      <sheetName val="0458 (2)"/>
      <sheetName val="0460. modified"/>
      <sheetName val="0460. modified (2)"/>
      <sheetName val="0502"/>
      <sheetName val="0502 (2)"/>
      <sheetName val="1343"/>
      <sheetName val="1343 (2)"/>
      <sheetName val="1641"/>
      <sheetName val="1641 (2)"/>
      <sheetName val="1632-sylhet info"/>
      <sheetName val="1632-sylhet info (2)"/>
      <sheetName val="1905"/>
      <sheetName val="1905 (2)"/>
      <sheetName val="0177-200sft"/>
      <sheetName val="2046"/>
      <sheetName val="0164-new space"/>
      <sheetName val="0164-new space (2)"/>
      <sheetName val="0164-Rafiqul-old space"/>
      <sheetName val="1090-Md. Anisuzzaman"/>
      <sheetName val="1247 renewal"/>
      <sheetName val="1686-Purbachal"/>
      <sheetName val="1827"/>
      <sheetName val="1944"/>
      <sheetName val="0166 renewal"/>
      <sheetName val="0170-renewal"/>
      <sheetName val="0171-renewed"/>
      <sheetName val="0304-17th"/>
      <sheetName val="0304-TK3rd"/>
      <sheetName val="0390 -modified"/>
      <sheetName val="0437"/>
      <sheetName val="0957"/>
      <sheetName val="0304-13th"/>
      <sheetName val="1943"/>
      <sheetName val="1943 (2)"/>
      <sheetName val="1943 (Reassessment)"/>
      <sheetName val="2284"/>
      <sheetName val="0181 (2)"/>
      <sheetName val="0164-Rafiqul-old space (2)"/>
      <sheetName val="0181-renew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8663-23CA-47AC-A4B0-D9DE501E3D7E}">
  <sheetPr>
    <tabColor rgb="FF00B050"/>
  </sheetPr>
  <dimension ref="A1:EH66"/>
  <sheetViews>
    <sheetView tabSelected="1" view="pageBreakPreview" topLeftCell="A2" zoomScaleNormal="99" zoomScaleSheetLayoutView="100" workbookViewId="0">
      <selection activeCell="E74" sqref="E74"/>
    </sheetView>
  </sheetViews>
  <sheetFormatPr defaultColWidth="10.1796875" defaultRowHeight="14.5" x14ac:dyDescent="0.35"/>
  <cols>
    <col min="1" max="1" width="32.81640625" style="51" customWidth="1"/>
    <col min="2" max="2" width="8.1796875" style="51" customWidth="1"/>
    <col min="3" max="3" width="12.54296875" style="51" bestFit="1" customWidth="1"/>
    <col min="4" max="4" width="8.54296875" style="52" customWidth="1"/>
    <col min="5" max="5" width="12.81640625" style="52" bestFit="1" customWidth="1"/>
    <col min="6" max="6" width="26" style="52" bestFit="1" customWidth="1"/>
    <col min="7" max="7" width="12.1796875" style="51" bestFit="1" customWidth="1"/>
    <col min="8" max="8" width="13.1796875" style="51" bestFit="1" customWidth="1"/>
    <col min="9" max="29" width="12.1796875" style="51" bestFit="1" customWidth="1"/>
    <col min="30" max="30" width="11.81640625" style="51" bestFit="1" customWidth="1"/>
    <col min="31" max="39" width="11.1796875" style="51" bestFit="1" customWidth="1"/>
    <col min="40" max="40" width="10.81640625" style="55" bestFit="1" customWidth="1"/>
    <col min="41" max="42" width="11.1796875" style="55" bestFit="1" customWidth="1"/>
    <col min="43" max="43" width="11.1796875" style="55" customWidth="1"/>
    <col min="44" max="44" width="12" style="55" bestFit="1" customWidth="1"/>
    <col min="45" max="45" width="12.54296875" style="55" customWidth="1"/>
    <col min="46" max="66" width="10.1796875" style="55"/>
    <col min="67" max="67" width="12.1796875" style="55" bestFit="1" customWidth="1"/>
    <col min="68" max="123" width="10.1796875" style="55"/>
    <col min="124" max="124" width="11.1796875" style="55" bestFit="1" customWidth="1"/>
    <col min="125" max="16384" width="10.1796875" style="55"/>
  </cols>
  <sheetData>
    <row r="1" spans="1:45" ht="15" hidden="1" thickBot="1" x14ac:dyDescent="0.4">
      <c r="K1" s="53"/>
      <c r="L1" s="54"/>
      <c r="M1" s="53"/>
      <c r="N1" s="53"/>
    </row>
    <row r="2" spans="1:45" x14ac:dyDescent="0.35">
      <c r="A2" s="56" t="s">
        <v>0</v>
      </c>
      <c r="B2" s="57"/>
      <c r="C2" s="58">
        <v>2284</v>
      </c>
      <c r="D2" s="57" t="s">
        <v>1</v>
      </c>
      <c r="E2" s="59"/>
    </row>
    <row r="3" spans="1:45" x14ac:dyDescent="0.35">
      <c r="A3" s="60"/>
      <c r="B3" s="24"/>
      <c r="C3" s="61"/>
      <c r="D3" s="24"/>
      <c r="E3" s="62"/>
    </row>
    <row r="4" spans="1:45" x14ac:dyDescent="0.35">
      <c r="A4" s="63" t="s">
        <v>2</v>
      </c>
      <c r="D4" s="3"/>
      <c r="E4" s="64">
        <v>45901</v>
      </c>
      <c r="F4" s="3"/>
      <c r="G4" s="55"/>
      <c r="H4" s="65"/>
      <c r="I4" s="1"/>
      <c r="J4" s="1"/>
    </row>
    <row r="5" spans="1:45" x14ac:dyDescent="0.35">
      <c r="A5" s="63" t="s">
        <v>3</v>
      </c>
      <c r="D5" s="3"/>
      <c r="E5" s="64">
        <v>49552</v>
      </c>
      <c r="F5" s="3"/>
      <c r="G5" s="55"/>
      <c r="H5" s="65"/>
      <c r="I5" s="1"/>
      <c r="J5" s="1"/>
    </row>
    <row r="6" spans="1:45" x14ac:dyDescent="0.35">
      <c r="A6" s="63" t="s">
        <v>4</v>
      </c>
      <c r="D6" s="3"/>
      <c r="E6" s="66">
        <f>DATEDIF(E4,E5,"m")+1</f>
        <v>120</v>
      </c>
      <c r="F6" s="3"/>
      <c r="G6" s="55"/>
      <c r="H6" s="65"/>
      <c r="I6" s="1"/>
      <c r="J6" s="1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31"/>
      <c r="AO6" s="31"/>
      <c r="AP6" s="31"/>
      <c r="AQ6" s="31"/>
      <c r="AR6" s="31"/>
      <c r="AS6" s="31"/>
    </row>
    <row r="7" spans="1:45" x14ac:dyDescent="0.35">
      <c r="A7" s="63" t="s">
        <v>5</v>
      </c>
      <c r="D7" s="3"/>
      <c r="E7" s="64">
        <v>45962</v>
      </c>
      <c r="F7" s="3"/>
      <c r="G7" s="2"/>
      <c r="H7" s="65"/>
      <c r="I7" s="1"/>
      <c r="J7" s="1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31"/>
      <c r="AO7" s="31"/>
      <c r="AP7" s="31"/>
      <c r="AQ7" s="31"/>
      <c r="AR7" s="31"/>
      <c r="AS7" s="31"/>
    </row>
    <row r="8" spans="1:45" x14ac:dyDescent="0.35">
      <c r="A8" s="63" t="s">
        <v>6</v>
      </c>
      <c r="D8" s="3"/>
      <c r="E8" s="66">
        <f>DATEDIF(E7,E5,"m")+1</f>
        <v>118</v>
      </c>
      <c r="F8" s="3"/>
      <c r="G8" s="55"/>
      <c r="H8" s="3"/>
      <c r="I8" s="1"/>
      <c r="J8" s="1"/>
      <c r="K8" s="67"/>
      <c r="L8" s="3"/>
      <c r="M8" s="3"/>
      <c r="P8" s="3"/>
      <c r="Q8" s="3"/>
      <c r="R8" s="3"/>
      <c r="S8" s="3"/>
      <c r="T8" s="3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31"/>
      <c r="AO8" s="31"/>
      <c r="AP8" s="31"/>
      <c r="AQ8" s="31"/>
      <c r="AR8" s="31"/>
      <c r="AS8" s="31"/>
    </row>
    <row r="9" spans="1:45" x14ac:dyDescent="0.35">
      <c r="A9" s="63" t="s">
        <v>7</v>
      </c>
      <c r="D9" s="3"/>
      <c r="E9" s="68">
        <v>0.1216</v>
      </c>
      <c r="F9" s="3"/>
      <c r="O9" s="65"/>
    </row>
    <row r="10" spans="1:45" x14ac:dyDescent="0.35">
      <c r="A10" s="63" t="s">
        <v>8</v>
      </c>
      <c r="D10" s="3"/>
      <c r="E10" s="102">
        <f>(1+E9)^(1/12)-1</f>
        <v>9.6088915561034494E-3</v>
      </c>
    </row>
    <row r="11" spans="1:45" x14ac:dyDescent="0.35">
      <c r="A11" s="63"/>
      <c r="B11" s="51" t="s">
        <v>9</v>
      </c>
      <c r="C11" s="69">
        <f>E4</f>
        <v>45901</v>
      </c>
      <c r="D11" s="69"/>
      <c r="E11" s="70"/>
      <c r="F11" s="51"/>
      <c r="G11" s="71"/>
      <c r="H11" s="72"/>
      <c r="I11" s="72"/>
    </row>
    <row r="12" spans="1:45" x14ac:dyDescent="0.35">
      <c r="A12" s="63" t="s">
        <v>10</v>
      </c>
      <c r="B12" s="51">
        <f>343+396</f>
        <v>739</v>
      </c>
      <c r="C12" s="49">
        <v>14000</v>
      </c>
      <c r="D12" s="49"/>
      <c r="E12" s="73"/>
      <c r="F12" s="51"/>
      <c r="G12" s="71"/>
      <c r="H12" s="72"/>
      <c r="I12" s="72"/>
      <c r="J12" s="74"/>
    </row>
    <row r="13" spans="1:45" x14ac:dyDescent="0.35">
      <c r="A13" s="63" t="s">
        <v>11</v>
      </c>
      <c r="B13" s="53"/>
      <c r="C13" s="49"/>
      <c r="D13" s="49"/>
      <c r="E13" s="73"/>
      <c r="F13" s="51"/>
      <c r="G13" s="71"/>
      <c r="H13" s="72"/>
      <c r="I13" s="72"/>
      <c r="J13" s="74"/>
    </row>
    <row r="14" spans="1:45" x14ac:dyDescent="0.35">
      <c r="A14" s="63"/>
      <c r="B14" s="53"/>
      <c r="C14" s="49"/>
      <c r="D14" s="49"/>
      <c r="E14" s="73"/>
      <c r="F14" s="51"/>
      <c r="G14" s="71"/>
      <c r="H14" s="72"/>
      <c r="I14" s="72"/>
      <c r="J14" s="74"/>
    </row>
    <row r="15" spans="1:45" x14ac:dyDescent="0.35">
      <c r="A15" s="63" t="s">
        <v>12</v>
      </c>
      <c r="C15" s="75" t="b">
        <v>1</v>
      </c>
      <c r="D15" s="75" t="b">
        <v>1</v>
      </c>
      <c r="E15" s="76"/>
      <c r="F15" s="51"/>
      <c r="G15" s="72"/>
      <c r="H15" s="77"/>
      <c r="I15" s="77"/>
      <c r="J15" s="77"/>
      <c r="K15" s="77"/>
    </row>
    <row r="16" spans="1:45" x14ac:dyDescent="0.35">
      <c r="A16" s="63" t="s">
        <v>13</v>
      </c>
      <c r="C16" s="78">
        <f>IF(B12&gt;150,IF($D$15=TRUE,C12*(1/(1-$E$18))*(1+$E$19),C12*(1+$E$19)),IF($D$15=TRUE,C12*(1/(1-$E$18)),C12))</f>
        <v>17888.888888888887</v>
      </c>
      <c r="D16" s="78"/>
      <c r="E16" s="73">
        <f>C16+D16</f>
        <v>17888.888888888887</v>
      </c>
      <c r="F16" s="72"/>
    </row>
    <row r="17" spans="1:45" x14ac:dyDescent="0.35">
      <c r="A17" s="63" t="s">
        <v>14</v>
      </c>
      <c r="C17" s="78">
        <f>IF(B13&gt;150,IF($C$15=TRUE,C13*(1/(1-$E$18))*(1+$E$19),C13*(1+$E$19)),IF($C$15=TRUE,C13*(1/(1-$E$18)),C13))</f>
        <v>0</v>
      </c>
      <c r="D17" s="78"/>
      <c r="E17" s="73">
        <f>C17+D17</f>
        <v>0</v>
      </c>
      <c r="F17" s="72"/>
    </row>
    <row r="18" spans="1:45" x14ac:dyDescent="0.35">
      <c r="A18" s="63" t="s">
        <v>15</v>
      </c>
      <c r="D18" s="3"/>
      <c r="E18" s="79">
        <v>0.1</v>
      </c>
      <c r="F18" s="51"/>
      <c r="G18" s="80"/>
    </row>
    <row r="19" spans="1:45" x14ac:dyDescent="0.35">
      <c r="A19" s="63" t="s">
        <v>16</v>
      </c>
      <c r="D19" s="3"/>
      <c r="E19" s="79">
        <v>0.15</v>
      </c>
      <c r="F19" s="51"/>
      <c r="G19" s="71"/>
      <c r="L19" s="72"/>
    </row>
    <row r="20" spans="1:45" s="51" customFormat="1" x14ac:dyDescent="0.35">
      <c r="A20" s="63" t="s">
        <v>17</v>
      </c>
      <c r="D20" s="3"/>
      <c r="E20" s="117">
        <v>3</v>
      </c>
      <c r="J20" s="72"/>
      <c r="AN20" s="55"/>
      <c r="AO20" s="55"/>
      <c r="AP20" s="55"/>
      <c r="AQ20" s="55"/>
      <c r="AR20" s="55"/>
      <c r="AS20" s="55"/>
    </row>
    <row r="21" spans="1:45" s="51" customFormat="1" x14ac:dyDescent="0.35">
      <c r="A21" s="63" t="s">
        <v>18</v>
      </c>
      <c r="D21" s="3"/>
      <c r="E21" s="81">
        <f>E4</f>
        <v>45901</v>
      </c>
      <c r="J21" s="72"/>
      <c r="AN21" s="55"/>
      <c r="AO21" s="55"/>
      <c r="AP21" s="55"/>
      <c r="AQ21" s="55"/>
      <c r="AR21" s="55"/>
      <c r="AS21" s="55"/>
    </row>
    <row r="22" spans="1:45" s="51" customFormat="1" x14ac:dyDescent="0.35">
      <c r="A22" s="63" t="s">
        <v>19</v>
      </c>
      <c r="C22" s="118">
        <v>0.1</v>
      </c>
      <c r="D22" s="4">
        <v>1</v>
      </c>
      <c r="E22" s="83">
        <f>EDATE(E21,$E$20*12)</f>
        <v>46997</v>
      </c>
      <c r="F22" s="74">
        <f>C16*110%</f>
        <v>19677.777777777777</v>
      </c>
      <c r="G22" s="84"/>
      <c r="AN22" s="55"/>
      <c r="AO22" s="55"/>
      <c r="AP22" s="55"/>
      <c r="AQ22" s="55"/>
      <c r="AR22" s="55"/>
      <c r="AS22" s="55"/>
    </row>
    <row r="23" spans="1:45" s="51" customFormat="1" x14ac:dyDescent="0.35">
      <c r="A23" s="63"/>
      <c r="C23" s="82">
        <v>0.1</v>
      </c>
      <c r="D23" s="4">
        <v>2</v>
      </c>
      <c r="E23" s="83">
        <f>EDATE(E22,$E$20*12)</f>
        <v>48092</v>
      </c>
      <c r="F23" s="74">
        <f>F22*110%</f>
        <v>21645.555555555558</v>
      </c>
      <c r="G23" s="77"/>
      <c r="AN23" s="55"/>
      <c r="AO23" s="55"/>
      <c r="AP23" s="55"/>
      <c r="AQ23" s="55"/>
      <c r="AR23" s="55"/>
      <c r="AS23" s="55"/>
    </row>
    <row r="24" spans="1:45" s="51" customFormat="1" x14ac:dyDescent="0.35">
      <c r="A24" s="63"/>
      <c r="C24" s="82">
        <v>0.1</v>
      </c>
      <c r="D24" s="4">
        <v>3</v>
      </c>
      <c r="E24" s="83">
        <f>EDATE(E23,$E$20*12)</f>
        <v>49188</v>
      </c>
      <c r="F24" s="74">
        <f>F23*110%</f>
        <v>23810.111111111117</v>
      </c>
      <c r="AN24" s="55"/>
      <c r="AO24" s="55"/>
      <c r="AP24" s="55"/>
      <c r="AQ24" s="55"/>
      <c r="AR24" s="55"/>
      <c r="AS24" s="55"/>
    </row>
    <row r="25" spans="1:45" s="51" customFormat="1" x14ac:dyDescent="0.35">
      <c r="A25" s="63"/>
      <c r="C25" s="82"/>
      <c r="D25" s="4"/>
      <c r="E25" s="83"/>
      <c r="F25" s="74"/>
      <c r="G25" s="74"/>
      <c r="AN25" s="55"/>
      <c r="AO25" s="55"/>
      <c r="AP25" s="55"/>
      <c r="AQ25" s="55"/>
      <c r="AR25" s="55"/>
      <c r="AS25" s="55"/>
    </row>
    <row r="26" spans="1:45" s="51" customFormat="1" x14ac:dyDescent="0.35">
      <c r="A26" s="63"/>
      <c r="C26" s="82"/>
      <c r="D26" s="4"/>
      <c r="E26" s="83"/>
      <c r="AN26" s="55"/>
      <c r="AO26" s="55"/>
      <c r="AP26" s="55"/>
      <c r="AQ26" s="55"/>
      <c r="AR26" s="55"/>
      <c r="AS26" s="55"/>
    </row>
    <row r="27" spans="1:45" s="51" customFormat="1" x14ac:dyDescent="0.35">
      <c r="A27" s="63"/>
      <c r="D27" s="4"/>
      <c r="E27" s="83"/>
      <c r="AN27" s="55"/>
      <c r="AO27" s="55"/>
      <c r="AP27" s="55"/>
      <c r="AQ27" s="55"/>
      <c r="AR27" s="55"/>
      <c r="AS27" s="55"/>
    </row>
    <row r="28" spans="1:45" s="51" customFormat="1" x14ac:dyDescent="0.35">
      <c r="A28" s="63"/>
      <c r="D28" s="4"/>
      <c r="E28" s="83"/>
      <c r="AN28" s="55"/>
      <c r="AO28" s="55"/>
      <c r="AP28" s="55"/>
      <c r="AQ28" s="55"/>
      <c r="AR28" s="55"/>
      <c r="AS28" s="55"/>
    </row>
    <row r="29" spans="1:45" s="51" customFormat="1" x14ac:dyDescent="0.35">
      <c r="A29" s="63" t="s">
        <v>20</v>
      </c>
      <c r="C29" s="85" t="b">
        <v>1</v>
      </c>
      <c r="D29" s="4"/>
      <c r="E29" s="5">
        <v>40000</v>
      </c>
      <c r="F29" s="85" t="s">
        <v>21</v>
      </c>
      <c r="G29" s="85"/>
      <c r="H29" s="6">
        <v>2380000</v>
      </c>
      <c r="AN29" s="55"/>
      <c r="AO29" s="55"/>
      <c r="AP29" s="55"/>
      <c r="AQ29" s="55"/>
      <c r="AR29" s="55"/>
      <c r="AS29" s="55"/>
    </row>
    <row r="30" spans="1:45" s="51" customFormat="1" x14ac:dyDescent="0.35">
      <c r="A30" s="63" t="s">
        <v>22</v>
      </c>
      <c r="D30" s="3"/>
      <c r="E30" s="76">
        <v>0</v>
      </c>
      <c r="G30" s="71"/>
      <c r="H30" s="72">
        <f>H44/(1+E10)^H42</f>
        <v>14606.829350283488</v>
      </c>
      <c r="L30" s="72"/>
      <c r="AN30" s="55"/>
      <c r="AO30" s="55"/>
      <c r="AP30" s="55"/>
      <c r="AQ30" s="55"/>
      <c r="AR30" s="55"/>
      <c r="AS30" s="55"/>
    </row>
    <row r="31" spans="1:45" s="51" customFormat="1" x14ac:dyDescent="0.35">
      <c r="A31" s="63" t="s">
        <v>23</v>
      </c>
      <c r="D31" s="3"/>
      <c r="E31" s="76">
        <v>360000</v>
      </c>
      <c r="AN31" s="55"/>
      <c r="AO31" s="55"/>
      <c r="AP31" s="55"/>
      <c r="AQ31" s="55"/>
      <c r="AR31" s="55"/>
      <c r="AS31" s="55"/>
    </row>
    <row r="32" spans="1:45" s="51" customFormat="1" x14ac:dyDescent="0.35">
      <c r="A32" s="63" t="s">
        <v>24</v>
      </c>
      <c r="D32" s="3"/>
      <c r="E32" s="86">
        <v>45901</v>
      </c>
      <c r="AN32" s="55"/>
      <c r="AO32" s="55"/>
      <c r="AP32" s="55"/>
      <c r="AQ32" s="55"/>
      <c r="AR32" s="55"/>
      <c r="AS32" s="55"/>
    </row>
    <row r="33" spans="1:138" s="51" customFormat="1" x14ac:dyDescent="0.35">
      <c r="A33" s="63" t="s">
        <v>25</v>
      </c>
      <c r="D33" s="3"/>
      <c r="E33" s="76">
        <v>120</v>
      </c>
      <c r="AN33" s="55"/>
      <c r="AO33" s="55"/>
      <c r="AP33" s="55"/>
      <c r="AQ33" s="55"/>
      <c r="AR33" s="55"/>
      <c r="AS33" s="55"/>
    </row>
    <row r="34" spans="1:138" s="51" customFormat="1" x14ac:dyDescent="0.35">
      <c r="A34" s="63" t="s">
        <v>26</v>
      </c>
      <c r="D34" s="3"/>
      <c r="E34" s="86">
        <f>EDATE(E32,E33)-1</f>
        <v>49552</v>
      </c>
      <c r="F34" s="87"/>
      <c r="AN34" s="55"/>
      <c r="AO34" s="55"/>
      <c r="AP34" s="55"/>
      <c r="AQ34" s="55"/>
      <c r="AR34" s="55"/>
      <c r="AS34" s="55"/>
    </row>
    <row r="35" spans="1:138" s="51" customFormat="1" x14ac:dyDescent="0.35">
      <c r="A35" s="63" t="s">
        <v>27</v>
      </c>
      <c r="D35" s="3"/>
      <c r="E35" s="88"/>
      <c r="F35" s="87"/>
      <c r="AN35" s="55"/>
      <c r="AO35" s="55"/>
      <c r="AP35" s="55"/>
      <c r="AQ35" s="55"/>
      <c r="AR35" s="55"/>
      <c r="AS35" s="55"/>
    </row>
    <row r="36" spans="1:138" s="51" customFormat="1" x14ac:dyDescent="0.35">
      <c r="A36" s="63" t="s">
        <v>28</v>
      </c>
      <c r="D36" s="3"/>
      <c r="E36" s="73">
        <f>E46</f>
        <v>1586383.4588263058</v>
      </c>
      <c r="F36" s="87"/>
      <c r="AN36" s="55"/>
      <c r="AO36" s="55"/>
      <c r="AP36" s="55"/>
      <c r="AQ36" s="55"/>
      <c r="AR36" s="55"/>
      <c r="AS36" s="55"/>
    </row>
    <row r="37" spans="1:138" x14ac:dyDescent="0.35">
      <c r="A37" s="63" t="s">
        <v>29</v>
      </c>
      <c r="D37" s="3"/>
      <c r="E37" s="73">
        <f>SUMIFS($G$50:$AS$50,$G$41:$AS$41,E35)</f>
        <v>0</v>
      </c>
      <c r="F37" s="87"/>
    </row>
    <row r="38" spans="1:138" ht="15" thickBot="1" x14ac:dyDescent="0.4">
      <c r="A38" s="89" t="s">
        <v>30</v>
      </c>
      <c r="B38" s="90"/>
      <c r="C38" s="90"/>
      <c r="D38" s="91"/>
      <c r="E38" s="92">
        <f>SUMIFS($G$52:$AS$52,$G$41:$AS$41,E35)</f>
        <v>0</v>
      </c>
      <c r="F38" s="87"/>
    </row>
    <row r="39" spans="1:138" x14ac:dyDescent="0.35">
      <c r="C39" s="74"/>
      <c r="G39" s="77">
        <f>G44/(1+E10)^G42</f>
        <v>44241.884529320116</v>
      </c>
      <c r="H39" s="65"/>
    </row>
    <row r="40" spans="1:138" s="95" customFormat="1" ht="16.399999999999999" customHeight="1" x14ac:dyDescent="0.35">
      <c r="A40" s="7"/>
      <c r="B40" s="8"/>
      <c r="C40" s="9"/>
      <c r="D40" s="8"/>
      <c r="E40" s="8"/>
      <c r="F40" s="10">
        <f>E7</f>
        <v>45962</v>
      </c>
      <c r="G40" s="93">
        <f>F40</f>
        <v>45962</v>
      </c>
      <c r="H40" s="93">
        <f t="shared" ref="H40:BS40" si="0">IF(H42&lt;=$E$8,EDATE(G40,1),"OUT OF SCOPE")</f>
        <v>45992</v>
      </c>
      <c r="I40" s="93">
        <f t="shared" si="0"/>
        <v>46023</v>
      </c>
      <c r="J40" s="93">
        <f t="shared" si="0"/>
        <v>46054</v>
      </c>
      <c r="K40" s="93">
        <f t="shared" si="0"/>
        <v>46082</v>
      </c>
      <c r="L40" s="93">
        <f t="shared" si="0"/>
        <v>46113</v>
      </c>
      <c r="M40" s="93">
        <f t="shared" si="0"/>
        <v>46143</v>
      </c>
      <c r="N40" s="93">
        <f t="shared" si="0"/>
        <v>46174</v>
      </c>
      <c r="O40" s="93">
        <f t="shared" si="0"/>
        <v>46204</v>
      </c>
      <c r="P40" s="93">
        <f t="shared" si="0"/>
        <v>46235</v>
      </c>
      <c r="Q40" s="93">
        <f t="shared" si="0"/>
        <v>46266</v>
      </c>
      <c r="R40" s="93">
        <f t="shared" si="0"/>
        <v>46296</v>
      </c>
      <c r="S40" s="93">
        <f t="shared" si="0"/>
        <v>46327</v>
      </c>
      <c r="T40" s="93">
        <f t="shared" si="0"/>
        <v>46357</v>
      </c>
      <c r="U40" s="93">
        <f t="shared" si="0"/>
        <v>46388</v>
      </c>
      <c r="V40" s="93">
        <f t="shared" si="0"/>
        <v>46419</v>
      </c>
      <c r="W40" s="93">
        <f t="shared" si="0"/>
        <v>46447</v>
      </c>
      <c r="X40" s="93">
        <f t="shared" si="0"/>
        <v>46478</v>
      </c>
      <c r="Y40" s="93">
        <f t="shared" si="0"/>
        <v>46508</v>
      </c>
      <c r="Z40" s="93">
        <f t="shared" si="0"/>
        <v>46539</v>
      </c>
      <c r="AA40" s="93">
        <f t="shared" si="0"/>
        <v>46569</v>
      </c>
      <c r="AB40" s="93">
        <f t="shared" si="0"/>
        <v>46600</v>
      </c>
      <c r="AC40" s="93">
        <f t="shared" si="0"/>
        <v>46631</v>
      </c>
      <c r="AD40" s="93">
        <f t="shared" si="0"/>
        <v>46661</v>
      </c>
      <c r="AE40" s="93">
        <f t="shared" si="0"/>
        <v>46692</v>
      </c>
      <c r="AF40" s="93">
        <f t="shared" si="0"/>
        <v>46722</v>
      </c>
      <c r="AG40" s="93">
        <f t="shared" si="0"/>
        <v>46753</v>
      </c>
      <c r="AH40" s="93">
        <f t="shared" si="0"/>
        <v>46784</v>
      </c>
      <c r="AI40" s="93">
        <f t="shared" si="0"/>
        <v>46813</v>
      </c>
      <c r="AJ40" s="93">
        <f t="shared" si="0"/>
        <v>46844</v>
      </c>
      <c r="AK40" s="93">
        <f t="shared" si="0"/>
        <v>46874</v>
      </c>
      <c r="AL40" s="93">
        <f t="shared" si="0"/>
        <v>46905</v>
      </c>
      <c r="AM40" s="93">
        <f t="shared" si="0"/>
        <v>46935</v>
      </c>
      <c r="AN40" s="94">
        <f t="shared" si="0"/>
        <v>46966</v>
      </c>
      <c r="AO40" s="94">
        <f t="shared" si="0"/>
        <v>46997</v>
      </c>
      <c r="AP40" s="94">
        <f t="shared" si="0"/>
        <v>47027</v>
      </c>
      <c r="AQ40" s="94">
        <f t="shared" si="0"/>
        <v>47058</v>
      </c>
      <c r="AR40" s="94">
        <f t="shared" si="0"/>
        <v>47088</v>
      </c>
      <c r="AS40" s="94">
        <f t="shared" si="0"/>
        <v>47119</v>
      </c>
      <c r="AT40" s="94">
        <f t="shared" si="0"/>
        <v>47150</v>
      </c>
      <c r="AU40" s="94">
        <f t="shared" si="0"/>
        <v>47178</v>
      </c>
      <c r="AV40" s="94">
        <f t="shared" si="0"/>
        <v>47209</v>
      </c>
      <c r="AW40" s="94">
        <f t="shared" si="0"/>
        <v>47239</v>
      </c>
      <c r="AX40" s="94">
        <f t="shared" si="0"/>
        <v>47270</v>
      </c>
      <c r="AY40" s="94">
        <f t="shared" si="0"/>
        <v>47300</v>
      </c>
      <c r="AZ40" s="94">
        <f t="shared" si="0"/>
        <v>47331</v>
      </c>
      <c r="BA40" s="94">
        <f t="shared" si="0"/>
        <v>47362</v>
      </c>
      <c r="BB40" s="94">
        <f t="shared" si="0"/>
        <v>47392</v>
      </c>
      <c r="BC40" s="94">
        <f t="shared" si="0"/>
        <v>47423</v>
      </c>
      <c r="BD40" s="94">
        <f t="shared" si="0"/>
        <v>47453</v>
      </c>
      <c r="BE40" s="94">
        <f t="shared" si="0"/>
        <v>47484</v>
      </c>
      <c r="BF40" s="94">
        <f t="shared" si="0"/>
        <v>47515</v>
      </c>
      <c r="BG40" s="94">
        <f t="shared" si="0"/>
        <v>47543</v>
      </c>
      <c r="BH40" s="94">
        <f t="shared" si="0"/>
        <v>47574</v>
      </c>
      <c r="BI40" s="94">
        <f t="shared" si="0"/>
        <v>47604</v>
      </c>
      <c r="BJ40" s="94">
        <f t="shared" si="0"/>
        <v>47635</v>
      </c>
      <c r="BK40" s="94">
        <f t="shared" si="0"/>
        <v>47665</v>
      </c>
      <c r="BL40" s="94">
        <f t="shared" si="0"/>
        <v>47696</v>
      </c>
      <c r="BM40" s="94">
        <f t="shared" si="0"/>
        <v>47727</v>
      </c>
      <c r="BN40" s="94">
        <f t="shared" si="0"/>
        <v>47757</v>
      </c>
      <c r="BO40" s="94">
        <f t="shared" si="0"/>
        <v>47788</v>
      </c>
      <c r="BP40" s="94">
        <f t="shared" si="0"/>
        <v>47818</v>
      </c>
      <c r="BQ40" s="94">
        <f t="shared" si="0"/>
        <v>47849</v>
      </c>
      <c r="BR40" s="94">
        <f t="shared" si="0"/>
        <v>47880</v>
      </c>
      <c r="BS40" s="94">
        <f t="shared" si="0"/>
        <v>47908</v>
      </c>
      <c r="BT40" s="94">
        <f t="shared" ref="BT40:EE40" si="1">IF(BT42&lt;=$E$8,EDATE(BS40,1),"OUT OF SCOPE")</f>
        <v>47939</v>
      </c>
      <c r="BU40" s="94">
        <f t="shared" si="1"/>
        <v>47969</v>
      </c>
      <c r="BV40" s="94">
        <f t="shared" si="1"/>
        <v>48000</v>
      </c>
      <c r="BW40" s="94">
        <f t="shared" si="1"/>
        <v>48030</v>
      </c>
      <c r="BX40" s="94">
        <f t="shared" si="1"/>
        <v>48061</v>
      </c>
      <c r="BY40" s="94">
        <f t="shared" si="1"/>
        <v>48092</v>
      </c>
      <c r="BZ40" s="94">
        <f t="shared" si="1"/>
        <v>48122</v>
      </c>
      <c r="CA40" s="94">
        <f t="shared" si="1"/>
        <v>48153</v>
      </c>
      <c r="CB40" s="94">
        <f t="shared" si="1"/>
        <v>48183</v>
      </c>
      <c r="CC40" s="94">
        <f t="shared" si="1"/>
        <v>48214</v>
      </c>
      <c r="CD40" s="94">
        <f t="shared" si="1"/>
        <v>48245</v>
      </c>
      <c r="CE40" s="94">
        <f t="shared" si="1"/>
        <v>48274</v>
      </c>
      <c r="CF40" s="94">
        <f t="shared" si="1"/>
        <v>48305</v>
      </c>
      <c r="CG40" s="94">
        <f t="shared" si="1"/>
        <v>48335</v>
      </c>
      <c r="CH40" s="94">
        <f t="shared" si="1"/>
        <v>48366</v>
      </c>
      <c r="CI40" s="94">
        <f t="shared" si="1"/>
        <v>48396</v>
      </c>
      <c r="CJ40" s="94">
        <f t="shared" si="1"/>
        <v>48427</v>
      </c>
      <c r="CK40" s="94">
        <f t="shared" si="1"/>
        <v>48458</v>
      </c>
      <c r="CL40" s="94">
        <f t="shared" si="1"/>
        <v>48488</v>
      </c>
      <c r="CM40" s="94">
        <f t="shared" si="1"/>
        <v>48519</v>
      </c>
      <c r="CN40" s="94">
        <f t="shared" si="1"/>
        <v>48549</v>
      </c>
      <c r="CO40" s="94">
        <f t="shared" si="1"/>
        <v>48580</v>
      </c>
      <c r="CP40" s="94">
        <f t="shared" si="1"/>
        <v>48611</v>
      </c>
      <c r="CQ40" s="94">
        <f t="shared" si="1"/>
        <v>48639</v>
      </c>
      <c r="CR40" s="94">
        <f t="shared" si="1"/>
        <v>48670</v>
      </c>
      <c r="CS40" s="94">
        <f t="shared" si="1"/>
        <v>48700</v>
      </c>
      <c r="CT40" s="94">
        <f t="shared" si="1"/>
        <v>48731</v>
      </c>
      <c r="CU40" s="94">
        <f t="shared" si="1"/>
        <v>48761</v>
      </c>
      <c r="CV40" s="94">
        <f t="shared" si="1"/>
        <v>48792</v>
      </c>
      <c r="CW40" s="94">
        <f t="shared" si="1"/>
        <v>48823</v>
      </c>
      <c r="CX40" s="94">
        <f t="shared" si="1"/>
        <v>48853</v>
      </c>
      <c r="CY40" s="94">
        <f t="shared" si="1"/>
        <v>48884</v>
      </c>
      <c r="CZ40" s="94">
        <f t="shared" si="1"/>
        <v>48914</v>
      </c>
      <c r="DA40" s="94">
        <f t="shared" si="1"/>
        <v>48945</v>
      </c>
      <c r="DB40" s="94">
        <f t="shared" si="1"/>
        <v>48976</v>
      </c>
      <c r="DC40" s="94">
        <f t="shared" si="1"/>
        <v>49004</v>
      </c>
      <c r="DD40" s="94">
        <f t="shared" si="1"/>
        <v>49035</v>
      </c>
      <c r="DE40" s="94">
        <f t="shared" si="1"/>
        <v>49065</v>
      </c>
      <c r="DF40" s="94">
        <f t="shared" si="1"/>
        <v>49096</v>
      </c>
      <c r="DG40" s="94">
        <f t="shared" si="1"/>
        <v>49126</v>
      </c>
      <c r="DH40" s="94">
        <f t="shared" si="1"/>
        <v>49157</v>
      </c>
      <c r="DI40" s="94">
        <f t="shared" si="1"/>
        <v>49188</v>
      </c>
      <c r="DJ40" s="94">
        <f t="shared" si="1"/>
        <v>49218</v>
      </c>
      <c r="DK40" s="94">
        <f t="shared" si="1"/>
        <v>49249</v>
      </c>
      <c r="DL40" s="94">
        <f t="shared" si="1"/>
        <v>49279</v>
      </c>
      <c r="DM40" s="94">
        <f t="shared" si="1"/>
        <v>49310</v>
      </c>
      <c r="DN40" s="94">
        <f t="shared" si="1"/>
        <v>49341</v>
      </c>
      <c r="DO40" s="94">
        <f t="shared" si="1"/>
        <v>49369</v>
      </c>
      <c r="DP40" s="94">
        <f t="shared" si="1"/>
        <v>49400</v>
      </c>
      <c r="DQ40" s="94">
        <f t="shared" si="1"/>
        <v>49430</v>
      </c>
      <c r="DR40" s="94">
        <f t="shared" si="1"/>
        <v>49461</v>
      </c>
      <c r="DS40" s="94">
        <f t="shared" si="1"/>
        <v>49491</v>
      </c>
      <c r="DT40" s="94">
        <f t="shared" si="1"/>
        <v>49522</v>
      </c>
      <c r="DU40" s="94" t="str">
        <f t="shared" si="1"/>
        <v>OUT OF SCOPE</v>
      </c>
      <c r="DV40" s="94" t="str">
        <f t="shared" si="1"/>
        <v>OUT OF SCOPE</v>
      </c>
      <c r="DW40" s="94" t="str">
        <f t="shared" si="1"/>
        <v>OUT OF SCOPE</v>
      </c>
      <c r="DX40" s="94" t="str">
        <f t="shared" si="1"/>
        <v>OUT OF SCOPE</v>
      </c>
      <c r="DY40" s="94" t="str">
        <f t="shared" si="1"/>
        <v>OUT OF SCOPE</v>
      </c>
      <c r="DZ40" s="94" t="str">
        <f t="shared" si="1"/>
        <v>OUT OF SCOPE</v>
      </c>
      <c r="EA40" s="94" t="str">
        <f t="shared" si="1"/>
        <v>OUT OF SCOPE</v>
      </c>
      <c r="EB40" s="94" t="str">
        <f t="shared" si="1"/>
        <v>OUT OF SCOPE</v>
      </c>
      <c r="EC40" s="94" t="str">
        <f t="shared" si="1"/>
        <v>OUT OF SCOPE</v>
      </c>
      <c r="ED40" s="94" t="str">
        <f t="shared" si="1"/>
        <v>OUT OF SCOPE</v>
      </c>
      <c r="EE40" s="94" t="str">
        <f t="shared" si="1"/>
        <v>OUT OF SCOPE</v>
      </c>
      <c r="EF40" s="94" t="str">
        <f t="shared" ref="EF40:EH40" si="2">IF(EF42&lt;=$E$8,EDATE(EE40,1),"OUT OF SCOPE")</f>
        <v>OUT OF SCOPE</v>
      </c>
      <c r="EG40" s="94" t="str">
        <f t="shared" si="2"/>
        <v>OUT OF SCOPE</v>
      </c>
      <c r="EH40" s="94" t="str">
        <f t="shared" si="2"/>
        <v>OUT OF SCOPE</v>
      </c>
    </row>
    <row r="41" spans="1:138" s="96" customFormat="1" ht="29" x14ac:dyDescent="0.35">
      <c r="A41" s="11" t="s">
        <v>31</v>
      </c>
      <c r="B41" s="12"/>
      <c r="C41" s="13"/>
      <c r="D41" s="14"/>
      <c r="E41" s="15" t="s">
        <v>32</v>
      </c>
      <c r="F41" s="10">
        <f>F40</f>
        <v>45962</v>
      </c>
      <c r="G41" s="16">
        <f t="shared" ref="G41:BR41" si="3">IF(G42&lt;=$E$8,EOMONTH(G40,0),"OUT OF SCOPE")</f>
        <v>45991</v>
      </c>
      <c r="H41" s="16">
        <f t="shared" si="3"/>
        <v>46022</v>
      </c>
      <c r="I41" s="16">
        <f t="shared" si="3"/>
        <v>46053</v>
      </c>
      <c r="J41" s="16">
        <f t="shared" si="3"/>
        <v>46081</v>
      </c>
      <c r="K41" s="16">
        <f t="shared" si="3"/>
        <v>46112</v>
      </c>
      <c r="L41" s="16">
        <f t="shared" si="3"/>
        <v>46142</v>
      </c>
      <c r="M41" s="16">
        <f t="shared" si="3"/>
        <v>46173</v>
      </c>
      <c r="N41" s="16">
        <f t="shared" si="3"/>
        <v>46203</v>
      </c>
      <c r="O41" s="16">
        <f t="shared" si="3"/>
        <v>46234</v>
      </c>
      <c r="P41" s="16">
        <f t="shared" si="3"/>
        <v>46265</v>
      </c>
      <c r="Q41" s="16">
        <f t="shared" si="3"/>
        <v>46295</v>
      </c>
      <c r="R41" s="16">
        <f t="shared" si="3"/>
        <v>46326</v>
      </c>
      <c r="S41" s="16">
        <f t="shared" si="3"/>
        <v>46356</v>
      </c>
      <c r="T41" s="16">
        <f t="shared" si="3"/>
        <v>46387</v>
      </c>
      <c r="U41" s="16">
        <f t="shared" si="3"/>
        <v>46418</v>
      </c>
      <c r="V41" s="16">
        <f t="shared" si="3"/>
        <v>46446</v>
      </c>
      <c r="W41" s="16">
        <f t="shared" si="3"/>
        <v>46477</v>
      </c>
      <c r="X41" s="16">
        <f t="shared" si="3"/>
        <v>46507</v>
      </c>
      <c r="Y41" s="16">
        <f t="shared" si="3"/>
        <v>46538</v>
      </c>
      <c r="Z41" s="16">
        <f t="shared" si="3"/>
        <v>46568</v>
      </c>
      <c r="AA41" s="16">
        <f t="shared" si="3"/>
        <v>46599</v>
      </c>
      <c r="AB41" s="16">
        <f t="shared" si="3"/>
        <v>46630</v>
      </c>
      <c r="AC41" s="16">
        <f t="shared" si="3"/>
        <v>46660</v>
      </c>
      <c r="AD41" s="16">
        <f t="shared" si="3"/>
        <v>46691</v>
      </c>
      <c r="AE41" s="16">
        <f t="shared" si="3"/>
        <v>46721</v>
      </c>
      <c r="AF41" s="16">
        <f t="shared" si="3"/>
        <v>46752</v>
      </c>
      <c r="AG41" s="16">
        <f t="shared" si="3"/>
        <v>46783</v>
      </c>
      <c r="AH41" s="16">
        <f t="shared" si="3"/>
        <v>46812</v>
      </c>
      <c r="AI41" s="16">
        <f t="shared" si="3"/>
        <v>46843</v>
      </c>
      <c r="AJ41" s="16">
        <f t="shared" si="3"/>
        <v>46873</v>
      </c>
      <c r="AK41" s="16">
        <f t="shared" si="3"/>
        <v>46904</v>
      </c>
      <c r="AL41" s="16">
        <f t="shared" si="3"/>
        <v>46934</v>
      </c>
      <c r="AM41" s="16">
        <f t="shared" si="3"/>
        <v>46965</v>
      </c>
      <c r="AN41" s="17">
        <f t="shared" si="3"/>
        <v>46996</v>
      </c>
      <c r="AO41" s="17">
        <f t="shared" si="3"/>
        <v>47026</v>
      </c>
      <c r="AP41" s="17">
        <f t="shared" si="3"/>
        <v>47057</v>
      </c>
      <c r="AQ41" s="17">
        <f t="shared" si="3"/>
        <v>47087</v>
      </c>
      <c r="AR41" s="17">
        <f t="shared" si="3"/>
        <v>47118</v>
      </c>
      <c r="AS41" s="17">
        <f t="shared" si="3"/>
        <v>47149</v>
      </c>
      <c r="AT41" s="17">
        <f t="shared" si="3"/>
        <v>47177</v>
      </c>
      <c r="AU41" s="17">
        <f t="shared" si="3"/>
        <v>47208</v>
      </c>
      <c r="AV41" s="17">
        <f t="shared" si="3"/>
        <v>47238</v>
      </c>
      <c r="AW41" s="17">
        <f t="shared" si="3"/>
        <v>47269</v>
      </c>
      <c r="AX41" s="17">
        <f t="shared" si="3"/>
        <v>47299</v>
      </c>
      <c r="AY41" s="17">
        <f t="shared" si="3"/>
        <v>47330</v>
      </c>
      <c r="AZ41" s="17">
        <f t="shared" si="3"/>
        <v>47361</v>
      </c>
      <c r="BA41" s="17">
        <f t="shared" si="3"/>
        <v>47391</v>
      </c>
      <c r="BB41" s="17">
        <f t="shared" si="3"/>
        <v>47422</v>
      </c>
      <c r="BC41" s="17">
        <f t="shared" si="3"/>
        <v>47452</v>
      </c>
      <c r="BD41" s="17">
        <f t="shared" si="3"/>
        <v>47483</v>
      </c>
      <c r="BE41" s="17">
        <f t="shared" si="3"/>
        <v>47514</v>
      </c>
      <c r="BF41" s="17">
        <f t="shared" si="3"/>
        <v>47542</v>
      </c>
      <c r="BG41" s="17">
        <f t="shared" si="3"/>
        <v>47573</v>
      </c>
      <c r="BH41" s="17">
        <f t="shared" si="3"/>
        <v>47603</v>
      </c>
      <c r="BI41" s="17">
        <f t="shared" si="3"/>
        <v>47634</v>
      </c>
      <c r="BJ41" s="17">
        <f t="shared" si="3"/>
        <v>47664</v>
      </c>
      <c r="BK41" s="17">
        <f t="shared" si="3"/>
        <v>47695</v>
      </c>
      <c r="BL41" s="17">
        <f t="shared" si="3"/>
        <v>47726</v>
      </c>
      <c r="BM41" s="17">
        <f t="shared" si="3"/>
        <v>47756</v>
      </c>
      <c r="BN41" s="17">
        <f t="shared" si="3"/>
        <v>47787</v>
      </c>
      <c r="BO41" s="17">
        <f t="shared" si="3"/>
        <v>47817</v>
      </c>
      <c r="BP41" s="17">
        <f t="shared" si="3"/>
        <v>47848</v>
      </c>
      <c r="BQ41" s="17">
        <f t="shared" si="3"/>
        <v>47879</v>
      </c>
      <c r="BR41" s="17">
        <f t="shared" si="3"/>
        <v>47907</v>
      </c>
      <c r="BS41" s="17">
        <f t="shared" ref="BS41:ED41" si="4">IF(BS42&lt;=$E$8,EOMONTH(BS40,0),"OUT OF SCOPE")</f>
        <v>47938</v>
      </c>
      <c r="BT41" s="17">
        <f t="shared" si="4"/>
        <v>47968</v>
      </c>
      <c r="BU41" s="17">
        <f t="shared" si="4"/>
        <v>47999</v>
      </c>
      <c r="BV41" s="17">
        <f t="shared" si="4"/>
        <v>48029</v>
      </c>
      <c r="BW41" s="17">
        <f t="shared" si="4"/>
        <v>48060</v>
      </c>
      <c r="BX41" s="17">
        <f t="shared" si="4"/>
        <v>48091</v>
      </c>
      <c r="BY41" s="17">
        <f t="shared" si="4"/>
        <v>48121</v>
      </c>
      <c r="BZ41" s="17">
        <f t="shared" si="4"/>
        <v>48152</v>
      </c>
      <c r="CA41" s="17">
        <f t="shared" si="4"/>
        <v>48182</v>
      </c>
      <c r="CB41" s="17">
        <f t="shared" si="4"/>
        <v>48213</v>
      </c>
      <c r="CC41" s="17">
        <f t="shared" si="4"/>
        <v>48244</v>
      </c>
      <c r="CD41" s="17">
        <f t="shared" si="4"/>
        <v>48273</v>
      </c>
      <c r="CE41" s="17">
        <f t="shared" si="4"/>
        <v>48304</v>
      </c>
      <c r="CF41" s="17">
        <f t="shared" si="4"/>
        <v>48334</v>
      </c>
      <c r="CG41" s="17">
        <f t="shared" si="4"/>
        <v>48365</v>
      </c>
      <c r="CH41" s="17">
        <f t="shared" si="4"/>
        <v>48395</v>
      </c>
      <c r="CI41" s="17">
        <f t="shared" si="4"/>
        <v>48426</v>
      </c>
      <c r="CJ41" s="17">
        <f t="shared" si="4"/>
        <v>48457</v>
      </c>
      <c r="CK41" s="17">
        <f t="shared" si="4"/>
        <v>48487</v>
      </c>
      <c r="CL41" s="17">
        <f t="shared" si="4"/>
        <v>48518</v>
      </c>
      <c r="CM41" s="17">
        <f t="shared" si="4"/>
        <v>48548</v>
      </c>
      <c r="CN41" s="17">
        <f t="shared" si="4"/>
        <v>48579</v>
      </c>
      <c r="CO41" s="17">
        <f t="shared" si="4"/>
        <v>48610</v>
      </c>
      <c r="CP41" s="17">
        <f t="shared" si="4"/>
        <v>48638</v>
      </c>
      <c r="CQ41" s="17">
        <f t="shared" si="4"/>
        <v>48669</v>
      </c>
      <c r="CR41" s="17">
        <f t="shared" si="4"/>
        <v>48699</v>
      </c>
      <c r="CS41" s="17">
        <f t="shared" si="4"/>
        <v>48730</v>
      </c>
      <c r="CT41" s="17">
        <f t="shared" si="4"/>
        <v>48760</v>
      </c>
      <c r="CU41" s="17">
        <f t="shared" si="4"/>
        <v>48791</v>
      </c>
      <c r="CV41" s="17">
        <f t="shared" si="4"/>
        <v>48822</v>
      </c>
      <c r="CW41" s="17">
        <f t="shared" si="4"/>
        <v>48852</v>
      </c>
      <c r="CX41" s="17">
        <f t="shared" si="4"/>
        <v>48883</v>
      </c>
      <c r="CY41" s="17">
        <f t="shared" si="4"/>
        <v>48913</v>
      </c>
      <c r="CZ41" s="17">
        <f t="shared" si="4"/>
        <v>48944</v>
      </c>
      <c r="DA41" s="17">
        <f t="shared" si="4"/>
        <v>48975</v>
      </c>
      <c r="DB41" s="17">
        <f t="shared" si="4"/>
        <v>49003</v>
      </c>
      <c r="DC41" s="17">
        <f t="shared" si="4"/>
        <v>49034</v>
      </c>
      <c r="DD41" s="17">
        <f t="shared" si="4"/>
        <v>49064</v>
      </c>
      <c r="DE41" s="17">
        <f t="shared" si="4"/>
        <v>49095</v>
      </c>
      <c r="DF41" s="17">
        <f t="shared" si="4"/>
        <v>49125</v>
      </c>
      <c r="DG41" s="17">
        <f t="shared" si="4"/>
        <v>49156</v>
      </c>
      <c r="DH41" s="17">
        <f t="shared" si="4"/>
        <v>49187</v>
      </c>
      <c r="DI41" s="17">
        <f t="shared" si="4"/>
        <v>49217</v>
      </c>
      <c r="DJ41" s="17">
        <f t="shared" si="4"/>
        <v>49248</v>
      </c>
      <c r="DK41" s="17">
        <f t="shared" si="4"/>
        <v>49278</v>
      </c>
      <c r="DL41" s="17">
        <f t="shared" si="4"/>
        <v>49309</v>
      </c>
      <c r="DM41" s="17">
        <f t="shared" si="4"/>
        <v>49340</v>
      </c>
      <c r="DN41" s="17">
        <f t="shared" si="4"/>
        <v>49368</v>
      </c>
      <c r="DO41" s="17">
        <f t="shared" si="4"/>
        <v>49399</v>
      </c>
      <c r="DP41" s="17">
        <f t="shared" si="4"/>
        <v>49429</v>
      </c>
      <c r="DQ41" s="17">
        <f t="shared" si="4"/>
        <v>49460</v>
      </c>
      <c r="DR41" s="17">
        <f t="shared" si="4"/>
        <v>49490</v>
      </c>
      <c r="DS41" s="17">
        <f t="shared" si="4"/>
        <v>49521</v>
      </c>
      <c r="DT41" s="17">
        <f t="shared" si="4"/>
        <v>49552</v>
      </c>
      <c r="DU41" s="17" t="str">
        <f t="shared" si="4"/>
        <v>OUT OF SCOPE</v>
      </c>
      <c r="DV41" s="17" t="str">
        <f t="shared" si="4"/>
        <v>OUT OF SCOPE</v>
      </c>
      <c r="DW41" s="17" t="str">
        <f t="shared" si="4"/>
        <v>OUT OF SCOPE</v>
      </c>
      <c r="DX41" s="17" t="str">
        <f t="shared" si="4"/>
        <v>OUT OF SCOPE</v>
      </c>
      <c r="DY41" s="17" t="str">
        <f t="shared" si="4"/>
        <v>OUT OF SCOPE</v>
      </c>
      <c r="DZ41" s="17" t="str">
        <f t="shared" si="4"/>
        <v>OUT OF SCOPE</v>
      </c>
      <c r="EA41" s="17" t="str">
        <f t="shared" si="4"/>
        <v>OUT OF SCOPE</v>
      </c>
      <c r="EB41" s="17" t="str">
        <f t="shared" si="4"/>
        <v>OUT OF SCOPE</v>
      </c>
      <c r="EC41" s="17" t="str">
        <f t="shared" si="4"/>
        <v>OUT OF SCOPE</v>
      </c>
      <c r="ED41" s="17" t="str">
        <f t="shared" si="4"/>
        <v>OUT OF SCOPE</v>
      </c>
      <c r="EE41" s="17" t="str">
        <f t="shared" ref="EE41:EH41" si="5">IF(EE42&lt;=$E$8,EOMONTH(EE40,0),"OUT OF SCOPE")</f>
        <v>OUT OF SCOPE</v>
      </c>
      <c r="EF41" s="17" t="str">
        <f t="shared" si="5"/>
        <v>OUT OF SCOPE</v>
      </c>
      <c r="EG41" s="17" t="str">
        <f t="shared" si="5"/>
        <v>OUT OF SCOPE</v>
      </c>
      <c r="EH41" s="17" t="str">
        <f t="shared" si="5"/>
        <v>OUT OF SCOPE</v>
      </c>
    </row>
    <row r="42" spans="1:138" s="97" customFormat="1" ht="29" x14ac:dyDescent="0.35">
      <c r="A42" s="18" t="s">
        <v>33</v>
      </c>
      <c r="B42" s="18"/>
      <c r="C42" s="19"/>
      <c r="D42" s="19"/>
      <c r="E42" s="19"/>
      <c r="F42" s="20">
        <v>0</v>
      </c>
      <c r="G42" s="20">
        <f>IF(COLUMNS($G$42:G42)&lt;=$E$8,F42+1,"OUT OF SCOPE")</f>
        <v>1</v>
      </c>
      <c r="H42" s="20">
        <f>IF(COLUMNS($G$42:H42)&lt;=$E$8,G42+1,"OUT OF SCOPE")</f>
        <v>2</v>
      </c>
      <c r="I42" s="20">
        <f>IF(COLUMNS($G$42:I42)&lt;=$E$8,H42+1,"OUT OF SCOPE")</f>
        <v>3</v>
      </c>
      <c r="J42" s="20">
        <f>IF(COLUMNS($G$42:J42)&lt;=$E$8,I42+1,"OUT OF SCOPE")</f>
        <v>4</v>
      </c>
      <c r="K42" s="20">
        <f>IF(COLUMNS($G$42:K42)&lt;=$E$8,J42+1,"OUT OF SCOPE")</f>
        <v>5</v>
      </c>
      <c r="L42" s="20">
        <f>IF(COLUMNS($G$42:L42)&lt;=$E$8,K42+1,"OUT OF SCOPE")</f>
        <v>6</v>
      </c>
      <c r="M42" s="20">
        <f>IF(COLUMNS($G$42:M42)&lt;=$E$8,L42+1,"OUT OF SCOPE")</f>
        <v>7</v>
      </c>
      <c r="N42" s="20">
        <f>IF(COLUMNS($G$42:N42)&lt;=$E$8,M42+1,"OUT OF SCOPE")</f>
        <v>8</v>
      </c>
      <c r="O42" s="20">
        <f>IF(COLUMNS($G$42:O42)&lt;=$E$8,N42+1,"OUT OF SCOPE")</f>
        <v>9</v>
      </c>
      <c r="P42" s="20">
        <f>IF(COLUMNS($G$42:P42)&lt;=$E$8,O42+1,"OUT OF SCOPE")</f>
        <v>10</v>
      </c>
      <c r="Q42" s="20">
        <f>IF(COLUMNS($G$42:Q42)&lt;=$E$8,P42+1,"OUT OF SCOPE")</f>
        <v>11</v>
      </c>
      <c r="R42" s="20">
        <f>IF(COLUMNS($G$42:R42)&lt;=$E$8,Q42+1,"OUT OF SCOPE")</f>
        <v>12</v>
      </c>
      <c r="S42" s="20">
        <f>IF(COLUMNS($G$42:S42)&lt;=$E$8,R42+1,"OUT OF SCOPE")</f>
        <v>13</v>
      </c>
      <c r="T42" s="20">
        <f>IF(COLUMNS($G$42:T42)&lt;=$E$8,S42+1,"OUT OF SCOPE")</f>
        <v>14</v>
      </c>
      <c r="U42" s="20">
        <f>IF(COLUMNS($G$42:U42)&lt;=$E$8,T42+1,"OUT OF SCOPE")</f>
        <v>15</v>
      </c>
      <c r="V42" s="20">
        <f>IF(COLUMNS($G$42:V42)&lt;=$E$8,U42+1,"OUT OF SCOPE")</f>
        <v>16</v>
      </c>
      <c r="W42" s="20">
        <f>IF(COLUMNS($G$42:W42)&lt;=$E$8,V42+1,"OUT OF SCOPE")</f>
        <v>17</v>
      </c>
      <c r="X42" s="20">
        <f>IF(COLUMNS($G$42:X42)&lt;=$E$8,W42+1,"OUT OF SCOPE")</f>
        <v>18</v>
      </c>
      <c r="Y42" s="20">
        <f>IF(COLUMNS($G$42:Y42)&lt;=$E$8,X42+1,"OUT OF SCOPE")</f>
        <v>19</v>
      </c>
      <c r="Z42" s="20">
        <f>IF(COLUMNS($G$42:Z42)&lt;=$E$8,Y42+1,"OUT OF SCOPE")</f>
        <v>20</v>
      </c>
      <c r="AA42" s="20">
        <f>IF(COLUMNS($G$42:AA42)&lt;=$E$8,Z42+1,"OUT OF SCOPE")</f>
        <v>21</v>
      </c>
      <c r="AB42" s="20">
        <f>IF(COLUMNS($G$42:AB42)&lt;=$E$8,AA42+1,"OUT OF SCOPE")</f>
        <v>22</v>
      </c>
      <c r="AC42" s="20">
        <f>IF(COLUMNS($G$42:AC42)&lt;=$E$8,AB42+1,"OUT OF SCOPE")</f>
        <v>23</v>
      </c>
      <c r="AD42" s="20">
        <f>IF(COLUMNS($G$42:AD42)&lt;=$E$8,AC42+1,"OUT OF SCOPE")</f>
        <v>24</v>
      </c>
      <c r="AE42" s="20">
        <f>IF(COLUMNS($G$42:AE42)&lt;=$E$8,AD42+1,"OUT OF SCOPE")</f>
        <v>25</v>
      </c>
      <c r="AF42" s="20">
        <f>IF(COLUMNS($G$42:AF42)&lt;=$E$8,AE42+1,"OUT OF SCOPE")</f>
        <v>26</v>
      </c>
      <c r="AG42" s="20">
        <f>IF(COLUMNS($G$42:AG42)&lt;=$E$8,AF42+1,"OUT OF SCOPE")</f>
        <v>27</v>
      </c>
      <c r="AH42" s="20">
        <f>IF(COLUMNS($G$42:AH42)&lt;=$E$8,AG42+1,"OUT OF SCOPE")</f>
        <v>28</v>
      </c>
      <c r="AI42" s="20">
        <f>IF(COLUMNS($G$42:AI42)&lt;=$E$8,AH42+1,"OUT OF SCOPE")</f>
        <v>29</v>
      </c>
      <c r="AJ42" s="20">
        <f>IF(COLUMNS($G$42:AJ42)&lt;=$E$8,AI42+1,"OUT OF SCOPE")</f>
        <v>30</v>
      </c>
      <c r="AK42" s="20">
        <f>IF(COLUMNS($G$42:AK42)&lt;=$E$8,AJ42+1,"OUT OF SCOPE")</f>
        <v>31</v>
      </c>
      <c r="AL42" s="20">
        <f>IF(COLUMNS($G$42:AL42)&lt;=$E$8,AK42+1,"OUT OF SCOPE")</f>
        <v>32</v>
      </c>
      <c r="AM42" s="20">
        <f>IF(COLUMNS($G$42:AM42)&lt;=$E$8,AL42+1,"OUT OF SCOPE")</f>
        <v>33</v>
      </c>
      <c r="AN42" s="21">
        <f>IF(COLUMNS($G$42:AN42)&lt;=$E$8,AM42+1,"OUT OF SCOPE")</f>
        <v>34</v>
      </c>
      <c r="AO42" s="21">
        <f>IF(COLUMNS($G$42:AO42)&lt;=$E$8,AN42+1,"OUT OF SCOPE")</f>
        <v>35</v>
      </c>
      <c r="AP42" s="21">
        <f>IF(COLUMNS($G$42:AP42)&lt;=$E$8,AO42+1,"OUT OF SCOPE")</f>
        <v>36</v>
      </c>
      <c r="AQ42" s="21">
        <f>IF(COLUMNS($G$42:AQ42)&lt;=$E$8,AP42+1,"OUT OF SCOPE")</f>
        <v>37</v>
      </c>
      <c r="AR42" s="21">
        <f>IF(COLUMNS($G$42:AR42)&lt;=$E$8,AQ42+1,"OUT OF SCOPE")</f>
        <v>38</v>
      </c>
      <c r="AS42" s="21">
        <f>IF(COLUMNS($G$42:AS42)&lt;=$E$8,AR42+1,"OUT OF SCOPE")</f>
        <v>39</v>
      </c>
      <c r="AT42" s="21">
        <f>IF(COLUMNS($G$42:AT42)&lt;=$E$8,AS42+1,"OUT OF SCOPE")</f>
        <v>40</v>
      </c>
      <c r="AU42" s="21">
        <f>IF(COLUMNS($G$42:AU42)&lt;=$E$8,AT42+1,"OUT OF SCOPE")</f>
        <v>41</v>
      </c>
      <c r="AV42" s="21">
        <f>IF(COLUMNS($G$42:AV42)&lt;=$E$8,AU42+1,"OUT OF SCOPE")</f>
        <v>42</v>
      </c>
      <c r="AW42" s="21">
        <f>IF(COLUMNS($G$42:AW42)&lt;=$E$8,AV42+1,"OUT OF SCOPE")</f>
        <v>43</v>
      </c>
      <c r="AX42" s="21">
        <f>IF(COLUMNS($G$42:AX42)&lt;=$E$8,AW42+1,"OUT OF SCOPE")</f>
        <v>44</v>
      </c>
      <c r="AY42" s="21">
        <f>IF(COLUMNS($G$42:AY42)&lt;=$E$8,AX42+1,"OUT OF SCOPE")</f>
        <v>45</v>
      </c>
      <c r="AZ42" s="21">
        <f>IF(COLUMNS($G$42:AZ42)&lt;=$E$8,AY42+1,"OUT OF SCOPE")</f>
        <v>46</v>
      </c>
      <c r="BA42" s="21">
        <f>IF(COLUMNS($G$42:BA42)&lt;=$E$8,AZ42+1,"OUT OF SCOPE")</f>
        <v>47</v>
      </c>
      <c r="BB42" s="21">
        <f>IF(COLUMNS($G$42:BB42)&lt;=$E$8,BA42+1,"OUT OF SCOPE")</f>
        <v>48</v>
      </c>
      <c r="BC42" s="21">
        <f>IF(COLUMNS($G$42:BC42)&lt;=$E$8,BB42+1,"OUT OF SCOPE")</f>
        <v>49</v>
      </c>
      <c r="BD42" s="21">
        <f>IF(COLUMNS($G$42:BD42)&lt;=$E$8,BC42+1,"OUT OF SCOPE")</f>
        <v>50</v>
      </c>
      <c r="BE42" s="21">
        <f>IF(COLUMNS($G$42:BE42)&lt;=$E$8,BD42+1,"OUT OF SCOPE")</f>
        <v>51</v>
      </c>
      <c r="BF42" s="21">
        <f>IF(COLUMNS($G$42:BF42)&lt;=$E$8,BE42+1,"OUT OF SCOPE")</f>
        <v>52</v>
      </c>
      <c r="BG42" s="21">
        <f>IF(COLUMNS($G$42:BG42)&lt;=$E$8,BF42+1,"OUT OF SCOPE")</f>
        <v>53</v>
      </c>
      <c r="BH42" s="21">
        <f>IF(COLUMNS($G$42:BH42)&lt;=$E$8,BG42+1,"OUT OF SCOPE")</f>
        <v>54</v>
      </c>
      <c r="BI42" s="21">
        <f>IF(COLUMNS($G$42:BI42)&lt;=$E$8,BH42+1,"OUT OF SCOPE")</f>
        <v>55</v>
      </c>
      <c r="BJ42" s="21">
        <f>IF(COLUMNS($G$42:BJ42)&lt;=$E$8,BI42+1,"OUT OF SCOPE")</f>
        <v>56</v>
      </c>
      <c r="BK42" s="21">
        <f>IF(COLUMNS($G$42:BK42)&lt;=$E$8,BJ42+1,"OUT OF SCOPE")</f>
        <v>57</v>
      </c>
      <c r="BL42" s="21">
        <f>IF(COLUMNS($G$42:BL42)&lt;=$E$8,BK42+1,"OUT OF SCOPE")</f>
        <v>58</v>
      </c>
      <c r="BM42" s="21">
        <f>IF(COLUMNS($G$42:BM42)&lt;=$E$8,BL42+1,"OUT OF SCOPE")</f>
        <v>59</v>
      </c>
      <c r="BN42" s="21">
        <f>IF(COLUMNS($G$42:BN42)&lt;=$E$8,BM42+1,"OUT OF SCOPE")</f>
        <v>60</v>
      </c>
      <c r="BO42" s="21">
        <f>IF(COLUMNS($G$42:BO42)&lt;=$E$8,BN42+1,"OUT OF SCOPE")</f>
        <v>61</v>
      </c>
      <c r="BP42" s="21">
        <f>IF(COLUMNS($G$42:BP42)&lt;=$E$8,BO42+1,"OUT OF SCOPE")</f>
        <v>62</v>
      </c>
      <c r="BQ42" s="21">
        <f>IF(COLUMNS($G$42:BQ42)&lt;=$E$8,BP42+1,"OUT OF SCOPE")</f>
        <v>63</v>
      </c>
      <c r="BR42" s="21">
        <f>IF(COLUMNS($G$42:BR42)&lt;=$E$8,BQ42+1,"OUT OF SCOPE")</f>
        <v>64</v>
      </c>
      <c r="BS42" s="21">
        <f>IF(COLUMNS($G$42:BS42)&lt;=$E$8,BR42+1,"OUT OF SCOPE")</f>
        <v>65</v>
      </c>
      <c r="BT42" s="21">
        <f>IF(COLUMNS($G$42:BT42)&lt;=$E$8,BS42+1,"OUT OF SCOPE")</f>
        <v>66</v>
      </c>
      <c r="BU42" s="21">
        <f>IF(COLUMNS($G$42:BU42)&lt;=$E$8,BT42+1,"OUT OF SCOPE")</f>
        <v>67</v>
      </c>
      <c r="BV42" s="21">
        <f>IF(COLUMNS($G$42:BV42)&lt;=$E$8,BU42+1,"OUT OF SCOPE")</f>
        <v>68</v>
      </c>
      <c r="BW42" s="21">
        <f>IF(COLUMNS($G$42:BW42)&lt;=$E$8,BV42+1,"OUT OF SCOPE")</f>
        <v>69</v>
      </c>
      <c r="BX42" s="21">
        <f>IF(COLUMNS($G$42:BX42)&lt;=$E$8,BW42+1,"OUT OF SCOPE")</f>
        <v>70</v>
      </c>
      <c r="BY42" s="21">
        <f>IF(COLUMNS($G$42:BY42)&lt;=$E$8,BX42+1,"OUT OF SCOPE")</f>
        <v>71</v>
      </c>
      <c r="BZ42" s="21">
        <f>IF(COLUMNS($G$42:BZ42)&lt;=$E$8,BY42+1,"OUT OF SCOPE")</f>
        <v>72</v>
      </c>
      <c r="CA42" s="21">
        <f>IF(COLUMNS($G$42:CA42)&lt;=$E$8,BZ42+1,"OUT OF SCOPE")</f>
        <v>73</v>
      </c>
      <c r="CB42" s="21">
        <f>IF(COLUMNS($G$42:CB42)&lt;=$E$8,CA42+1,"OUT OF SCOPE")</f>
        <v>74</v>
      </c>
      <c r="CC42" s="21">
        <f>IF(COLUMNS($G$42:CC42)&lt;=$E$8,CB42+1,"OUT OF SCOPE")</f>
        <v>75</v>
      </c>
      <c r="CD42" s="21">
        <f>IF(COLUMNS($G$42:CD42)&lt;=$E$8,CC42+1,"OUT OF SCOPE")</f>
        <v>76</v>
      </c>
      <c r="CE42" s="21">
        <f>IF(COLUMNS($G$42:CE42)&lt;=$E$8,CD42+1,"OUT OF SCOPE")</f>
        <v>77</v>
      </c>
      <c r="CF42" s="21">
        <f>IF(COLUMNS($G$42:CF42)&lt;=$E$8,CE42+1,"OUT OF SCOPE")</f>
        <v>78</v>
      </c>
      <c r="CG42" s="21">
        <f>IF(COLUMNS($G$42:CG42)&lt;=$E$8,CF42+1,"OUT OF SCOPE")</f>
        <v>79</v>
      </c>
      <c r="CH42" s="21">
        <f>IF(COLUMNS($G$42:CH42)&lt;=$E$8,CG42+1,"OUT OF SCOPE")</f>
        <v>80</v>
      </c>
      <c r="CI42" s="21">
        <f>IF(COLUMNS($G$42:CI42)&lt;=$E$8,CH42+1,"OUT OF SCOPE")</f>
        <v>81</v>
      </c>
      <c r="CJ42" s="21">
        <f>IF(COLUMNS($G$42:CJ42)&lt;=$E$8,CI42+1,"OUT OF SCOPE")</f>
        <v>82</v>
      </c>
      <c r="CK42" s="21">
        <f>IF(COLUMNS($G$42:CK42)&lt;=$E$8,CJ42+1,"OUT OF SCOPE")</f>
        <v>83</v>
      </c>
      <c r="CL42" s="21">
        <f>IF(COLUMNS($G$42:CL42)&lt;=$E$8,CK42+1,"OUT OF SCOPE")</f>
        <v>84</v>
      </c>
      <c r="CM42" s="21">
        <f>IF(COLUMNS($G$42:CM42)&lt;=$E$8,CL42+1,"OUT OF SCOPE")</f>
        <v>85</v>
      </c>
      <c r="CN42" s="21">
        <f>IF(COLUMNS($G$42:CN42)&lt;=$E$8,CM42+1,"OUT OF SCOPE")</f>
        <v>86</v>
      </c>
      <c r="CO42" s="21">
        <f>IF(COLUMNS($G$42:CO42)&lt;=$E$8,CN42+1,"OUT OF SCOPE")</f>
        <v>87</v>
      </c>
      <c r="CP42" s="21">
        <f>IF(COLUMNS($G$42:CP42)&lt;=$E$8,CO42+1,"OUT OF SCOPE")</f>
        <v>88</v>
      </c>
      <c r="CQ42" s="21">
        <f>IF(COLUMNS($G$42:CQ42)&lt;=$E$8,CP42+1,"OUT OF SCOPE")</f>
        <v>89</v>
      </c>
      <c r="CR42" s="21">
        <f>IF(COLUMNS($G$42:CR42)&lt;=$E$8,CQ42+1,"OUT OF SCOPE")</f>
        <v>90</v>
      </c>
      <c r="CS42" s="21">
        <f>IF(COLUMNS($G$42:CS42)&lt;=$E$8,CR42+1,"OUT OF SCOPE")</f>
        <v>91</v>
      </c>
      <c r="CT42" s="21">
        <f>IF(COLUMNS($G$42:CT42)&lt;=$E$8,CS42+1,"OUT OF SCOPE")</f>
        <v>92</v>
      </c>
      <c r="CU42" s="21">
        <f>IF(COLUMNS($G$42:CU42)&lt;=$E$8,CT42+1,"OUT OF SCOPE")</f>
        <v>93</v>
      </c>
      <c r="CV42" s="21">
        <f>IF(COLUMNS($G$42:CV42)&lt;=$E$8,CU42+1,"OUT OF SCOPE")</f>
        <v>94</v>
      </c>
      <c r="CW42" s="21">
        <f>IF(COLUMNS($G$42:CW42)&lt;=$E$8,CV42+1,"OUT OF SCOPE")</f>
        <v>95</v>
      </c>
      <c r="CX42" s="21">
        <f>IF(COLUMNS($G$42:CX42)&lt;=$E$8,CW42+1,"OUT OF SCOPE")</f>
        <v>96</v>
      </c>
      <c r="CY42" s="21">
        <f>IF(COLUMNS($G$42:CY42)&lt;=$E$8,CX42+1,"OUT OF SCOPE")</f>
        <v>97</v>
      </c>
      <c r="CZ42" s="21">
        <f>IF(COLUMNS($G$42:CZ42)&lt;=$E$8,CY42+1,"OUT OF SCOPE")</f>
        <v>98</v>
      </c>
      <c r="DA42" s="21">
        <f>IF(COLUMNS($G$42:DA42)&lt;=$E$8,CZ42+1,"OUT OF SCOPE")</f>
        <v>99</v>
      </c>
      <c r="DB42" s="21">
        <f>IF(COLUMNS($G$42:DB42)&lt;=$E$8,DA42+1,"OUT OF SCOPE")</f>
        <v>100</v>
      </c>
      <c r="DC42" s="21">
        <f>IF(COLUMNS($G$42:DC42)&lt;=$E$8,DB42+1,"OUT OF SCOPE")</f>
        <v>101</v>
      </c>
      <c r="DD42" s="21">
        <f>IF(COLUMNS($G$42:DD42)&lt;=$E$8,DC42+1,"OUT OF SCOPE")</f>
        <v>102</v>
      </c>
      <c r="DE42" s="21">
        <f>IF(COLUMNS($G$42:DE42)&lt;=$E$8,DD42+1,"OUT OF SCOPE")</f>
        <v>103</v>
      </c>
      <c r="DF42" s="21">
        <f>IF(COLUMNS($G$42:DF42)&lt;=$E$8,DE42+1,"OUT OF SCOPE")</f>
        <v>104</v>
      </c>
      <c r="DG42" s="21">
        <f>IF(COLUMNS($G$42:DG42)&lt;=$E$8,DF42+1,"OUT OF SCOPE")</f>
        <v>105</v>
      </c>
      <c r="DH42" s="21">
        <f>IF(COLUMNS($G$42:DH42)&lt;=$E$8,DG42+1,"OUT OF SCOPE")</f>
        <v>106</v>
      </c>
      <c r="DI42" s="21">
        <f>IF(COLUMNS($G$42:DI42)&lt;=$E$8,DH42+1,"OUT OF SCOPE")</f>
        <v>107</v>
      </c>
      <c r="DJ42" s="21">
        <f>IF(COLUMNS($G$42:DJ42)&lt;=$E$8,DI42+1,"OUT OF SCOPE")</f>
        <v>108</v>
      </c>
      <c r="DK42" s="21">
        <f>IF(COLUMNS($G$42:DK42)&lt;=$E$8,DJ42+1,"OUT OF SCOPE")</f>
        <v>109</v>
      </c>
      <c r="DL42" s="21">
        <f>IF(COLUMNS($G$42:DL42)&lt;=$E$8,DK42+1,"OUT OF SCOPE")</f>
        <v>110</v>
      </c>
      <c r="DM42" s="21">
        <f>IF(COLUMNS($G$42:DM42)&lt;=$E$8,DL42+1,"OUT OF SCOPE")</f>
        <v>111</v>
      </c>
      <c r="DN42" s="21">
        <f>IF(COLUMNS($G$42:DN42)&lt;=$E$8,DM42+1,"OUT OF SCOPE")</f>
        <v>112</v>
      </c>
      <c r="DO42" s="21">
        <f>IF(COLUMNS($G$42:DO42)&lt;=$E$8,DN42+1,"OUT OF SCOPE")</f>
        <v>113</v>
      </c>
      <c r="DP42" s="21">
        <f>IF(COLUMNS($G$42:DP42)&lt;=$E$8,DO42+1,"OUT OF SCOPE")</f>
        <v>114</v>
      </c>
      <c r="DQ42" s="21">
        <f>IF(COLUMNS($G$42:DQ42)&lt;=$E$8,DP42+1,"OUT OF SCOPE")</f>
        <v>115</v>
      </c>
      <c r="DR42" s="21">
        <f>IF(COLUMNS($G$42:DR42)&lt;=$E$8,DQ42+1,"OUT OF SCOPE")</f>
        <v>116</v>
      </c>
      <c r="DS42" s="21">
        <f>IF(COLUMNS($G$42:DS42)&lt;=$E$8,DR42+1,"OUT OF SCOPE")</f>
        <v>117</v>
      </c>
      <c r="DT42" s="21">
        <f>IF(COLUMNS($G$42:DT42)&lt;=$E$8,DS42+1,"OUT OF SCOPE")</f>
        <v>118</v>
      </c>
      <c r="DU42" s="21" t="str">
        <f>IF(COLUMNS($G$42:DU42)&lt;=$E$8,DT42+1,"OUT OF SCOPE")</f>
        <v>OUT OF SCOPE</v>
      </c>
      <c r="DV42" s="21" t="str">
        <f>IF(COLUMNS($G$42:DV42)&lt;=$E$8,DU42+1,"OUT OF SCOPE")</f>
        <v>OUT OF SCOPE</v>
      </c>
      <c r="DW42" s="21" t="str">
        <f>IF(COLUMNS($G$42:DW42)&lt;=$E$8,DV42+1,"OUT OF SCOPE")</f>
        <v>OUT OF SCOPE</v>
      </c>
      <c r="DX42" s="21" t="str">
        <f>IF(COLUMNS($G$42:DX42)&lt;=$E$8,DW42+1,"OUT OF SCOPE")</f>
        <v>OUT OF SCOPE</v>
      </c>
      <c r="DY42" s="21" t="str">
        <f>IF(COLUMNS($G$42:DY42)&lt;=$E$8,DX42+1,"OUT OF SCOPE")</f>
        <v>OUT OF SCOPE</v>
      </c>
      <c r="DZ42" s="21" t="str">
        <f>IF(COLUMNS($G$42:DZ42)&lt;=$E$8,DY42+1,"OUT OF SCOPE")</f>
        <v>OUT OF SCOPE</v>
      </c>
      <c r="EA42" s="21" t="str">
        <f>IF(COLUMNS($G$42:EA42)&lt;=$E$8,DZ42+1,"OUT OF SCOPE")</f>
        <v>OUT OF SCOPE</v>
      </c>
      <c r="EB42" s="21" t="str">
        <f>IF(COLUMNS($G$42:EB42)&lt;=$E$8,EA42+1,"OUT OF SCOPE")</f>
        <v>OUT OF SCOPE</v>
      </c>
      <c r="EC42" s="21" t="str">
        <f>IF(COLUMNS($G$42:EC42)&lt;=$E$8,EB42+1,"OUT OF SCOPE")</f>
        <v>OUT OF SCOPE</v>
      </c>
      <c r="ED42" s="21" t="str">
        <f>IF(COLUMNS($G$42:ED42)&lt;=$E$8,EC42+1,"OUT OF SCOPE")</f>
        <v>OUT OF SCOPE</v>
      </c>
      <c r="EE42" s="21" t="str">
        <f>IF(COLUMNS($G$42:EE42)&lt;=$E$8,ED42+1,"OUT OF SCOPE")</f>
        <v>OUT OF SCOPE</v>
      </c>
      <c r="EF42" s="21" t="str">
        <f>IF(COLUMNS($G$42:EF42)&lt;=$E$8,EE42+1,"OUT OF SCOPE")</f>
        <v>OUT OF SCOPE</v>
      </c>
      <c r="EG42" s="21" t="str">
        <f>IF(COLUMNS($G$42:EG42)&lt;=$E$8,EF42+1,"OUT OF SCOPE")</f>
        <v>OUT OF SCOPE</v>
      </c>
      <c r="EH42" s="21" t="str">
        <f>IF(COLUMNS($G$42:EH42)&lt;=$E$8,EG42+1,"OUT OF SCOPE")</f>
        <v>OUT OF SCOPE</v>
      </c>
    </row>
    <row r="43" spans="1:138" s="106" customFormat="1" x14ac:dyDescent="0.35">
      <c r="A43" s="103" t="s">
        <v>34</v>
      </c>
      <c r="B43" s="103"/>
      <c r="C43" s="104"/>
      <c r="D43" s="104"/>
      <c r="E43" s="104"/>
      <c r="F43" s="103">
        <f>IFERROR(1/(1+$E$10)^F42,0)</f>
        <v>1</v>
      </c>
      <c r="G43" s="103">
        <f t="shared" ref="G43:BR43" si="6">IFERROR(1/(1+$E$10)^G42,0)</f>
        <v>0.99048256048805861</v>
      </c>
      <c r="H43" s="103">
        <f t="shared" si="6"/>
        <v>0.98105570263098063</v>
      </c>
      <c r="I43" s="103">
        <f t="shared" si="6"/>
        <v>0.97171856432334514</v>
      </c>
      <c r="J43" s="103">
        <f t="shared" si="6"/>
        <v>0.96247029166476716</v>
      </c>
      <c r="K43" s="103">
        <f t="shared" si="6"/>
        <v>0.9533100388818071</v>
      </c>
      <c r="L43" s="103">
        <f t="shared" si="6"/>
        <v>0.94423696825062298</v>
      </c>
      <c r="M43" s="103">
        <f t="shared" si="6"/>
        <v>0.93525025002035866</v>
      </c>
      <c r="N43" s="103">
        <f t="shared" si="6"/>
        <v>0.92634906233726189</v>
      </c>
      <c r="O43" s="103">
        <f t="shared" si="6"/>
        <v>0.91753259116952335</v>
      </c>
      <c r="P43" s="103">
        <f t="shared" si="6"/>
        <v>0.90880003023283251</v>
      </c>
      <c r="Q43" s="103">
        <f t="shared" si="6"/>
        <v>0.90015058091664102</v>
      </c>
      <c r="R43" s="103">
        <f t="shared" si="6"/>
        <v>0.89158345221112811</v>
      </c>
      <c r="S43" s="103">
        <f t="shared" si="6"/>
        <v>0.88309786063486073</v>
      </c>
      <c r="T43" s="103">
        <f t="shared" si="6"/>
        <v>0.87469303016314348</v>
      </c>
      <c r="U43" s="103">
        <f t="shared" si="6"/>
        <v>0.86636819215704908</v>
      </c>
      <c r="V43" s="103">
        <f t="shared" si="6"/>
        <v>0.85812258529312435</v>
      </c>
      <c r="W43" s="103">
        <f t="shared" si="6"/>
        <v>0.84995545549376617</v>
      </c>
      <c r="X43" s="103">
        <f t="shared" si="6"/>
        <v>0.84186605585825958</v>
      </c>
      <c r="Y43" s="103">
        <f t="shared" si="6"/>
        <v>0.83385364659447203</v>
      </c>
      <c r="Z43" s="103">
        <f t="shared" si="6"/>
        <v>0.82591749495119737</v>
      </c>
      <c r="AA43" s="103">
        <f t="shared" si="6"/>
        <v>0.81805687515114522</v>
      </c>
      <c r="AB43" s="103">
        <f t="shared" si="6"/>
        <v>0.81027106832456641</v>
      </c>
      <c r="AC43" s="103">
        <f t="shared" si="6"/>
        <v>0.802559362443511</v>
      </c>
      <c r="AD43" s="103">
        <f t="shared" si="6"/>
        <v>0.79492105225671272</v>
      </c>
      <c r="AE43" s="103">
        <f t="shared" si="6"/>
        <v>0.78735543922509066</v>
      </c>
      <c r="AF43" s="103">
        <f t="shared" si="6"/>
        <v>0.7798618314578678</v>
      </c>
      <c r="AG43" s="103">
        <f t="shared" si="6"/>
        <v>0.77243954364929568</v>
      </c>
      <c r="AH43" s="103">
        <f t="shared" si="6"/>
        <v>0.76508789701598201</v>
      </c>
      <c r="AI43" s="103">
        <f t="shared" si="6"/>
        <v>0.75780621923481384</v>
      </c>
      <c r="AJ43" s="103">
        <f t="shared" si="6"/>
        <v>0.75059384438147347</v>
      </c>
      <c r="AK43" s="103">
        <f t="shared" si="6"/>
        <v>0.74345011286953722</v>
      </c>
      <c r="AL43" s="103">
        <f t="shared" si="6"/>
        <v>0.73637437139015549</v>
      </c>
      <c r="AM43" s="103">
        <f t="shared" si="6"/>
        <v>0.72936597285230576</v>
      </c>
      <c r="AN43" s="105">
        <f t="shared" si="6"/>
        <v>0.72242427632361561</v>
      </c>
      <c r="AO43" s="105">
        <f t="shared" si="6"/>
        <v>0.71554864697174758</v>
      </c>
      <c r="AP43" s="105">
        <f t="shared" si="6"/>
        <v>0.70873845600634244</v>
      </c>
      <c r="AQ43" s="105">
        <f t="shared" si="6"/>
        <v>0.70199308062151544</v>
      </c>
      <c r="AR43" s="105">
        <f t="shared" si="6"/>
        <v>0.69531190393889863</v>
      </c>
      <c r="AS43" s="105">
        <f t="shared" si="6"/>
        <v>0.68869431495122735</v>
      </c>
      <c r="AT43" s="105">
        <f t="shared" si="6"/>
        <v>0.68213970846646121</v>
      </c>
      <c r="AU43" s="105">
        <f t="shared" si="6"/>
        <v>0.67564748505243821</v>
      </c>
      <c r="AV43" s="105">
        <f t="shared" si="6"/>
        <v>0.66921705098205631</v>
      </c>
      <c r="AW43" s="105">
        <f t="shared" si="6"/>
        <v>0.66284781817897476</v>
      </c>
      <c r="AX43" s="105">
        <f t="shared" si="6"/>
        <v>0.65653920416383416</v>
      </c>
      <c r="AY43" s="105">
        <f t="shared" si="6"/>
        <v>0.65029063200098669</v>
      </c>
      <c r="AZ43" s="105">
        <f t="shared" si="6"/>
        <v>0.64410153024573502</v>
      </c>
      <c r="BA43" s="105">
        <f t="shared" si="6"/>
        <v>0.63797133289207231</v>
      </c>
      <c r="BB43" s="105">
        <f t="shared" si="6"/>
        <v>0.6318994793209195</v>
      </c>
      <c r="BC43" s="105">
        <f t="shared" si="6"/>
        <v>0.62588541424885535</v>
      </c>
      <c r="BD43" s="105">
        <f t="shared" si="6"/>
        <v>0.61992858767733539</v>
      </c>
      <c r="BE43" s="105">
        <f t="shared" si="6"/>
        <v>0.6140284548423931</v>
      </c>
      <c r="BF43" s="105">
        <f t="shared" si="6"/>
        <v>0.60818447616481985</v>
      </c>
      <c r="BG43" s="105">
        <f t="shared" si="6"/>
        <v>0.60239611720081943</v>
      </c>
      <c r="BH43" s="105">
        <f t="shared" si="6"/>
        <v>0.59666284859313234</v>
      </c>
      <c r="BI43" s="105">
        <f t="shared" si="6"/>
        <v>0.59098414602262439</v>
      </c>
      <c r="BJ43" s="105">
        <f t="shared" si="6"/>
        <v>0.58535949016033773</v>
      </c>
      <c r="BK43" s="105">
        <f t="shared" si="6"/>
        <v>0.57978836661999589</v>
      </c>
      <c r="BL43" s="105">
        <f t="shared" si="6"/>
        <v>0.57427026591096275</v>
      </c>
      <c r="BM43" s="105">
        <f t="shared" si="6"/>
        <v>0.56880468339164869</v>
      </c>
      <c r="BN43" s="105">
        <f t="shared" si="6"/>
        <v>0.56339111922335972</v>
      </c>
      <c r="BO43" s="105">
        <f t="shared" si="6"/>
        <v>0.55802907832458637</v>
      </c>
      <c r="BP43" s="105">
        <f t="shared" si="6"/>
        <v>0.55271807032572773</v>
      </c>
      <c r="BQ43" s="105">
        <f t="shared" si="6"/>
        <v>0.5474576095242456</v>
      </c>
      <c r="BR43" s="105">
        <f t="shared" si="6"/>
        <v>0.54224721484024652</v>
      </c>
      <c r="BS43" s="105">
        <f t="shared" ref="BS43:ED43" si="7">IFERROR(1/(1+$E$10)^BS42,0)</f>
        <v>0.53708640977248578</v>
      </c>
      <c r="BT43" s="105">
        <f t="shared" si="7"/>
        <v>0.53197472235479037</v>
      </c>
      <c r="BU43" s="105">
        <f t="shared" si="7"/>
        <v>0.52691168511289688</v>
      </c>
      <c r="BV43" s="105">
        <f t="shared" si="7"/>
        <v>0.52189683502169981</v>
      </c>
      <c r="BW43" s="105">
        <f t="shared" si="7"/>
        <v>0.51692971346290706</v>
      </c>
      <c r="BX43" s="105">
        <f t="shared" si="7"/>
        <v>0.51200986618309863</v>
      </c>
      <c r="BY43" s="105">
        <f t="shared" si="7"/>
        <v>0.50713684325218378</v>
      </c>
      <c r="BZ43" s="105">
        <f t="shared" si="7"/>
        <v>0.50231019902225416</v>
      </c>
      <c r="CA43" s="105">
        <f t="shared" si="7"/>
        <v>0.49752949208682862</v>
      </c>
      <c r="CB43" s="105">
        <f t="shared" si="7"/>
        <v>0.49279428524048524</v>
      </c>
      <c r="CC43" s="105">
        <f t="shared" si="7"/>
        <v>0.48810414543887853</v>
      </c>
      <c r="CD43" s="105">
        <f t="shared" si="7"/>
        <v>0.48345864375913628</v>
      </c>
      <c r="CE43" s="105">
        <f t="shared" si="7"/>
        <v>0.47885735536063345</v>
      </c>
      <c r="CF43" s="105">
        <f t="shared" si="7"/>
        <v>0.47429985944614034</v>
      </c>
      <c r="CG43" s="105">
        <f t="shared" si="7"/>
        <v>0.46978573922333944</v>
      </c>
      <c r="CH43" s="105">
        <f t="shared" si="7"/>
        <v>0.46531458186670854</v>
      </c>
      <c r="CI43" s="105">
        <f t="shared" si="7"/>
        <v>0.46088597847976787</v>
      </c>
      <c r="CJ43" s="105">
        <f t="shared" si="7"/>
        <v>0.45649952405768474</v>
      </c>
      <c r="CK43" s="105">
        <f t="shared" si="7"/>
        <v>0.45215481745023572</v>
      </c>
      <c r="CL43" s="105">
        <f t="shared" si="7"/>
        <v>0.44785146132512021</v>
      </c>
      <c r="CM43" s="105">
        <f t="shared" si="7"/>
        <v>0.4435890621316238</v>
      </c>
      <c r="CN43" s="105">
        <f t="shared" si="7"/>
        <v>0.43936723006462725</v>
      </c>
      <c r="CO43" s="105">
        <f t="shared" si="7"/>
        <v>0.43518557902895783</v>
      </c>
      <c r="CP43" s="105">
        <f t="shared" si="7"/>
        <v>0.43104372660408058</v>
      </c>
      <c r="CQ43" s="105">
        <f t="shared" si="7"/>
        <v>0.42694129400912439</v>
      </c>
      <c r="CR43" s="105">
        <f t="shared" si="7"/>
        <v>0.4228779060682426</v>
      </c>
      <c r="CS43" s="105">
        <f t="shared" si="7"/>
        <v>0.41885319117630165</v>
      </c>
      <c r="CT43" s="105">
        <f t="shared" si="7"/>
        <v>0.41486678126489768</v>
      </c>
      <c r="CU43" s="105">
        <f t="shared" si="7"/>
        <v>0.41091831176869509</v>
      </c>
      <c r="CV43" s="105">
        <f t="shared" si="7"/>
        <v>0.40700742159208747</v>
      </c>
      <c r="CW43" s="105">
        <f t="shared" si="7"/>
        <v>0.4031337530761735</v>
      </c>
      <c r="CX43" s="105">
        <f t="shared" si="7"/>
        <v>0.39929695196604914</v>
      </c>
      <c r="CY43" s="105">
        <f t="shared" si="7"/>
        <v>0.39549666737840972</v>
      </c>
      <c r="CZ43" s="105">
        <f t="shared" si="7"/>
        <v>0.39173255176946126</v>
      </c>
      <c r="DA43" s="105">
        <f t="shared" si="7"/>
        <v>0.38800426090313694</v>
      </c>
      <c r="DB43" s="105">
        <f t="shared" si="7"/>
        <v>0.38431145381961584</v>
      </c>
      <c r="DC43" s="105">
        <f t="shared" si="7"/>
        <v>0.38065379280414136</v>
      </c>
      <c r="DD43" s="105">
        <f t="shared" si="7"/>
        <v>0.37703094335613685</v>
      </c>
      <c r="DE43" s="105">
        <f t="shared" si="7"/>
        <v>0.37344257415861465</v>
      </c>
      <c r="DF43" s="105">
        <f t="shared" si="7"/>
        <v>0.36988835704787637</v>
      </c>
      <c r="DG43" s="105">
        <f t="shared" si="7"/>
        <v>0.36636796698350171</v>
      </c>
      <c r="DH43" s="105">
        <f t="shared" si="7"/>
        <v>0.36288108201862335</v>
      </c>
      <c r="DI43" s="105">
        <f t="shared" si="7"/>
        <v>0.35942738327048318</v>
      </c>
      <c r="DJ43" s="105">
        <f t="shared" si="7"/>
        <v>0.35600655489127109</v>
      </c>
      <c r="DK43" s="105">
        <f t="shared" si="7"/>
        <v>0.35261828403923873</v>
      </c>
      <c r="DL43" s="105">
        <f t="shared" si="7"/>
        <v>0.34926226085009066</v>
      </c>
      <c r="DM43" s="105">
        <f t="shared" si="7"/>
        <v>0.34593817840864605</v>
      </c>
      <c r="DN43" s="105">
        <f t="shared" si="7"/>
        <v>0.34264573272077054</v>
      </c>
      <c r="DO43" s="105">
        <f t="shared" si="7"/>
        <v>0.33938462268557573</v>
      </c>
      <c r="DP43" s="105">
        <f t="shared" si="7"/>
        <v>0.33615455006788275</v>
      </c>
      <c r="DQ43" s="105">
        <f t="shared" si="7"/>
        <v>0.33295521947094781</v>
      </c>
      <c r="DR43" s="105">
        <f t="shared" si="7"/>
        <v>0.32978633830944792</v>
      </c>
      <c r="DS43" s="105">
        <f t="shared" si="7"/>
        <v>0.32664761678272308</v>
      </c>
      <c r="DT43" s="105">
        <f t="shared" si="7"/>
        <v>0.32353876784827368</v>
      </c>
      <c r="DU43" s="105">
        <f t="shared" si="7"/>
        <v>0</v>
      </c>
      <c r="DV43" s="105">
        <f t="shared" si="7"/>
        <v>0</v>
      </c>
      <c r="DW43" s="105">
        <f t="shared" si="7"/>
        <v>0</v>
      </c>
      <c r="DX43" s="105">
        <f t="shared" si="7"/>
        <v>0</v>
      </c>
      <c r="DY43" s="105">
        <f t="shared" si="7"/>
        <v>0</v>
      </c>
      <c r="DZ43" s="105">
        <f t="shared" si="7"/>
        <v>0</v>
      </c>
      <c r="EA43" s="105">
        <f t="shared" si="7"/>
        <v>0</v>
      </c>
      <c r="EB43" s="105">
        <f t="shared" si="7"/>
        <v>0</v>
      </c>
      <c r="EC43" s="105">
        <f t="shared" si="7"/>
        <v>0</v>
      </c>
      <c r="ED43" s="105">
        <f t="shared" si="7"/>
        <v>0</v>
      </c>
      <c r="EE43" s="105">
        <f t="shared" ref="EE43:EH43" si="8">IFERROR(1/(1+$E$10)^EE42,0)</f>
        <v>0</v>
      </c>
      <c r="EF43" s="105">
        <f t="shared" si="8"/>
        <v>0</v>
      </c>
      <c r="EG43" s="105">
        <f t="shared" si="8"/>
        <v>0</v>
      </c>
      <c r="EH43" s="105">
        <f t="shared" si="8"/>
        <v>0</v>
      </c>
    </row>
    <row r="44" spans="1:138" s="121" customFormat="1" x14ac:dyDescent="0.35">
      <c r="A44" s="119" t="s">
        <v>35</v>
      </c>
      <c r="B44" s="119"/>
      <c r="C44" s="120"/>
      <c r="E44" s="121">
        <f>SUMIFS(F44:DT44,F41:DT41,"&lt;="&amp;E5)</f>
        <v>2417361.6666666623</v>
      </c>
      <c r="F44" s="121">
        <f>IF(C29=TRUE,E29+E31,E31)</f>
        <v>400000</v>
      </c>
      <c r="G44" s="121">
        <f>(17889*3)+G62</f>
        <v>44667</v>
      </c>
      <c r="H44" s="121">
        <f>IF(AND($D$28&gt;0,H41&gt;=$E$28,$E$28&gt;0),$C$16*(1+$C$22)*(1+$C$23)*(1+$C$24)*(1+$C$25)*(1+$C$26)*(1+$C$27)*(1+$C$28),IF(AND($D$27&gt;0,H41&gt;=$E$27,$E$27&gt;0),$C$16*(1+$C$22)*(1+$C$23)*(1+$C$24)*(1+$C$25)*(1+$C$26)*(1+$C$27),IF(AND($D$26&gt;0,H41&gt;=$E$26,$E$26&gt;0),$C$16*(1+$C$22)*(1+$C$23)*(1+$C$24)*(1+$C$25)*(1+$C$26),IF(AND($D$25&gt;0,H41&gt;=$E$25,$E$25&gt;0),$C$16*(1+$C$22)*(1+$C$23)*(1+$C$24)*(1+$C$25),IF(AND($D$24&gt;0,H41&gt;=$E$24,$E$24&gt;0),$C$16*(1+$C$22)*(1+$C$23)*(1+$C$24),IF(AND($D$23&gt;0,H41&gt;=$E$23,$E$23&gt;0),$C$16*(1+$C$22)*(1+$C$23),IF(AND($D$22&gt;0,H41&gt;=$E$22,$E$22),$C$16*(1+$C$22),$C$16)))))))+H62</f>
        <v>14888.888888888887</v>
      </c>
      <c r="I44" s="121">
        <f>IF(AND($D$28&gt;0,I41&gt;=$E$28,$E$28&gt;0),$C$16*(1+$C$22)*(1+$C$23)*(1+$C$24)*(1+$C$25)*(1+$C$26)*(1+$C$27)*(1+$C$28),IF(AND($D$27&gt;0,I41&gt;=$E$27,$E$27&gt;0),$C$16*(1+$C$22)*(1+$C$23)*(1+$C$24)*(1+$C$25)*(1+$C$26)*(1+$C$27),IF(AND($D$26&gt;0,I41&gt;=$E$26,$E$26&gt;0),$C$16*(1+$C$22)*(1+$C$23)*(1+$C$24)*(1+$C$25)*(1+$C$26),IF(AND($D$25&gt;0,I41&gt;=$E$25,$E$25&gt;0),$C$16*(1+$C$22)*(1+$C$23)*(1+$C$24)*(1+$C$25),IF(AND($D$24&gt;0,I41&gt;=$E$24,$E$24&gt;0),$C$16*(1+$C$22)*(1+$C$23)*(1+$C$24),IF(AND($D$23&gt;0,I41&gt;=$E$23,$E$23&gt;0),$C$16*(1+$C$22)*(1+$C$23),IF(AND($D$22&gt;0,I41&gt;=$E$22,$E$22),$C$16*(1+$C$22),$C$16)))))))+I62</f>
        <v>14888.888888888887</v>
      </c>
      <c r="J44" s="121">
        <f>IF(AND($D$28&gt;0,J41&gt;=$E$28,$E$28&gt;0),$C$16*(1+$C$22)*(1+$C$23)*(1+$C$24)*(1+$C$25)*(1+$C$26)*(1+$C$27)*(1+$C$28),IF(AND($D$27&gt;0,J41&gt;=$E$27,$E$27&gt;0),$C$16*(1+$C$22)*(1+$C$23)*(1+$C$24)*(1+$C$25)*(1+$C$26)*(1+$C$27),IF(AND($D$26&gt;0,J41&gt;=$E$26,$E$26&gt;0),$C$16*(1+$C$22)*(1+$C$23)*(1+$C$24)*(1+$C$25)*(1+$C$26),IF(AND($D$25&gt;0,J41&gt;=$E$25,$E$25&gt;0),$C$16*(1+$C$22)*(1+$C$23)*(1+$C$24)*(1+$C$25),IF(AND($D$24&gt;0,J41&gt;=$E$24,$E$24&gt;0),$C$16*(1+$C$22)*(1+$C$23)*(1+$C$24),IF(AND($D$23&gt;0,J41&gt;=$E$23,$E$23&gt;0),$C$16*(1+$C$22)*(1+$C$23),IF(AND($D$22&gt;0,J41&gt;=$E$22,$E$22),$C$16*(1+$C$22),$C$16)))))))+J62</f>
        <v>14888.888888888887</v>
      </c>
      <c r="K44" s="121">
        <f>IF(AND($D$28&gt;0,K41&gt;=$E$28,$E$28&gt;0),$C$16*(1+$C$22)*(1+$C$23)*(1+$C$24)*(1+$C$25)*(1+$C$26)*(1+$C$27)*(1+$C$28),IF(AND($D$27&gt;0,K41&gt;=$E$27,$E$27&gt;0),$C$16*(1+$C$22)*(1+$C$23)*(1+$C$24)*(1+$C$25)*(1+$C$26)*(1+$C$27),IF(AND($D$26&gt;0,K41&gt;=$E$26,$E$26&gt;0),$C$16*(1+$C$22)*(1+$C$23)*(1+$C$24)*(1+$C$25)*(1+$C$26),IF(AND($D$25&gt;0,K41&gt;=$E$25,$E$25&gt;0),$C$16*(1+$C$22)*(1+$C$23)*(1+$C$24)*(1+$C$25),IF(AND($D$24&gt;0,K41&gt;=$E$24,$E$24&gt;0),$C$16*(1+$C$22)*(1+$C$23)*(1+$C$24),IF(AND($D$23&gt;0,K41&gt;=$E$23,$E$23&gt;0),$C$16*(1+$C$22)*(1+$C$23),IF(AND($D$22&gt;0,K41&gt;=$E$22,$E$22),$C$16*(1+$C$22),$C$16)))))))+K62</f>
        <v>14888.888888888887</v>
      </c>
      <c r="L44" s="121">
        <f>IF(AND($D$28&gt;0,L41&gt;=$E$28,$E$28&gt;0),$C$16*(1+$C$22)*(1+$C$23)*(1+$C$24)*(1+$C$25)*(1+$C$26)*(1+$C$27)*(1+$C$28),IF(AND($D$27&gt;0,L41&gt;=$E$27,$E$27&gt;0),$C$16*(1+$C$22)*(1+$C$23)*(1+$C$24)*(1+$C$25)*(1+$C$26)*(1+$C$27),IF(AND($D$26&gt;0,L41&gt;=$E$26,$E$26&gt;0),$C$16*(1+$C$22)*(1+$C$23)*(1+$C$24)*(1+$C$25)*(1+$C$26),IF(AND($D$25&gt;0,L41&gt;=$E$25,$E$25&gt;0),$C$16*(1+$C$22)*(1+$C$23)*(1+$C$24)*(1+$C$25),IF(AND($D$24&gt;0,L41&gt;=$E$24,$E$24&gt;0),$C$16*(1+$C$22)*(1+$C$23)*(1+$C$24),IF(AND($D$23&gt;0,L41&gt;=$E$23,$E$23&gt;0),$C$16*(1+$C$22)*(1+$C$23),IF(AND($D$22&gt;0,L41&gt;=$E$22,$E$22),$C$16*(1+$C$22),$C$16)))))))+L62</f>
        <v>14888.888888888887</v>
      </c>
      <c r="M44" s="121">
        <f>IF(AND($D$28&gt;0,M41&gt;=$E$28,$E$28&gt;0),$C$16*(1+$C$22)*(1+$C$23)*(1+$C$24)*(1+$C$25)*(1+$C$26)*(1+$C$27)*(1+$C$28),IF(AND($D$27&gt;0,M41&gt;=$E$27,$E$27&gt;0),$C$16*(1+$C$22)*(1+$C$23)*(1+$C$24)*(1+$C$25)*(1+$C$26)*(1+$C$27),IF(AND($D$26&gt;0,M41&gt;=$E$26,$E$26&gt;0),$C$16*(1+$C$22)*(1+$C$23)*(1+$C$24)*(1+$C$25)*(1+$C$26),IF(AND($D$25&gt;0,M41&gt;=$E$25,$E$25&gt;0),$C$16*(1+$C$22)*(1+$C$23)*(1+$C$24)*(1+$C$25),IF(AND($D$24&gt;0,M41&gt;=$E$24,$E$24&gt;0),$C$16*(1+$C$22)*(1+$C$23)*(1+$C$24),IF(AND($D$23&gt;0,M41&gt;=$E$23,$E$23&gt;0),$C$16*(1+$C$22)*(1+$C$23),IF(AND($D$22&gt;0,M41&gt;=$E$22,$E$22),$C$16*(1+$C$22),$C$16)))))))+M62</f>
        <v>14888.888888888887</v>
      </c>
      <c r="N44" s="121">
        <f>IF(AND($D$28&gt;0,N41&gt;=$E$28,$E$28&gt;0),$C$16*(1+$C$22)*(1+$C$23)*(1+$C$24)*(1+$C$25)*(1+$C$26)*(1+$C$27)*(1+$C$28),IF(AND($D$27&gt;0,N41&gt;=$E$27,$E$27&gt;0),$C$16*(1+$C$22)*(1+$C$23)*(1+$C$24)*(1+$C$25)*(1+$C$26)*(1+$C$27),IF(AND($D$26&gt;0,N41&gt;=$E$26,$E$26&gt;0),$C$16*(1+$C$22)*(1+$C$23)*(1+$C$24)*(1+$C$25)*(1+$C$26),IF(AND($D$25&gt;0,N41&gt;=$E$25,$E$25&gt;0),$C$16*(1+$C$22)*(1+$C$23)*(1+$C$24)*(1+$C$25),IF(AND($D$24&gt;0,N41&gt;=$E$24,$E$24&gt;0),$C$16*(1+$C$22)*(1+$C$23)*(1+$C$24),IF(AND($D$23&gt;0,N41&gt;=$E$23,$E$23&gt;0),$C$16*(1+$C$22)*(1+$C$23),IF(AND($D$22&gt;0,N41&gt;=$E$22,$E$22),$C$16*(1+$C$22),$C$16)))))))+N62</f>
        <v>14888.888888888887</v>
      </c>
      <c r="O44" s="121">
        <f>IF(AND($D$28&gt;0,O41&gt;=$E$28,$E$28&gt;0),$C$16*(1+$C$22)*(1+$C$23)*(1+$C$24)*(1+$C$25)*(1+$C$26)*(1+$C$27)*(1+$C$28),IF(AND($D$27&gt;0,O41&gt;=$E$27,$E$27&gt;0),$C$16*(1+$C$22)*(1+$C$23)*(1+$C$24)*(1+$C$25)*(1+$C$26)*(1+$C$27),IF(AND($D$26&gt;0,O41&gt;=$E$26,$E$26&gt;0),$C$16*(1+$C$22)*(1+$C$23)*(1+$C$24)*(1+$C$25)*(1+$C$26),IF(AND($D$25&gt;0,O41&gt;=$E$25,$E$25&gt;0),$C$16*(1+$C$22)*(1+$C$23)*(1+$C$24)*(1+$C$25),IF(AND($D$24&gt;0,O41&gt;=$E$24,$E$24&gt;0),$C$16*(1+$C$22)*(1+$C$23)*(1+$C$24),IF(AND($D$23&gt;0,O41&gt;=$E$23,$E$23&gt;0),$C$16*(1+$C$22)*(1+$C$23),IF(AND($D$22&gt;0,O41&gt;=$E$22,$E$22),$C$16*(1+$C$22),$C$16)))))))+O62</f>
        <v>14888.888888888887</v>
      </c>
      <c r="P44" s="121">
        <f>IF(AND($D$28&gt;0,P41&gt;=$E$28,$E$28&gt;0),$C$16*(1+$C$22)*(1+$C$23)*(1+$C$24)*(1+$C$25)*(1+$C$26)*(1+$C$27)*(1+$C$28),IF(AND($D$27&gt;0,P41&gt;=$E$27,$E$27&gt;0),$C$16*(1+$C$22)*(1+$C$23)*(1+$C$24)*(1+$C$25)*(1+$C$26)*(1+$C$27),IF(AND($D$26&gt;0,P41&gt;=$E$26,$E$26&gt;0),$C$16*(1+$C$22)*(1+$C$23)*(1+$C$24)*(1+$C$25)*(1+$C$26),IF(AND($D$25&gt;0,P41&gt;=$E$25,$E$25&gt;0),$C$16*(1+$C$22)*(1+$C$23)*(1+$C$24)*(1+$C$25),IF(AND($D$24&gt;0,P41&gt;=$E$24,$E$24&gt;0),$C$16*(1+$C$22)*(1+$C$23)*(1+$C$24),IF(AND($D$23&gt;0,P41&gt;=$E$23,$E$23&gt;0),$C$16*(1+$C$22)*(1+$C$23),IF(AND($D$22&gt;0,P41&gt;=$E$22,$E$22),$C$16*(1+$C$22),$C$16)))))))+P62</f>
        <v>14888.888888888887</v>
      </c>
      <c r="Q44" s="121">
        <f>IF(AND($D$28&gt;0,Q41&gt;=$E$28,$E$28&gt;0),$C$16*(1+$C$22)*(1+$C$23)*(1+$C$24)*(1+$C$25)*(1+$C$26)*(1+$C$27)*(1+$C$28),IF(AND($D$27&gt;0,Q41&gt;=$E$27,$E$27&gt;0),$C$16*(1+$C$22)*(1+$C$23)*(1+$C$24)*(1+$C$25)*(1+$C$26)*(1+$C$27),IF(AND($D$26&gt;0,Q41&gt;=$E$26,$E$26&gt;0),$C$16*(1+$C$22)*(1+$C$23)*(1+$C$24)*(1+$C$25)*(1+$C$26),IF(AND($D$25&gt;0,Q41&gt;=$E$25,$E$25&gt;0),$C$16*(1+$C$22)*(1+$C$23)*(1+$C$24)*(1+$C$25),IF(AND($D$24&gt;0,Q41&gt;=$E$24,$E$24&gt;0),$C$16*(1+$C$22)*(1+$C$23)*(1+$C$24),IF(AND($D$23&gt;0,Q41&gt;=$E$23,$E$23&gt;0),$C$16*(1+$C$22)*(1+$C$23),IF(AND($D$22&gt;0,Q41&gt;=$E$22,$E$22),$C$16*(1+$C$22),$C$16)))))))+Q62</f>
        <v>14888.888888888887</v>
      </c>
      <c r="R44" s="121">
        <f>IF(AND($D$28&gt;0,R41&gt;=$E$28,$E$28&gt;0),$C$16*(1+$C$22)*(1+$C$23)*(1+$C$24)*(1+$C$25)*(1+$C$26)*(1+$C$27)*(1+$C$28),IF(AND($D$27&gt;0,R41&gt;=$E$27,$E$27&gt;0),$C$16*(1+$C$22)*(1+$C$23)*(1+$C$24)*(1+$C$25)*(1+$C$26)*(1+$C$27),IF(AND($D$26&gt;0,R41&gt;=$E$26,$E$26&gt;0),$C$16*(1+$C$22)*(1+$C$23)*(1+$C$24)*(1+$C$25)*(1+$C$26),IF(AND($D$25&gt;0,R41&gt;=$E$25,$E$25&gt;0),$C$16*(1+$C$22)*(1+$C$23)*(1+$C$24)*(1+$C$25),IF(AND($D$24&gt;0,R41&gt;=$E$24,$E$24&gt;0),$C$16*(1+$C$22)*(1+$C$23)*(1+$C$24),IF(AND($D$23&gt;0,R41&gt;=$E$23,$E$23&gt;0),$C$16*(1+$C$22)*(1+$C$23),IF(AND($D$22&gt;0,R41&gt;=$E$22,$E$22),$C$16*(1+$C$22),$C$16)))))))+R62</f>
        <v>14888.888888888887</v>
      </c>
      <c r="S44" s="121">
        <f>IF(AND($D$28&gt;0,S41&gt;=$E$28,$E$28&gt;0),$C$16*(1+$C$22)*(1+$C$23)*(1+$C$24)*(1+$C$25)*(1+$C$26)*(1+$C$27)*(1+$C$28),IF(AND($D$27&gt;0,S41&gt;=$E$27,$E$27&gt;0),$C$16*(1+$C$22)*(1+$C$23)*(1+$C$24)*(1+$C$25)*(1+$C$26)*(1+$C$27),IF(AND($D$26&gt;0,S41&gt;=$E$26,$E$26&gt;0),$C$16*(1+$C$22)*(1+$C$23)*(1+$C$24)*(1+$C$25)*(1+$C$26),IF(AND($D$25&gt;0,S41&gt;=$E$25,$E$25&gt;0),$C$16*(1+$C$22)*(1+$C$23)*(1+$C$24)*(1+$C$25),IF(AND($D$24&gt;0,S41&gt;=$E$24,$E$24&gt;0),$C$16*(1+$C$22)*(1+$C$23)*(1+$C$24),IF(AND($D$23&gt;0,S41&gt;=$E$23,$E$23&gt;0),$C$16*(1+$C$22)*(1+$C$23),IF(AND($D$22&gt;0,S41&gt;=$E$22,$E$22),$C$16*(1+$C$22),$C$16)))))))+S62</f>
        <v>14888.888888888887</v>
      </c>
      <c r="T44" s="121">
        <f>IF(AND($D$28&gt;0,T41&gt;=$E$28,$E$28&gt;0),$C$16*(1+$C$22)*(1+$C$23)*(1+$C$24)*(1+$C$25)*(1+$C$26)*(1+$C$27)*(1+$C$28),IF(AND($D$27&gt;0,T41&gt;=$E$27,$E$27&gt;0),$C$16*(1+$C$22)*(1+$C$23)*(1+$C$24)*(1+$C$25)*(1+$C$26)*(1+$C$27),IF(AND($D$26&gt;0,T41&gt;=$E$26,$E$26&gt;0),$C$16*(1+$C$22)*(1+$C$23)*(1+$C$24)*(1+$C$25)*(1+$C$26),IF(AND($D$25&gt;0,T41&gt;=$E$25,$E$25&gt;0),$C$16*(1+$C$22)*(1+$C$23)*(1+$C$24)*(1+$C$25),IF(AND($D$24&gt;0,T41&gt;=$E$24,$E$24&gt;0),$C$16*(1+$C$22)*(1+$C$23)*(1+$C$24),IF(AND($D$23&gt;0,T41&gt;=$E$23,$E$23&gt;0),$C$16*(1+$C$22)*(1+$C$23),IF(AND($D$22&gt;0,T41&gt;=$E$22,$E$22),$C$16*(1+$C$22),$C$16)))))))+T62</f>
        <v>14888.888888888887</v>
      </c>
      <c r="U44" s="121">
        <f>IF(AND($D$28&gt;0,U41&gt;=$E$28,$E$28&gt;0),$C$16*(1+$C$22)*(1+$C$23)*(1+$C$24)*(1+$C$25)*(1+$C$26)*(1+$C$27)*(1+$C$28),IF(AND($D$27&gt;0,U41&gt;=$E$27,$E$27&gt;0),$C$16*(1+$C$22)*(1+$C$23)*(1+$C$24)*(1+$C$25)*(1+$C$26)*(1+$C$27),IF(AND($D$26&gt;0,U41&gt;=$E$26,$E$26&gt;0),$C$16*(1+$C$22)*(1+$C$23)*(1+$C$24)*(1+$C$25)*(1+$C$26),IF(AND($D$25&gt;0,U41&gt;=$E$25,$E$25&gt;0),$C$16*(1+$C$22)*(1+$C$23)*(1+$C$24)*(1+$C$25),IF(AND($D$24&gt;0,U41&gt;=$E$24,$E$24&gt;0),$C$16*(1+$C$22)*(1+$C$23)*(1+$C$24),IF(AND($D$23&gt;0,U41&gt;=$E$23,$E$23&gt;0),$C$16*(1+$C$22)*(1+$C$23),IF(AND($D$22&gt;0,U41&gt;=$E$22,$E$22),$C$16*(1+$C$22),$C$16)))))))+U62</f>
        <v>14888.888888888887</v>
      </c>
      <c r="V44" s="121">
        <f>IF(AND($D$28&gt;0,V41&gt;=$E$28,$E$28&gt;0),$C$16*(1+$C$22)*(1+$C$23)*(1+$C$24)*(1+$C$25)*(1+$C$26)*(1+$C$27)*(1+$C$28),IF(AND($D$27&gt;0,V41&gt;=$E$27,$E$27&gt;0),$C$16*(1+$C$22)*(1+$C$23)*(1+$C$24)*(1+$C$25)*(1+$C$26)*(1+$C$27),IF(AND($D$26&gt;0,V41&gt;=$E$26,$E$26&gt;0),$C$16*(1+$C$22)*(1+$C$23)*(1+$C$24)*(1+$C$25)*(1+$C$26),IF(AND($D$25&gt;0,V41&gt;=$E$25,$E$25&gt;0),$C$16*(1+$C$22)*(1+$C$23)*(1+$C$24)*(1+$C$25),IF(AND($D$24&gt;0,V41&gt;=$E$24,$E$24&gt;0),$C$16*(1+$C$22)*(1+$C$23)*(1+$C$24),IF(AND($D$23&gt;0,V41&gt;=$E$23,$E$23&gt;0),$C$16*(1+$C$22)*(1+$C$23),IF(AND($D$22&gt;0,V41&gt;=$E$22,$E$22),$C$16*(1+$C$22),$C$16)))))))+V62</f>
        <v>14888.888888888887</v>
      </c>
      <c r="W44" s="121">
        <f>IF(AND($D$28&gt;0,W41&gt;=$E$28,$E$28&gt;0),$C$16*(1+$C$22)*(1+$C$23)*(1+$C$24)*(1+$C$25)*(1+$C$26)*(1+$C$27)*(1+$C$28),IF(AND($D$27&gt;0,W41&gt;=$E$27,$E$27&gt;0),$C$16*(1+$C$22)*(1+$C$23)*(1+$C$24)*(1+$C$25)*(1+$C$26)*(1+$C$27),IF(AND($D$26&gt;0,W41&gt;=$E$26,$E$26&gt;0),$C$16*(1+$C$22)*(1+$C$23)*(1+$C$24)*(1+$C$25)*(1+$C$26),IF(AND($D$25&gt;0,W41&gt;=$E$25,$E$25&gt;0),$C$16*(1+$C$22)*(1+$C$23)*(1+$C$24)*(1+$C$25),IF(AND($D$24&gt;0,W41&gt;=$E$24,$E$24&gt;0),$C$16*(1+$C$22)*(1+$C$23)*(1+$C$24),IF(AND($D$23&gt;0,W41&gt;=$E$23,$E$23&gt;0),$C$16*(1+$C$22)*(1+$C$23),IF(AND($D$22&gt;0,W41&gt;=$E$22,$E$22),$C$16*(1+$C$22),$C$16)))))))+W62</f>
        <v>14888.888888888887</v>
      </c>
      <c r="X44" s="121">
        <f>IF(AND($D$28&gt;0,X41&gt;=$E$28,$E$28&gt;0),$C$16*(1+$C$22)*(1+$C$23)*(1+$C$24)*(1+$C$25)*(1+$C$26)*(1+$C$27)*(1+$C$28),IF(AND($D$27&gt;0,X41&gt;=$E$27,$E$27&gt;0),$C$16*(1+$C$22)*(1+$C$23)*(1+$C$24)*(1+$C$25)*(1+$C$26)*(1+$C$27),IF(AND($D$26&gt;0,X41&gt;=$E$26,$E$26&gt;0),$C$16*(1+$C$22)*(1+$C$23)*(1+$C$24)*(1+$C$25)*(1+$C$26),IF(AND($D$25&gt;0,X41&gt;=$E$25,$E$25&gt;0),$C$16*(1+$C$22)*(1+$C$23)*(1+$C$24)*(1+$C$25),IF(AND($D$24&gt;0,X41&gt;=$E$24,$E$24&gt;0),$C$16*(1+$C$22)*(1+$C$23)*(1+$C$24),IF(AND($D$23&gt;0,X41&gt;=$E$23,$E$23&gt;0),$C$16*(1+$C$22)*(1+$C$23),IF(AND($D$22&gt;0,X41&gt;=$E$22,$E$22),$C$16*(1+$C$22),$C$16)))))))+X62</f>
        <v>14888.888888888887</v>
      </c>
      <c r="Y44" s="121">
        <f>IF(AND($D$28&gt;0,Y41&gt;=$E$28,$E$28&gt;0),$C$16*(1+$C$22)*(1+$C$23)*(1+$C$24)*(1+$C$25)*(1+$C$26)*(1+$C$27)*(1+$C$28),IF(AND($D$27&gt;0,Y41&gt;=$E$27,$E$27&gt;0),$C$16*(1+$C$22)*(1+$C$23)*(1+$C$24)*(1+$C$25)*(1+$C$26)*(1+$C$27),IF(AND($D$26&gt;0,Y41&gt;=$E$26,$E$26&gt;0),$C$16*(1+$C$22)*(1+$C$23)*(1+$C$24)*(1+$C$25)*(1+$C$26),IF(AND($D$25&gt;0,Y41&gt;=$E$25,$E$25&gt;0),$C$16*(1+$C$22)*(1+$C$23)*(1+$C$24)*(1+$C$25),IF(AND($D$24&gt;0,Y41&gt;=$E$24,$E$24&gt;0),$C$16*(1+$C$22)*(1+$C$23)*(1+$C$24),IF(AND($D$23&gt;0,Y41&gt;=$E$23,$E$23&gt;0),$C$16*(1+$C$22)*(1+$C$23),IF(AND($D$22&gt;0,Y41&gt;=$E$22,$E$22),$C$16*(1+$C$22),$C$16)))))))+Y62</f>
        <v>14888.888888888887</v>
      </c>
      <c r="Z44" s="121">
        <f>IF(AND($D$28&gt;0,Z41&gt;=$E$28,$E$28&gt;0),$C$16*(1+$C$22)*(1+$C$23)*(1+$C$24)*(1+$C$25)*(1+$C$26)*(1+$C$27)*(1+$C$28),IF(AND($D$27&gt;0,Z41&gt;=$E$27,$E$27&gt;0),$C$16*(1+$C$22)*(1+$C$23)*(1+$C$24)*(1+$C$25)*(1+$C$26)*(1+$C$27),IF(AND($D$26&gt;0,Z41&gt;=$E$26,$E$26&gt;0),$C$16*(1+$C$22)*(1+$C$23)*(1+$C$24)*(1+$C$25)*(1+$C$26),IF(AND($D$25&gt;0,Z41&gt;=$E$25,$E$25&gt;0),$C$16*(1+$C$22)*(1+$C$23)*(1+$C$24)*(1+$C$25),IF(AND($D$24&gt;0,Z41&gt;=$E$24,$E$24&gt;0),$C$16*(1+$C$22)*(1+$C$23)*(1+$C$24),IF(AND($D$23&gt;0,Z41&gt;=$E$23,$E$23&gt;0),$C$16*(1+$C$22)*(1+$C$23),IF(AND($D$22&gt;0,Z41&gt;=$E$22,$E$22),$C$16*(1+$C$22),$C$16)))))))+Z62</f>
        <v>14888.888888888887</v>
      </c>
      <c r="AA44" s="121">
        <f>IF(AND($D$28&gt;0,AA41&gt;=$E$28,$E$28&gt;0),$C$16*(1+$C$22)*(1+$C$23)*(1+$C$24)*(1+$C$25)*(1+$C$26)*(1+$C$27)*(1+$C$28),IF(AND($D$27&gt;0,AA41&gt;=$E$27,$E$27&gt;0),$C$16*(1+$C$22)*(1+$C$23)*(1+$C$24)*(1+$C$25)*(1+$C$26)*(1+$C$27),IF(AND($D$26&gt;0,AA41&gt;=$E$26,$E$26&gt;0),$C$16*(1+$C$22)*(1+$C$23)*(1+$C$24)*(1+$C$25)*(1+$C$26),IF(AND($D$25&gt;0,AA41&gt;=$E$25,$E$25&gt;0),$C$16*(1+$C$22)*(1+$C$23)*(1+$C$24)*(1+$C$25),IF(AND($D$24&gt;0,AA41&gt;=$E$24,$E$24&gt;0),$C$16*(1+$C$22)*(1+$C$23)*(1+$C$24),IF(AND($D$23&gt;0,AA41&gt;=$E$23,$E$23&gt;0),$C$16*(1+$C$22)*(1+$C$23),IF(AND($D$22&gt;0,AA41&gt;=$E$22,$E$22),$C$16*(1+$C$22),$C$16)))))))+AA62</f>
        <v>14888.888888888887</v>
      </c>
      <c r="AB44" s="121">
        <f>IF(AND($D$28&gt;0,AB41&gt;=$E$28,$E$28&gt;0),$C$16*(1+$C$22)*(1+$C$23)*(1+$C$24)*(1+$C$25)*(1+$C$26)*(1+$C$27)*(1+$C$28),IF(AND($D$27&gt;0,AB41&gt;=$E$27,$E$27&gt;0),$C$16*(1+$C$22)*(1+$C$23)*(1+$C$24)*(1+$C$25)*(1+$C$26)*(1+$C$27),IF(AND($D$26&gt;0,AB41&gt;=$E$26,$E$26&gt;0),$C$16*(1+$C$22)*(1+$C$23)*(1+$C$24)*(1+$C$25)*(1+$C$26),IF(AND($D$25&gt;0,AB41&gt;=$E$25,$E$25&gt;0),$C$16*(1+$C$22)*(1+$C$23)*(1+$C$24)*(1+$C$25),IF(AND($D$24&gt;0,AB41&gt;=$E$24,$E$24&gt;0),$C$16*(1+$C$22)*(1+$C$23)*(1+$C$24),IF(AND($D$23&gt;0,AB41&gt;=$E$23,$E$23&gt;0),$C$16*(1+$C$22)*(1+$C$23),IF(AND($D$22&gt;0,AB41&gt;=$E$22,$E$22),$C$16*(1+$C$22),$C$16)))))))+AB62</f>
        <v>14888.888888888887</v>
      </c>
      <c r="AC44" s="121">
        <f>IF(AND($D$28&gt;0,AC41&gt;=$E$28,$E$28&gt;0),$C$16*(1+$C$22)*(1+$C$23)*(1+$C$24)*(1+$C$25)*(1+$C$26)*(1+$C$27)*(1+$C$28),IF(AND($D$27&gt;0,AC41&gt;=$E$27,$E$27&gt;0),$C$16*(1+$C$22)*(1+$C$23)*(1+$C$24)*(1+$C$25)*(1+$C$26)*(1+$C$27),IF(AND($D$26&gt;0,AC41&gt;=$E$26,$E$26&gt;0),$C$16*(1+$C$22)*(1+$C$23)*(1+$C$24)*(1+$C$25)*(1+$C$26),IF(AND($D$25&gt;0,AC41&gt;=$E$25,$E$25&gt;0),$C$16*(1+$C$22)*(1+$C$23)*(1+$C$24)*(1+$C$25),IF(AND($D$24&gt;0,AC41&gt;=$E$24,$E$24&gt;0),$C$16*(1+$C$22)*(1+$C$23)*(1+$C$24),IF(AND($D$23&gt;0,AC41&gt;=$E$23,$E$23&gt;0),$C$16*(1+$C$22)*(1+$C$23),IF(AND($D$22&gt;0,AC41&gt;=$E$22,$E$22),$C$16*(1+$C$22),$C$16)))))))+AC62</f>
        <v>14888.888888888887</v>
      </c>
      <c r="AD44" s="121">
        <f>IF(AND($D$28&gt;0,AD41&gt;=$E$28,$E$28&gt;0),$C$16*(1+$C$22)*(1+$C$23)*(1+$C$24)*(1+$C$25)*(1+$C$26)*(1+$C$27)*(1+$C$28),IF(AND($D$27&gt;0,AD41&gt;=$E$27,$E$27&gt;0),$C$16*(1+$C$22)*(1+$C$23)*(1+$C$24)*(1+$C$25)*(1+$C$26)*(1+$C$27),IF(AND($D$26&gt;0,AD41&gt;=$E$26,$E$26&gt;0),$C$16*(1+$C$22)*(1+$C$23)*(1+$C$24)*(1+$C$25)*(1+$C$26),IF(AND($D$25&gt;0,AD41&gt;=$E$25,$E$25&gt;0),$C$16*(1+$C$22)*(1+$C$23)*(1+$C$24)*(1+$C$25),IF(AND($D$24&gt;0,AD41&gt;=$E$24,$E$24&gt;0),$C$16*(1+$C$22)*(1+$C$23)*(1+$C$24),IF(AND($D$23&gt;0,AD41&gt;=$E$23,$E$23&gt;0),$C$16*(1+$C$22)*(1+$C$23),IF(AND($D$22&gt;0,AD41&gt;=$E$22,$E$22),$C$16*(1+$C$22),$C$16)))))))+AD62</f>
        <v>14888.888888888887</v>
      </c>
      <c r="AE44" s="121">
        <f>IF(AND($D$28&gt;0,AE41&gt;=$E$28,$E$28&gt;0),$C$16*(1+$C$22)*(1+$C$23)*(1+$C$24)*(1+$C$25)*(1+$C$26)*(1+$C$27)*(1+$C$28),IF(AND($D$27&gt;0,AE41&gt;=$E$27,$E$27&gt;0),$C$16*(1+$C$22)*(1+$C$23)*(1+$C$24)*(1+$C$25)*(1+$C$26)*(1+$C$27),IF(AND($D$26&gt;0,AE41&gt;=$E$26,$E$26&gt;0),$C$16*(1+$C$22)*(1+$C$23)*(1+$C$24)*(1+$C$25)*(1+$C$26),IF(AND($D$25&gt;0,AE41&gt;=$E$25,$E$25&gt;0),$C$16*(1+$C$22)*(1+$C$23)*(1+$C$24)*(1+$C$25),IF(AND($D$24&gt;0,AE41&gt;=$E$24,$E$24&gt;0),$C$16*(1+$C$22)*(1+$C$23)*(1+$C$24),IF(AND($D$23&gt;0,AE41&gt;=$E$23,$E$23&gt;0),$C$16*(1+$C$22)*(1+$C$23),IF(AND($D$22&gt;0,AE41&gt;=$E$22,$E$22),$C$16*(1+$C$22),$C$16)))))))+AE62</f>
        <v>14888.888888888887</v>
      </c>
      <c r="AF44" s="121">
        <f>IF(AND($D$28&gt;0,AF41&gt;=$E$28,$E$28&gt;0),$C$16*(1+$C$22)*(1+$C$23)*(1+$C$24)*(1+$C$25)*(1+$C$26)*(1+$C$27)*(1+$C$28),IF(AND($D$27&gt;0,AF41&gt;=$E$27,$E$27&gt;0),$C$16*(1+$C$22)*(1+$C$23)*(1+$C$24)*(1+$C$25)*(1+$C$26)*(1+$C$27),IF(AND($D$26&gt;0,AF41&gt;=$E$26,$E$26&gt;0),$C$16*(1+$C$22)*(1+$C$23)*(1+$C$24)*(1+$C$25)*(1+$C$26),IF(AND($D$25&gt;0,AF41&gt;=$E$25,$E$25&gt;0),$C$16*(1+$C$22)*(1+$C$23)*(1+$C$24)*(1+$C$25),IF(AND($D$24&gt;0,AF41&gt;=$E$24,$E$24&gt;0),$C$16*(1+$C$22)*(1+$C$23)*(1+$C$24),IF(AND($D$23&gt;0,AF41&gt;=$E$23,$E$23&gt;0),$C$16*(1+$C$22)*(1+$C$23),IF(AND($D$22&gt;0,AF41&gt;=$E$22,$E$22),$C$16*(1+$C$22),$C$16)))))))+AF62</f>
        <v>14888.888888888887</v>
      </c>
      <c r="AG44" s="121">
        <f>IF(AND($D$28&gt;0,AG41&gt;=$E$28,$E$28&gt;0),$C$16*(1+$C$22)*(1+$C$23)*(1+$C$24)*(1+$C$25)*(1+$C$26)*(1+$C$27)*(1+$C$28),IF(AND($D$27&gt;0,AG41&gt;=$E$27,$E$27&gt;0),$C$16*(1+$C$22)*(1+$C$23)*(1+$C$24)*(1+$C$25)*(1+$C$26)*(1+$C$27),IF(AND($D$26&gt;0,AG41&gt;=$E$26,$E$26&gt;0),$C$16*(1+$C$22)*(1+$C$23)*(1+$C$24)*(1+$C$25)*(1+$C$26),IF(AND($D$25&gt;0,AG41&gt;=$E$25,$E$25&gt;0),$C$16*(1+$C$22)*(1+$C$23)*(1+$C$24)*(1+$C$25),IF(AND($D$24&gt;0,AG41&gt;=$E$24,$E$24&gt;0),$C$16*(1+$C$22)*(1+$C$23)*(1+$C$24),IF(AND($D$23&gt;0,AG41&gt;=$E$23,$E$23&gt;0),$C$16*(1+$C$22)*(1+$C$23),IF(AND($D$22&gt;0,AG41&gt;=$E$22,$E$22),$C$16*(1+$C$22),$C$16)))))))+AG62</f>
        <v>14888.888888888887</v>
      </c>
      <c r="AH44" s="121">
        <f>IF(AND($D$28&gt;0,AH41&gt;=$E$28,$E$28&gt;0),$C$16*(1+$C$22)*(1+$C$23)*(1+$C$24)*(1+$C$25)*(1+$C$26)*(1+$C$27)*(1+$C$28),IF(AND($D$27&gt;0,AH41&gt;=$E$27,$E$27&gt;0),$C$16*(1+$C$22)*(1+$C$23)*(1+$C$24)*(1+$C$25)*(1+$C$26)*(1+$C$27),IF(AND($D$26&gt;0,AH41&gt;=$E$26,$E$26&gt;0),$C$16*(1+$C$22)*(1+$C$23)*(1+$C$24)*(1+$C$25)*(1+$C$26),IF(AND($D$25&gt;0,AH41&gt;=$E$25,$E$25&gt;0),$C$16*(1+$C$22)*(1+$C$23)*(1+$C$24)*(1+$C$25),IF(AND($D$24&gt;0,AH41&gt;=$E$24,$E$24&gt;0),$C$16*(1+$C$22)*(1+$C$23)*(1+$C$24),IF(AND($D$23&gt;0,AH41&gt;=$E$23,$E$23&gt;0),$C$16*(1+$C$22)*(1+$C$23),IF(AND($D$22&gt;0,AH41&gt;=$E$22,$E$22),$C$16*(1+$C$22),$C$16)))))))+AH62</f>
        <v>14888.888888888887</v>
      </c>
      <c r="AI44" s="121">
        <f>IF(AND($D$28&gt;0,AI41&gt;=$E$28,$E$28&gt;0),$C$16*(1+$C$22)*(1+$C$23)*(1+$C$24)*(1+$C$25)*(1+$C$26)*(1+$C$27)*(1+$C$28),IF(AND($D$27&gt;0,AI41&gt;=$E$27,$E$27&gt;0),$C$16*(1+$C$22)*(1+$C$23)*(1+$C$24)*(1+$C$25)*(1+$C$26)*(1+$C$27),IF(AND($D$26&gt;0,AI41&gt;=$E$26,$E$26&gt;0),$C$16*(1+$C$22)*(1+$C$23)*(1+$C$24)*(1+$C$25)*(1+$C$26),IF(AND($D$25&gt;0,AI41&gt;=$E$25,$E$25&gt;0),$C$16*(1+$C$22)*(1+$C$23)*(1+$C$24)*(1+$C$25),IF(AND($D$24&gt;0,AI41&gt;=$E$24,$E$24&gt;0),$C$16*(1+$C$22)*(1+$C$23)*(1+$C$24),IF(AND($D$23&gt;0,AI41&gt;=$E$23,$E$23&gt;0),$C$16*(1+$C$22)*(1+$C$23),IF(AND($D$22&gt;0,AI41&gt;=$E$22,$E$22),$C$16*(1+$C$22),$C$16)))))))+AI62</f>
        <v>14888.888888888887</v>
      </c>
      <c r="AJ44" s="121">
        <f>IF(AND($D$28&gt;0,AJ41&gt;=$E$28,$E$28&gt;0),$C$16*(1+$C$22)*(1+$C$23)*(1+$C$24)*(1+$C$25)*(1+$C$26)*(1+$C$27)*(1+$C$28),IF(AND($D$27&gt;0,AJ41&gt;=$E$27,$E$27&gt;0),$C$16*(1+$C$22)*(1+$C$23)*(1+$C$24)*(1+$C$25)*(1+$C$26)*(1+$C$27),IF(AND($D$26&gt;0,AJ41&gt;=$E$26,$E$26&gt;0),$C$16*(1+$C$22)*(1+$C$23)*(1+$C$24)*(1+$C$25)*(1+$C$26),IF(AND($D$25&gt;0,AJ41&gt;=$E$25,$E$25&gt;0),$C$16*(1+$C$22)*(1+$C$23)*(1+$C$24)*(1+$C$25),IF(AND($D$24&gt;0,AJ41&gt;=$E$24,$E$24&gt;0),$C$16*(1+$C$22)*(1+$C$23)*(1+$C$24),IF(AND($D$23&gt;0,AJ41&gt;=$E$23,$E$23&gt;0),$C$16*(1+$C$22)*(1+$C$23),IF(AND($D$22&gt;0,AJ41&gt;=$E$22,$E$22),$C$16*(1+$C$22),$C$16)))))))+AJ62</f>
        <v>14888.888888888887</v>
      </c>
      <c r="AK44" s="121">
        <f>IF(AND($D$28&gt;0,AK41&gt;=$E$28,$E$28&gt;0),$C$16*(1+$C$22)*(1+$C$23)*(1+$C$24)*(1+$C$25)*(1+$C$26)*(1+$C$27)*(1+$C$28),IF(AND($D$27&gt;0,AK41&gt;=$E$27,$E$27&gt;0),$C$16*(1+$C$22)*(1+$C$23)*(1+$C$24)*(1+$C$25)*(1+$C$26)*(1+$C$27),IF(AND($D$26&gt;0,AK41&gt;=$E$26,$E$26&gt;0),$C$16*(1+$C$22)*(1+$C$23)*(1+$C$24)*(1+$C$25)*(1+$C$26),IF(AND($D$25&gt;0,AK41&gt;=$E$25,$E$25&gt;0),$C$16*(1+$C$22)*(1+$C$23)*(1+$C$24)*(1+$C$25),IF(AND($D$24&gt;0,AK41&gt;=$E$24,$E$24&gt;0),$C$16*(1+$C$22)*(1+$C$23)*(1+$C$24),IF(AND($D$23&gt;0,AK41&gt;=$E$23,$E$23&gt;0),$C$16*(1+$C$22)*(1+$C$23),IF(AND($D$22&gt;0,AK41&gt;=$E$22,$E$22),$C$16*(1+$C$22),$C$16)))))))+AK62</f>
        <v>14888.888888888887</v>
      </c>
      <c r="AL44" s="121">
        <f>IF(AND($D$28&gt;0,AL41&gt;=$E$28,$E$28&gt;0),$C$16*(1+$C$22)*(1+$C$23)*(1+$C$24)*(1+$C$25)*(1+$C$26)*(1+$C$27)*(1+$C$28),IF(AND($D$27&gt;0,AL41&gt;=$E$27,$E$27&gt;0),$C$16*(1+$C$22)*(1+$C$23)*(1+$C$24)*(1+$C$25)*(1+$C$26)*(1+$C$27),IF(AND($D$26&gt;0,AL41&gt;=$E$26,$E$26&gt;0),$C$16*(1+$C$22)*(1+$C$23)*(1+$C$24)*(1+$C$25)*(1+$C$26),IF(AND($D$25&gt;0,AL41&gt;=$E$25,$E$25&gt;0),$C$16*(1+$C$22)*(1+$C$23)*(1+$C$24)*(1+$C$25),IF(AND($D$24&gt;0,AL41&gt;=$E$24,$E$24&gt;0),$C$16*(1+$C$22)*(1+$C$23)*(1+$C$24),IF(AND($D$23&gt;0,AL41&gt;=$E$23,$E$23&gt;0),$C$16*(1+$C$22)*(1+$C$23),IF(AND($D$22&gt;0,AL41&gt;=$E$22,$E$22),$C$16*(1+$C$22),$C$16)))))))+AL62</f>
        <v>14888.888888888887</v>
      </c>
      <c r="AM44" s="121">
        <f>IF(AND($D$28&gt;0,AM41&gt;=$E$28,$E$28&gt;0),$C$16*(1+$C$22)*(1+$C$23)*(1+$C$24)*(1+$C$25)*(1+$C$26)*(1+$C$27)*(1+$C$28),IF(AND($D$27&gt;0,AM41&gt;=$E$27,$E$27&gt;0),$C$16*(1+$C$22)*(1+$C$23)*(1+$C$24)*(1+$C$25)*(1+$C$26)*(1+$C$27),IF(AND($D$26&gt;0,AM41&gt;=$E$26,$E$26&gt;0),$C$16*(1+$C$22)*(1+$C$23)*(1+$C$24)*(1+$C$25)*(1+$C$26),IF(AND($D$25&gt;0,AM41&gt;=$E$25,$E$25&gt;0),$C$16*(1+$C$22)*(1+$C$23)*(1+$C$24)*(1+$C$25),IF(AND($D$24&gt;0,AM41&gt;=$E$24,$E$24&gt;0),$C$16*(1+$C$22)*(1+$C$23)*(1+$C$24),IF(AND($D$23&gt;0,AM41&gt;=$E$23,$E$23&gt;0),$C$16*(1+$C$22)*(1+$C$23),IF(AND($D$22&gt;0,AM41&gt;=$E$22,$E$22),$C$16*(1+$C$22),$C$16)))))))+AM62</f>
        <v>14888.888888888887</v>
      </c>
      <c r="AN44" s="121">
        <f>IF(AND($D$28&gt;0,AN41&gt;=$E$28,$E$28&gt;0),$C$16*(1+$C$22)*(1+$C$23)*(1+$C$24)*(1+$C$25)*(1+$C$26)*(1+$C$27)*(1+$C$28),IF(AND($D$27&gt;0,AN41&gt;=$E$27,$E$27&gt;0),$C$16*(1+$C$22)*(1+$C$23)*(1+$C$24)*(1+$C$25)*(1+$C$26)*(1+$C$27),IF(AND($D$26&gt;0,AN41&gt;=$E$26,$E$26&gt;0),$C$16*(1+$C$22)*(1+$C$23)*(1+$C$24)*(1+$C$25)*(1+$C$26),IF(AND($D$25&gt;0,AN41&gt;=$E$25,$E$25&gt;0),$C$16*(1+$C$22)*(1+$C$23)*(1+$C$24)*(1+$C$25),IF(AND($D$24&gt;0,AN41&gt;=$E$24,$E$24&gt;0),$C$16*(1+$C$22)*(1+$C$23)*(1+$C$24),IF(AND($D$23&gt;0,AN41&gt;=$E$23,$E$23&gt;0),$C$16*(1+$C$22)*(1+$C$23),IF(AND($D$22&gt;0,AN41&gt;=$E$22,$E$22),$C$16*(1+$C$22),$C$16)))))))+AN62</f>
        <v>14888.888888888887</v>
      </c>
      <c r="AO44" s="121">
        <f>IF(AND($D$28&gt;0,AO41&gt;=$E$28,$E$28&gt;0),$C$16*(1+$C$22)*(1+$C$23)*(1+$C$24)*(1+$C$25)*(1+$C$26)*(1+$C$27)*(1+$C$28),IF(AND($D$27&gt;0,AO41&gt;=$E$27,$E$27&gt;0),$C$16*(1+$C$22)*(1+$C$23)*(1+$C$24)*(1+$C$25)*(1+$C$26)*(1+$C$27),IF(AND($D$26&gt;0,AO41&gt;=$E$26,$E$26&gt;0),$C$16*(1+$C$22)*(1+$C$23)*(1+$C$24)*(1+$C$25)*(1+$C$26),IF(AND($D$25&gt;0,AO41&gt;=$E$25,$E$25&gt;0),$C$16*(1+$C$22)*(1+$C$23)*(1+$C$24)*(1+$C$25),IF(AND($D$24&gt;0,AO41&gt;=$E$24,$E$24&gt;0),$C$16*(1+$C$22)*(1+$C$23)*(1+$C$24),IF(AND($D$23&gt;0,AO41&gt;=$E$23,$E$23&gt;0),$C$16*(1+$C$22)*(1+$C$23),IF(AND($D$22&gt;0,AO41&gt;=$E$22,$E$22),$C$16*(1+$C$22),$C$16)))))))+AO62</f>
        <v>16677.777777777777</v>
      </c>
      <c r="AP44" s="121">
        <f>IF(AND($D$28&gt;0,AP41&gt;=$E$28,$E$28&gt;0),$C$16*(1+$C$22)*(1+$C$23)*(1+$C$24)*(1+$C$25)*(1+$C$26)*(1+$C$27)*(1+$C$28),IF(AND($D$27&gt;0,AP41&gt;=$E$27,$E$27&gt;0),$C$16*(1+$C$22)*(1+$C$23)*(1+$C$24)*(1+$C$25)*(1+$C$26)*(1+$C$27),IF(AND($D$26&gt;0,AP41&gt;=$E$26,$E$26&gt;0),$C$16*(1+$C$22)*(1+$C$23)*(1+$C$24)*(1+$C$25)*(1+$C$26),IF(AND($D$25&gt;0,AP41&gt;=$E$25,$E$25&gt;0),$C$16*(1+$C$22)*(1+$C$23)*(1+$C$24)*(1+$C$25),IF(AND($D$24&gt;0,AP41&gt;=$E$24,$E$24&gt;0),$C$16*(1+$C$22)*(1+$C$23)*(1+$C$24),IF(AND($D$23&gt;0,AP41&gt;=$E$23,$E$23&gt;0),$C$16*(1+$C$22)*(1+$C$23),IF(AND($D$22&gt;0,AP41&gt;=$E$22,$E$22),$C$16*(1+$C$22),$C$16)))))))+AP62</f>
        <v>16677.777777777777</v>
      </c>
      <c r="AQ44" s="121">
        <f>IF(AND($D$28&gt;0,AQ41&gt;=$E$28,$E$28&gt;0),$C$16*(1+$C$22)*(1+$C$23)*(1+$C$24)*(1+$C$25)*(1+$C$26)*(1+$C$27)*(1+$C$28),IF(AND($D$27&gt;0,AQ41&gt;=$E$27,$E$27&gt;0),$C$16*(1+$C$22)*(1+$C$23)*(1+$C$24)*(1+$C$25)*(1+$C$26)*(1+$C$27),IF(AND($D$26&gt;0,AQ41&gt;=$E$26,$E$26&gt;0),$C$16*(1+$C$22)*(1+$C$23)*(1+$C$24)*(1+$C$25)*(1+$C$26),IF(AND($D$25&gt;0,AQ41&gt;=$E$25,$E$25&gt;0),$C$16*(1+$C$22)*(1+$C$23)*(1+$C$24)*(1+$C$25),IF(AND($D$24&gt;0,AQ41&gt;=$E$24,$E$24&gt;0),$C$16*(1+$C$22)*(1+$C$23)*(1+$C$24),IF(AND($D$23&gt;0,AQ41&gt;=$E$23,$E$23&gt;0),$C$16*(1+$C$22)*(1+$C$23),IF(AND($D$22&gt;0,AQ41&gt;=$E$22,$E$22),$C$16*(1+$C$22),$C$16)))))))+AQ62</f>
        <v>16677.777777777777</v>
      </c>
      <c r="AR44" s="121">
        <f>IF(AND($D$28&gt;0,AR41&gt;=$E$28,$E$28&gt;0),$C$16*(1+$C$22)*(1+$C$23)*(1+$C$24)*(1+$C$25)*(1+$C$26)*(1+$C$27)*(1+$C$28),IF(AND($D$27&gt;0,AR41&gt;=$E$27,$E$27&gt;0),$C$16*(1+$C$22)*(1+$C$23)*(1+$C$24)*(1+$C$25)*(1+$C$26)*(1+$C$27),IF(AND($D$26&gt;0,AR41&gt;=$E$26,$E$26&gt;0),$C$16*(1+$C$22)*(1+$C$23)*(1+$C$24)*(1+$C$25)*(1+$C$26),IF(AND($D$25&gt;0,AR41&gt;=$E$25,$E$25&gt;0),$C$16*(1+$C$22)*(1+$C$23)*(1+$C$24)*(1+$C$25),IF(AND($D$24&gt;0,AR41&gt;=$E$24,$E$24&gt;0),$C$16*(1+$C$22)*(1+$C$23)*(1+$C$24),IF(AND($D$23&gt;0,AR41&gt;=$E$23,$E$23&gt;0),$C$16*(1+$C$22)*(1+$C$23),IF(AND($D$22&gt;0,AR41&gt;=$E$22,$E$22),$C$16*(1+$C$22),$C$16)))))))+AR62</f>
        <v>16677.777777777777</v>
      </c>
      <c r="AS44" s="121">
        <f>IF(AND($D$28&gt;0,AS41&gt;=$E$28,$E$28&gt;0),$C$16*(1+$C$22)*(1+$C$23)*(1+$C$24)*(1+$C$25)*(1+$C$26)*(1+$C$27)*(1+$C$28),IF(AND($D$27&gt;0,AS41&gt;=$E$27,$E$27&gt;0),$C$16*(1+$C$22)*(1+$C$23)*(1+$C$24)*(1+$C$25)*(1+$C$26)*(1+$C$27),IF(AND($D$26&gt;0,AS41&gt;=$E$26,$E$26&gt;0),$C$16*(1+$C$22)*(1+$C$23)*(1+$C$24)*(1+$C$25)*(1+$C$26),IF(AND($D$25&gt;0,AS41&gt;=$E$25,$E$25&gt;0),$C$16*(1+$C$22)*(1+$C$23)*(1+$C$24)*(1+$C$25),IF(AND($D$24&gt;0,AS41&gt;=$E$24,$E$24&gt;0),$C$16*(1+$C$22)*(1+$C$23)*(1+$C$24),IF(AND($D$23&gt;0,AS41&gt;=$E$23,$E$23&gt;0),$C$16*(1+$C$22)*(1+$C$23),IF(AND($D$22&gt;0,AS41&gt;=$E$22,$E$22),$C$16*(1+$C$22),$C$16)))))))+AS62</f>
        <v>16677.777777777777</v>
      </c>
      <c r="AT44" s="121">
        <f>IF(AND($D$28&gt;0,AT41&gt;=$E$28,$E$28&gt;0),$C$16*(1+$C$22)*(1+$C$23)*(1+$C$24)*(1+$C$25)*(1+$C$26)*(1+$C$27)*(1+$C$28),IF(AND($D$27&gt;0,AT41&gt;=$E$27,$E$27&gt;0),$C$16*(1+$C$22)*(1+$C$23)*(1+$C$24)*(1+$C$25)*(1+$C$26)*(1+$C$27),IF(AND($D$26&gt;0,AT41&gt;=$E$26,$E$26&gt;0),$C$16*(1+$C$22)*(1+$C$23)*(1+$C$24)*(1+$C$25)*(1+$C$26),IF(AND($D$25&gt;0,AT41&gt;=$E$25,$E$25&gt;0),$C$16*(1+$C$22)*(1+$C$23)*(1+$C$24)*(1+$C$25),IF(AND($D$24&gt;0,AT41&gt;=$E$24,$E$24&gt;0),$C$16*(1+$C$22)*(1+$C$23)*(1+$C$24),IF(AND($D$23&gt;0,AT41&gt;=$E$23,$E$23&gt;0),$C$16*(1+$C$22)*(1+$C$23),IF(AND($D$22&gt;0,AT41&gt;=$E$22,$E$22),$C$16*(1+$C$22),$C$16)))))))+AT62</f>
        <v>16677.777777777777</v>
      </c>
      <c r="AU44" s="121">
        <f>IF(AND($D$28&gt;0,AU41&gt;=$E$28,$E$28&gt;0),$C$16*(1+$C$22)*(1+$C$23)*(1+$C$24)*(1+$C$25)*(1+$C$26)*(1+$C$27)*(1+$C$28),IF(AND($D$27&gt;0,AU41&gt;=$E$27,$E$27&gt;0),$C$16*(1+$C$22)*(1+$C$23)*(1+$C$24)*(1+$C$25)*(1+$C$26)*(1+$C$27),IF(AND($D$26&gt;0,AU41&gt;=$E$26,$E$26&gt;0),$C$16*(1+$C$22)*(1+$C$23)*(1+$C$24)*(1+$C$25)*(1+$C$26),IF(AND($D$25&gt;0,AU41&gt;=$E$25,$E$25&gt;0),$C$16*(1+$C$22)*(1+$C$23)*(1+$C$24)*(1+$C$25),IF(AND($D$24&gt;0,AU41&gt;=$E$24,$E$24&gt;0),$C$16*(1+$C$22)*(1+$C$23)*(1+$C$24),IF(AND($D$23&gt;0,AU41&gt;=$E$23,$E$23&gt;0),$C$16*(1+$C$22)*(1+$C$23),IF(AND($D$22&gt;0,AU41&gt;=$E$22,$E$22),$C$16*(1+$C$22),$C$16)))))))+AU62</f>
        <v>16677.777777777777</v>
      </c>
      <c r="AV44" s="121">
        <f>IF(AND($D$28&gt;0,AV41&gt;=$E$28,$E$28&gt;0),$C$16*(1+$C$22)*(1+$C$23)*(1+$C$24)*(1+$C$25)*(1+$C$26)*(1+$C$27)*(1+$C$28),IF(AND($D$27&gt;0,AV41&gt;=$E$27,$E$27&gt;0),$C$16*(1+$C$22)*(1+$C$23)*(1+$C$24)*(1+$C$25)*(1+$C$26)*(1+$C$27),IF(AND($D$26&gt;0,AV41&gt;=$E$26,$E$26&gt;0),$C$16*(1+$C$22)*(1+$C$23)*(1+$C$24)*(1+$C$25)*(1+$C$26),IF(AND($D$25&gt;0,AV41&gt;=$E$25,$E$25&gt;0),$C$16*(1+$C$22)*(1+$C$23)*(1+$C$24)*(1+$C$25),IF(AND($D$24&gt;0,AV41&gt;=$E$24,$E$24&gt;0),$C$16*(1+$C$22)*(1+$C$23)*(1+$C$24),IF(AND($D$23&gt;0,AV41&gt;=$E$23,$E$23&gt;0),$C$16*(1+$C$22)*(1+$C$23),IF(AND($D$22&gt;0,AV41&gt;=$E$22,$E$22),$C$16*(1+$C$22),$C$16)))))))+AV62</f>
        <v>16677.777777777777</v>
      </c>
      <c r="AW44" s="121">
        <f>IF(AND($D$28&gt;0,AW41&gt;=$E$28,$E$28&gt;0),$C$16*(1+$C$22)*(1+$C$23)*(1+$C$24)*(1+$C$25)*(1+$C$26)*(1+$C$27)*(1+$C$28),IF(AND($D$27&gt;0,AW41&gt;=$E$27,$E$27&gt;0),$C$16*(1+$C$22)*(1+$C$23)*(1+$C$24)*(1+$C$25)*(1+$C$26)*(1+$C$27),IF(AND($D$26&gt;0,AW41&gt;=$E$26,$E$26&gt;0),$C$16*(1+$C$22)*(1+$C$23)*(1+$C$24)*(1+$C$25)*(1+$C$26),IF(AND($D$25&gt;0,AW41&gt;=$E$25,$E$25&gt;0),$C$16*(1+$C$22)*(1+$C$23)*(1+$C$24)*(1+$C$25),IF(AND($D$24&gt;0,AW41&gt;=$E$24,$E$24&gt;0),$C$16*(1+$C$22)*(1+$C$23)*(1+$C$24),IF(AND($D$23&gt;0,AW41&gt;=$E$23,$E$23&gt;0),$C$16*(1+$C$22)*(1+$C$23),IF(AND($D$22&gt;0,AW41&gt;=$E$22,$E$22),$C$16*(1+$C$22),$C$16)))))))+AW62</f>
        <v>16677.777777777777</v>
      </c>
      <c r="AX44" s="121">
        <f>IF(AND($D$28&gt;0,AX41&gt;=$E$28,$E$28&gt;0),$C$16*(1+$C$22)*(1+$C$23)*(1+$C$24)*(1+$C$25)*(1+$C$26)*(1+$C$27)*(1+$C$28),IF(AND($D$27&gt;0,AX41&gt;=$E$27,$E$27&gt;0),$C$16*(1+$C$22)*(1+$C$23)*(1+$C$24)*(1+$C$25)*(1+$C$26)*(1+$C$27),IF(AND($D$26&gt;0,AX41&gt;=$E$26,$E$26&gt;0),$C$16*(1+$C$22)*(1+$C$23)*(1+$C$24)*(1+$C$25)*(1+$C$26),IF(AND($D$25&gt;0,AX41&gt;=$E$25,$E$25&gt;0),$C$16*(1+$C$22)*(1+$C$23)*(1+$C$24)*(1+$C$25),IF(AND($D$24&gt;0,AX41&gt;=$E$24,$E$24&gt;0),$C$16*(1+$C$22)*(1+$C$23)*(1+$C$24),IF(AND($D$23&gt;0,AX41&gt;=$E$23,$E$23&gt;0),$C$16*(1+$C$22)*(1+$C$23),IF(AND($D$22&gt;0,AX41&gt;=$E$22,$E$22),$C$16*(1+$C$22),$C$16)))))))+AX62</f>
        <v>16677.777777777777</v>
      </c>
      <c r="AY44" s="121">
        <f>IF(AND($D$28&gt;0,AY41&gt;=$E$28,$E$28&gt;0),$C$16*(1+$C$22)*(1+$C$23)*(1+$C$24)*(1+$C$25)*(1+$C$26)*(1+$C$27)*(1+$C$28),IF(AND($D$27&gt;0,AY41&gt;=$E$27,$E$27&gt;0),$C$16*(1+$C$22)*(1+$C$23)*(1+$C$24)*(1+$C$25)*(1+$C$26)*(1+$C$27),IF(AND($D$26&gt;0,AY41&gt;=$E$26,$E$26&gt;0),$C$16*(1+$C$22)*(1+$C$23)*(1+$C$24)*(1+$C$25)*(1+$C$26),IF(AND($D$25&gt;0,AY41&gt;=$E$25,$E$25&gt;0),$C$16*(1+$C$22)*(1+$C$23)*(1+$C$24)*(1+$C$25),IF(AND($D$24&gt;0,AY41&gt;=$E$24,$E$24&gt;0),$C$16*(1+$C$22)*(1+$C$23)*(1+$C$24),IF(AND($D$23&gt;0,AY41&gt;=$E$23,$E$23&gt;0),$C$16*(1+$C$22)*(1+$C$23),IF(AND($D$22&gt;0,AY41&gt;=$E$22,$E$22),$C$16*(1+$C$22),$C$16)))))))+AY62</f>
        <v>16677.777777777777</v>
      </c>
      <c r="AZ44" s="121">
        <f>IF(AND($D$28&gt;0,AZ41&gt;=$E$28,$E$28&gt;0),$C$16*(1+$C$22)*(1+$C$23)*(1+$C$24)*(1+$C$25)*(1+$C$26)*(1+$C$27)*(1+$C$28),IF(AND($D$27&gt;0,AZ41&gt;=$E$27,$E$27&gt;0),$C$16*(1+$C$22)*(1+$C$23)*(1+$C$24)*(1+$C$25)*(1+$C$26)*(1+$C$27),IF(AND($D$26&gt;0,AZ41&gt;=$E$26,$E$26&gt;0),$C$16*(1+$C$22)*(1+$C$23)*(1+$C$24)*(1+$C$25)*(1+$C$26),IF(AND($D$25&gt;0,AZ41&gt;=$E$25,$E$25&gt;0),$C$16*(1+$C$22)*(1+$C$23)*(1+$C$24)*(1+$C$25),IF(AND($D$24&gt;0,AZ41&gt;=$E$24,$E$24&gt;0),$C$16*(1+$C$22)*(1+$C$23)*(1+$C$24),IF(AND($D$23&gt;0,AZ41&gt;=$E$23,$E$23&gt;0),$C$16*(1+$C$22)*(1+$C$23),IF(AND($D$22&gt;0,AZ41&gt;=$E$22,$E$22),$C$16*(1+$C$22),$C$16)))))))+AZ62</f>
        <v>16677.777777777777</v>
      </c>
      <c r="BA44" s="121">
        <f>IF(AND($D$28&gt;0,BA41&gt;=$E$28,$E$28&gt;0),$C$16*(1+$C$22)*(1+$C$23)*(1+$C$24)*(1+$C$25)*(1+$C$26)*(1+$C$27)*(1+$C$28),IF(AND($D$27&gt;0,BA41&gt;=$E$27,$E$27&gt;0),$C$16*(1+$C$22)*(1+$C$23)*(1+$C$24)*(1+$C$25)*(1+$C$26)*(1+$C$27),IF(AND($D$26&gt;0,BA41&gt;=$E$26,$E$26&gt;0),$C$16*(1+$C$22)*(1+$C$23)*(1+$C$24)*(1+$C$25)*(1+$C$26),IF(AND($D$25&gt;0,BA41&gt;=$E$25,$E$25&gt;0),$C$16*(1+$C$22)*(1+$C$23)*(1+$C$24)*(1+$C$25),IF(AND($D$24&gt;0,BA41&gt;=$E$24,$E$24&gt;0),$C$16*(1+$C$22)*(1+$C$23)*(1+$C$24),IF(AND($D$23&gt;0,BA41&gt;=$E$23,$E$23&gt;0),$C$16*(1+$C$22)*(1+$C$23),IF(AND($D$22&gt;0,BA41&gt;=$E$22,$E$22),$C$16*(1+$C$22),$C$16)))))))+BA62</f>
        <v>16677.777777777777</v>
      </c>
      <c r="BB44" s="121">
        <f>IF(AND($D$28&gt;0,BB41&gt;=$E$28,$E$28&gt;0),$C$16*(1+$C$22)*(1+$C$23)*(1+$C$24)*(1+$C$25)*(1+$C$26)*(1+$C$27)*(1+$C$28),IF(AND($D$27&gt;0,BB41&gt;=$E$27,$E$27&gt;0),$C$16*(1+$C$22)*(1+$C$23)*(1+$C$24)*(1+$C$25)*(1+$C$26)*(1+$C$27),IF(AND($D$26&gt;0,BB41&gt;=$E$26,$E$26&gt;0),$C$16*(1+$C$22)*(1+$C$23)*(1+$C$24)*(1+$C$25)*(1+$C$26),IF(AND($D$25&gt;0,BB41&gt;=$E$25,$E$25&gt;0),$C$16*(1+$C$22)*(1+$C$23)*(1+$C$24)*(1+$C$25),IF(AND($D$24&gt;0,BB41&gt;=$E$24,$E$24&gt;0),$C$16*(1+$C$22)*(1+$C$23)*(1+$C$24),IF(AND($D$23&gt;0,BB41&gt;=$E$23,$E$23&gt;0),$C$16*(1+$C$22)*(1+$C$23),IF(AND($D$22&gt;0,BB41&gt;=$E$22,$E$22),$C$16*(1+$C$22),$C$16)))))))+BB62</f>
        <v>16677.777777777777</v>
      </c>
      <c r="BC44" s="121">
        <f>IF(AND($D$28&gt;0,BC41&gt;=$E$28,$E$28&gt;0),$C$16*(1+$C$22)*(1+$C$23)*(1+$C$24)*(1+$C$25)*(1+$C$26)*(1+$C$27)*(1+$C$28),IF(AND($D$27&gt;0,BC41&gt;=$E$27,$E$27&gt;0),$C$16*(1+$C$22)*(1+$C$23)*(1+$C$24)*(1+$C$25)*(1+$C$26)*(1+$C$27),IF(AND($D$26&gt;0,BC41&gt;=$E$26,$E$26&gt;0),$C$16*(1+$C$22)*(1+$C$23)*(1+$C$24)*(1+$C$25)*(1+$C$26),IF(AND($D$25&gt;0,BC41&gt;=$E$25,$E$25&gt;0),$C$16*(1+$C$22)*(1+$C$23)*(1+$C$24)*(1+$C$25),IF(AND($D$24&gt;0,BC41&gt;=$E$24,$E$24&gt;0),$C$16*(1+$C$22)*(1+$C$23)*(1+$C$24),IF(AND($D$23&gt;0,BC41&gt;=$E$23,$E$23&gt;0),$C$16*(1+$C$22)*(1+$C$23),IF(AND($D$22&gt;0,BC41&gt;=$E$22,$E$22),$C$16*(1+$C$22),$C$16)))))))+BC62</f>
        <v>16677.777777777777</v>
      </c>
      <c r="BD44" s="121">
        <f>IF(AND($D$28&gt;0,BD41&gt;=$E$28,$E$28&gt;0),$C$16*(1+$C$22)*(1+$C$23)*(1+$C$24)*(1+$C$25)*(1+$C$26)*(1+$C$27)*(1+$C$28),IF(AND($D$27&gt;0,BD41&gt;=$E$27,$E$27&gt;0),$C$16*(1+$C$22)*(1+$C$23)*(1+$C$24)*(1+$C$25)*(1+$C$26)*(1+$C$27),IF(AND($D$26&gt;0,BD41&gt;=$E$26,$E$26&gt;0),$C$16*(1+$C$22)*(1+$C$23)*(1+$C$24)*(1+$C$25)*(1+$C$26),IF(AND($D$25&gt;0,BD41&gt;=$E$25,$E$25&gt;0),$C$16*(1+$C$22)*(1+$C$23)*(1+$C$24)*(1+$C$25),IF(AND($D$24&gt;0,BD41&gt;=$E$24,$E$24&gt;0),$C$16*(1+$C$22)*(1+$C$23)*(1+$C$24),IF(AND($D$23&gt;0,BD41&gt;=$E$23,$E$23&gt;0),$C$16*(1+$C$22)*(1+$C$23),IF(AND($D$22&gt;0,BD41&gt;=$E$22,$E$22),$C$16*(1+$C$22),$C$16)))))))+BD62</f>
        <v>16677.777777777777</v>
      </c>
      <c r="BE44" s="121">
        <f>IF(AND($D$28&gt;0,BE41&gt;=$E$28,$E$28&gt;0),$C$16*(1+$C$22)*(1+$C$23)*(1+$C$24)*(1+$C$25)*(1+$C$26)*(1+$C$27)*(1+$C$28),IF(AND($D$27&gt;0,BE41&gt;=$E$27,$E$27&gt;0),$C$16*(1+$C$22)*(1+$C$23)*(1+$C$24)*(1+$C$25)*(1+$C$26)*(1+$C$27),IF(AND($D$26&gt;0,BE41&gt;=$E$26,$E$26&gt;0),$C$16*(1+$C$22)*(1+$C$23)*(1+$C$24)*(1+$C$25)*(1+$C$26),IF(AND($D$25&gt;0,BE41&gt;=$E$25,$E$25&gt;0),$C$16*(1+$C$22)*(1+$C$23)*(1+$C$24)*(1+$C$25),IF(AND($D$24&gt;0,BE41&gt;=$E$24,$E$24&gt;0),$C$16*(1+$C$22)*(1+$C$23)*(1+$C$24),IF(AND($D$23&gt;0,BE41&gt;=$E$23,$E$23&gt;0),$C$16*(1+$C$22)*(1+$C$23),IF(AND($D$22&gt;0,BE41&gt;=$E$22,$E$22),$C$16*(1+$C$22),$C$16)))))))+BE62</f>
        <v>16677.777777777777</v>
      </c>
      <c r="BF44" s="121">
        <f>IF(AND($D$28&gt;0,BF41&gt;=$E$28,$E$28&gt;0),$C$16*(1+$C$22)*(1+$C$23)*(1+$C$24)*(1+$C$25)*(1+$C$26)*(1+$C$27)*(1+$C$28),IF(AND($D$27&gt;0,BF41&gt;=$E$27,$E$27&gt;0),$C$16*(1+$C$22)*(1+$C$23)*(1+$C$24)*(1+$C$25)*(1+$C$26)*(1+$C$27),IF(AND($D$26&gt;0,BF41&gt;=$E$26,$E$26&gt;0),$C$16*(1+$C$22)*(1+$C$23)*(1+$C$24)*(1+$C$25)*(1+$C$26),IF(AND($D$25&gt;0,BF41&gt;=$E$25,$E$25&gt;0),$C$16*(1+$C$22)*(1+$C$23)*(1+$C$24)*(1+$C$25),IF(AND($D$24&gt;0,BF41&gt;=$E$24,$E$24&gt;0),$C$16*(1+$C$22)*(1+$C$23)*(1+$C$24),IF(AND($D$23&gt;0,BF41&gt;=$E$23,$E$23&gt;0),$C$16*(1+$C$22)*(1+$C$23),IF(AND($D$22&gt;0,BF41&gt;=$E$22,$E$22),$C$16*(1+$C$22),$C$16)))))))+BF62</f>
        <v>16677.777777777777</v>
      </c>
      <c r="BG44" s="121">
        <f>IF(AND($D$28&gt;0,BG41&gt;=$E$28,$E$28&gt;0),$C$16*(1+$C$22)*(1+$C$23)*(1+$C$24)*(1+$C$25)*(1+$C$26)*(1+$C$27)*(1+$C$28),IF(AND($D$27&gt;0,BG41&gt;=$E$27,$E$27&gt;0),$C$16*(1+$C$22)*(1+$C$23)*(1+$C$24)*(1+$C$25)*(1+$C$26)*(1+$C$27),IF(AND($D$26&gt;0,BG41&gt;=$E$26,$E$26&gt;0),$C$16*(1+$C$22)*(1+$C$23)*(1+$C$24)*(1+$C$25)*(1+$C$26),IF(AND($D$25&gt;0,BG41&gt;=$E$25,$E$25&gt;0),$C$16*(1+$C$22)*(1+$C$23)*(1+$C$24)*(1+$C$25),IF(AND($D$24&gt;0,BG41&gt;=$E$24,$E$24&gt;0),$C$16*(1+$C$22)*(1+$C$23)*(1+$C$24),IF(AND($D$23&gt;0,BG41&gt;=$E$23,$E$23&gt;0),$C$16*(1+$C$22)*(1+$C$23),IF(AND($D$22&gt;0,BG41&gt;=$E$22,$E$22),$C$16*(1+$C$22),$C$16)))))))+BG62</f>
        <v>16677.777777777777</v>
      </c>
      <c r="BH44" s="121">
        <f>IF(AND($D$28&gt;0,BH41&gt;=$E$28,$E$28&gt;0),$C$16*(1+$C$22)*(1+$C$23)*(1+$C$24)*(1+$C$25)*(1+$C$26)*(1+$C$27)*(1+$C$28),IF(AND($D$27&gt;0,BH41&gt;=$E$27,$E$27&gt;0),$C$16*(1+$C$22)*(1+$C$23)*(1+$C$24)*(1+$C$25)*(1+$C$26)*(1+$C$27),IF(AND($D$26&gt;0,BH41&gt;=$E$26,$E$26&gt;0),$C$16*(1+$C$22)*(1+$C$23)*(1+$C$24)*(1+$C$25)*(1+$C$26),IF(AND($D$25&gt;0,BH41&gt;=$E$25,$E$25&gt;0),$C$16*(1+$C$22)*(1+$C$23)*(1+$C$24)*(1+$C$25),IF(AND($D$24&gt;0,BH41&gt;=$E$24,$E$24&gt;0),$C$16*(1+$C$22)*(1+$C$23)*(1+$C$24),IF(AND($D$23&gt;0,BH41&gt;=$E$23,$E$23&gt;0),$C$16*(1+$C$22)*(1+$C$23),IF(AND($D$22&gt;0,BH41&gt;=$E$22,$E$22),$C$16*(1+$C$22),$C$16)))))))+BH62</f>
        <v>16677.777777777777</v>
      </c>
      <c r="BI44" s="121">
        <f>IF(AND($D$28&gt;0,BI41&gt;=$E$28,$E$28&gt;0),$C$16*(1+$C$22)*(1+$C$23)*(1+$C$24)*(1+$C$25)*(1+$C$26)*(1+$C$27)*(1+$C$28),IF(AND($D$27&gt;0,BI41&gt;=$E$27,$E$27&gt;0),$C$16*(1+$C$22)*(1+$C$23)*(1+$C$24)*(1+$C$25)*(1+$C$26)*(1+$C$27),IF(AND($D$26&gt;0,BI41&gt;=$E$26,$E$26&gt;0),$C$16*(1+$C$22)*(1+$C$23)*(1+$C$24)*(1+$C$25)*(1+$C$26),IF(AND($D$25&gt;0,BI41&gt;=$E$25,$E$25&gt;0),$C$16*(1+$C$22)*(1+$C$23)*(1+$C$24)*(1+$C$25),IF(AND($D$24&gt;0,BI41&gt;=$E$24,$E$24&gt;0),$C$16*(1+$C$22)*(1+$C$23)*(1+$C$24),IF(AND($D$23&gt;0,BI41&gt;=$E$23,$E$23&gt;0),$C$16*(1+$C$22)*(1+$C$23),IF(AND($D$22&gt;0,BI41&gt;=$E$22,$E$22),$C$16*(1+$C$22),$C$16)))))))+BI62</f>
        <v>16677.777777777777</v>
      </c>
      <c r="BJ44" s="121">
        <f>IF(AND($D$28&gt;0,BJ41&gt;=$E$28,$E$28&gt;0),$C$16*(1+$C$22)*(1+$C$23)*(1+$C$24)*(1+$C$25)*(1+$C$26)*(1+$C$27)*(1+$C$28),IF(AND($D$27&gt;0,BJ41&gt;=$E$27,$E$27&gt;0),$C$16*(1+$C$22)*(1+$C$23)*(1+$C$24)*(1+$C$25)*(1+$C$26)*(1+$C$27),IF(AND($D$26&gt;0,BJ41&gt;=$E$26,$E$26&gt;0),$C$16*(1+$C$22)*(1+$C$23)*(1+$C$24)*(1+$C$25)*(1+$C$26),IF(AND($D$25&gt;0,BJ41&gt;=$E$25,$E$25&gt;0),$C$16*(1+$C$22)*(1+$C$23)*(1+$C$24)*(1+$C$25),IF(AND($D$24&gt;0,BJ41&gt;=$E$24,$E$24&gt;0),$C$16*(1+$C$22)*(1+$C$23)*(1+$C$24),IF(AND($D$23&gt;0,BJ41&gt;=$E$23,$E$23&gt;0),$C$16*(1+$C$22)*(1+$C$23),IF(AND($D$22&gt;0,BJ41&gt;=$E$22,$E$22),$C$16*(1+$C$22),$C$16)))))))+BJ62</f>
        <v>16677.777777777777</v>
      </c>
      <c r="BK44" s="121">
        <f>IF(AND($D$28&gt;0,BK41&gt;=$E$28,$E$28&gt;0),$C$16*(1+$C$22)*(1+$C$23)*(1+$C$24)*(1+$C$25)*(1+$C$26)*(1+$C$27)*(1+$C$28),IF(AND($D$27&gt;0,BK41&gt;=$E$27,$E$27&gt;0),$C$16*(1+$C$22)*(1+$C$23)*(1+$C$24)*(1+$C$25)*(1+$C$26)*(1+$C$27),IF(AND($D$26&gt;0,BK41&gt;=$E$26,$E$26&gt;0),$C$16*(1+$C$22)*(1+$C$23)*(1+$C$24)*(1+$C$25)*(1+$C$26),IF(AND($D$25&gt;0,BK41&gt;=$E$25,$E$25&gt;0),$C$16*(1+$C$22)*(1+$C$23)*(1+$C$24)*(1+$C$25),IF(AND($D$24&gt;0,BK41&gt;=$E$24,$E$24&gt;0),$C$16*(1+$C$22)*(1+$C$23)*(1+$C$24),IF(AND($D$23&gt;0,BK41&gt;=$E$23,$E$23&gt;0),$C$16*(1+$C$22)*(1+$C$23),IF(AND($D$22&gt;0,BK41&gt;=$E$22,$E$22),$C$16*(1+$C$22),$C$16)))))))+BK62</f>
        <v>16677.777777777777</v>
      </c>
      <c r="BL44" s="121">
        <f>IF(AND($D$28&gt;0,BL41&gt;=$E$28,$E$28&gt;0),$C$16*(1+$C$22)*(1+$C$23)*(1+$C$24)*(1+$C$25)*(1+$C$26)*(1+$C$27)*(1+$C$28),IF(AND($D$27&gt;0,BL41&gt;=$E$27,$E$27&gt;0),$C$16*(1+$C$22)*(1+$C$23)*(1+$C$24)*(1+$C$25)*(1+$C$26)*(1+$C$27),IF(AND($D$26&gt;0,BL41&gt;=$E$26,$E$26&gt;0),$C$16*(1+$C$22)*(1+$C$23)*(1+$C$24)*(1+$C$25)*(1+$C$26),IF(AND($D$25&gt;0,BL41&gt;=$E$25,$E$25&gt;0),$C$16*(1+$C$22)*(1+$C$23)*(1+$C$24)*(1+$C$25),IF(AND($D$24&gt;0,BL41&gt;=$E$24,$E$24&gt;0),$C$16*(1+$C$22)*(1+$C$23)*(1+$C$24),IF(AND($D$23&gt;0,BL41&gt;=$E$23,$E$23&gt;0),$C$16*(1+$C$22)*(1+$C$23),IF(AND($D$22&gt;0,BL41&gt;=$E$22,$E$22),$C$16*(1+$C$22),$C$16)))))))+BL62</f>
        <v>16677.777777777777</v>
      </c>
      <c r="BM44" s="121">
        <f>IF(AND($D$28&gt;0,BM41&gt;=$E$28,$E$28&gt;0),$C$16*(1+$C$22)*(1+$C$23)*(1+$C$24)*(1+$C$25)*(1+$C$26)*(1+$C$27)*(1+$C$28),IF(AND($D$27&gt;0,BM41&gt;=$E$27,$E$27&gt;0),$C$16*(1+$C$22)*(1+$C$23)*(1+$C$24)*(1+$C$25)*(1+$C$26)*(1+$C$27),IF(AND($D$26&gt;0,BM41&gt;=$E$26,$E$26&gt;0),$C$16*(1+$C$22)*(1+$C$23)*(1+$C$24)*(1+$C$25)*(1+$C$26),IF(AND($D$25&gt;0,BM41&gt;=$E$25,$E$25&gt;0),$C$16*(1+$C$22)*(1+$C$23)*(1+$C$24)*(1+$C$25),IF(AND($D$24&gt;0,BM41&gt;=$E$24,$E$24&gt;0),$C$16*(1+$C$22)*(1+$C$23)*(1+$C$24),IF(AND($D$23&gt;0,BM41&gt;=$E$23,$E$23&gt;0),$C$16*(1+$C$22)*(1+$C$23),IF(AND($D$22&gt;0,BM41&gt;=$E$22,$E$22),$C$16*(1+$C$22),$C$16)))))))+BM62</f>
        <v>16677.777777777777</v>
      </c>
      <c r="BN44" s="121">
        <f>IF(AND($D$28&gt;0,BN41&gt;=$E$28,$E$28&gt;0),$C$16*(1+$C$22)*(1+$C$23)*(1+$C$24)*(1+$C$25)*(1+$C$26)*(1+$C$27)*(1+$C$28),IF(AND($D$27&gt;0,BN41&gt;=$E$27,$E$27&gt;0),$C$16*(1+$C$22)*(1+$C$23)*(1+$C$24)*(1+$C$25)*(1+$C$26)*(1+$C$27),IF(AND($D$26&gt;0,BN41&gt;=$E$26,$E$26&gt;0),$C$16*(1+$C$22)*(1+$C$23)*(1+$C$24)*(1+$C$25)*(1+$C$26),IF(AND($D$25&gt;0,BN41&gt;=$E$25,$E$25&gt;0),$C$16*(1+$C$22)*(1+$C$23)*(1+$C$24)*(1+$C$25),IF(AND($D$24&gt;0,BN41&gt;=$E$24,$E$24&gt;0),$C$16*(1+$C$22)*(1+$C$23)*(1+$C$24),IF(AND($D$23&gt;0,BN41&gt;=$E$23,$E$23&gt;0),$C$16*(1+$C$22)*(1+$C$23),IF(AND($D$22&gt;0,BN41&gt;=$E$22,$E$22),$C$16*(1+$C$22),$C$16)))))))+BN62</f>
        <v>16677.777777777777</v>
      </c>
      <c r="BO44" s="121">
        <f>IF(AND($D$28&gt;0,BO41&gt;=$E$28,$E$28&gt;0),$C$16*(1+$C$22)*(1+$C$23)*(1+$C$24)*(1+$C$25)*(1+$C$26)*(1+$C$27)*(1+$C$28),IF(AND($D$27&gt;0,BO41&gt;=$E$27,$E$27&gt;0),$C$16*(1+$C$22)*(1+$C$23)*(1+$C$24)*(1+$C$25)*(1+$C$26)*(1+$C$27),IF(AND($D$26&gt;0,BO41&gt;=$E$26,$E$26&gt;0),$C$16*(1+$C$22)*(1+$C$23)*(1+$C$24)*(1+$C$25)*(1+$C$26),IF(AND($D$25&gt;0,BO41&gt;=$E$25,$E$25&gt;0),$C$16*(1+$C$22)*(1+$C$23)*(1+$C$24)*(1+$C$25),IF(AND($D$24&gt;0,BO41&gt;=$E$24,$E$24&gt;0),$C$16*(1+$C$22)*(1+$C$23)*(1+$C$24),IF(AND($D$23&gt;0,BO41&gt;=$E$23,$E$23&gt;0),$C$16*(1+$C$22)*(1+$C$23),IF(AND($D$22&gt;0,BO41&gt;=$E$22,$E$22),$C$16*(1+$C$22),$C$16)))))))+BO62</f>
        <v>16677.777777777777</v>
      </c>
      <c r="BP44" s="121">
        <f>IF(AND($D$28&gt;0,BP41&gt;=$E$28,$E$28&gt;0),$C$16*(1+$C$22)*(1+$C$23)*(1+$C$24)*(1+$C$25)*(1+$C$26)*(1+$C$27)*(1+$C$28),IF(AND($D$27&gt;0,BP41&gt;=$E$27,$E$27&gt;0),$C$16*(1+$C$22)*(1+$C$23)*(1+$C$24)*(1+$C$25)*(1+$C$26)*(1+$C$27),IF(AND($D$26&gt;0,BP41&gt;=$E$26,$E$26&gt;0),$C$16*(1+$C$22)*(1+$C$23)*(1+$C$24)*(1+$C$25)*(1+$C$26),IF(AND($D$25&gt;0,BP41&gt;=$E$25,$E$25&gt;0),$C$16*(1+$C$22)*(1+$C$23)*(1+$C$24)*(1+$C$25),IF(AND($D$24&gt;0,BP41&gt;=$E$24,$E$24&gt;0),$C$16*(1+$C$22)*(1+$C$23)*(1+$C$24),IF(AND($D$23&gt;0,BP41&gt;=$E$23,$E$23&gt;0),$C$16*(1+$C$22)*(1+$C$23),IF(AND($D$22&gt;0,BP41&gt;=$E$22,$E$22),$C$16*(1+$C$22),$C$16)))))))+BP62</f>
        <v>16677.777777777777</v>
      </c>
      <c r="BQ44" s="121">
        <f>IF(AND($D$28&gt;0,BQ41&gt;=$E$28,$E$28&gt;0),$C$16*(1+$C$22)*(1+$C$23)*(1+$C$24)*(1+$C$25)*(1+$C$26)*(1+$C$27)*(1+$C$28),IF(AND($D$27&gt;0,BQ41&gt;=$E$27,$E$27&gt;0),$C$16*(1+$C$22)*(1+$C$23)*(1+$C$24)*(1+$C$25)*(1+$C$26)*(1+$C$27),IF(AND($D$26&gt;0,BQ41&gt;=$E$26,$E$26&gt;0),$C$16*(1+$C$22)*(1+$C$23)*(1+$C$24)*(1+$C$25)*(1+$C$26),IF(AND($D$25&gt;0,BQ41&gt;=$E$25,$E$25&gt;0),$C$16*(1+$C$22)*(1+$C$23)*(1+$C$24)*(1+$C$25),IF(AND($D$24&gt;0,BQ41&gt;=$E$24,$E$24&gt;0),$C$16*(1+$C$22)*(1+$C$23)*(1+$C$24),IF(AND($D$23&gt;0,BQ41&gt;=$E$23,$E$23&gt;0),$C$16*(1+$C$22)*(1+$C$23),IF(AND($D$22&gt;0,BQ41&gt;=$E$22,$E$22),$C$16*(1+$C$22),$C$16)))))))+BQ62</f>
        <v>16677.777777777777</v>
      </c>
      <c r="BR44" s="121">
        <f>IF(AND($D$28&gt;0,BR41&gt;=$E$28,$E$28&gt;0),$C$16*(1+$C$22)*(1+$C$23)*(1+$C$24)*(1+$C$25)*(1+$C$26)*(1+$C$27)*(1+$C$28),IF(AND($D$27&gt;0,BR41&gt;=$E$27,$E$27&gt;0),$C$16*(1+$C$22)*(1+$C$23)*(1+$C$24)*(1+$C$25)*(1+$C$26)*(1+$C$27),IF(AND($D$26&gt;0,BR41&gt;=$E$26,$E$26&gt;0),$C$16*(1+$C$22)*(1+$C$23)*(1+$C$24)*(1+$C$25)*(1+$C$26),IF(AND($D$25&gt;0,BR41&gt;=$E$25,$E$25&gt;0),$C$16*(1+$C$22)*(1+$C$23)*(1+$C$24)*(1+$C$25),IF(AND($D$24&gt;0,BR41&gt;=$E$24,$E$24&gt;0),$C$16*(1+$C$22)*(1+$C$23)*(1+$C$24),IF(AND($D$23&gt;0,BR41&gt;=$E$23,$E$23&gt;0),$C$16*(1+$C$22)*(1+$C$23),IF(AND($D$22&gt;0,BR41&gt;=$E$22,$E$22),$C$16*(1+$C$22),$C$16)))))))+BR62</f>
        <v>16677.777777777777</v>
      </c>
      <c r="BS44" s="121">
        <f>IF(AND($D$28&gt;0,BS41&gt;=$E$28,$E$28&gt;0),$C$16*(1+$C$22)*(1+$C$23)*(1+$C$24)*(1+$C$25)*(1+$C$26)*(1+$C$27)*(1+$C$28),IF(AND($D$27&gt;0,BS41&gt;=$E$27,$E$27&gt;0),$C$16*(1+$C$22)*(1+$C$23)*(1+$C$24)*(1+$C$25)*(1+$C$26)*(1+$C$27),IF(AND($D$26&gt;0,BS41&gt;=$E$26,$E$26&gt;0),$C$16*(1+$C$22)*(1+$C$23)*(1+$C$24)*(1+$C$25)*(1+$C$26),IF(AND($D$25&gt;0,BS41&gt;=$E$25,$E$25&gt;0),$C$16*(1+$C$22)*(1+$C$23)*(1+$C$24)*(1+$C$25),IF(AND($D$24&gt;0,BS41&gt;=$E$24,$E$24&gt;0),$C$16*(1+$C$22)*(1+$C$23)*(1+$C$24),IF(AND($D$23&gt;0,BS41&gt;=$E$23,$E$23&gt;0),$C$16*(1+$C$22)*(1+$C$23),IF(AND($D$22&gt;0,BS41&gt;=$E$22,$E$22),$C$16*(1+$C$22),$C$16)))))))+BS62</f>
        <v>16677.777777777777</v>
      </c>
      <c r="BT44" s="121">
        <f>IF(AND($D$28&gt;0,BT41&gt;=$E$28,$E$28&gt;0),$C$16*(1+$C$22)*(1+$C$23)*(1+$C$24)*(1+$C$25)*(1+$C$26)*(1+$C$27)*(1+$C$28),IF(AND($D$27&gt;0,BT41&gt;=$E$27,$E$27&gt;0),$C$16*(1+$C$22)*(1+$C$23)*(1+$C$24)*(1+$C$25)*(1+$C$26)*(1+$C$27),IF(AND($D$26&gt;0,BT41&gt;=$E$26,$E$26&gt;0),$C$16*(1+$C$22)*(1+$C$23)*(1+$C$24)*(1+$C$25)*(1+$C$26),IF(AND($D$25&gt;0,BT41&gt;=$E$25,$E$25&gt;0),$C$16*(1+$C$22)*(1+$C$23)*(1+$C$24)*(1+$C$25),IF(AND($D$24&gt;0,BT41&gt;=$E$24,$E$24&gt;0),$C$16*(1+$C$22)*(1+$C$23)*(1+$C$24),IF(AND($D$23&gt;0,BT41&gt;=$E$23,$E$23&gt;0),$C$16*(1+$C$22)*(1+$C$23),IF(AND($D$22&gt;0,BT41&gt;=$E$22,$E$22),$C$16*(1+$C$22),$C$16)))))))+BT62</f>
        <v>16677.777777777777</v>
      </c>
      <c r="BU44" s="121">
        <f>IF(AND($D$28&gt;0,BU41&gt;=$E$28,$E$28&gt;0),$C$16*(1+$C$22)*(1+$C$23)*(1+$C$24)*(1+$C$25)*(1+$C$26)*(1+$C$27)*(1+$C$28),IF(AND($D$27&gt;0,BU41&gt;=$E$27,$E$27&gt;0),$C$16*(1+$C$22)*(1+$C$23)*(1+$C$24)*(1+$C$25)*(1+$C$26)*(1+$C$27),IF(AND($D$26&gt;0,BU41&gt;=$E$26,$E$26&gt;0),$C$16*(1+$C$22)*(1+$C$23)*(1+$C$24)*(1+$C$25)*(1+$C$26),IF(AND($D$25&gt;0,BU41&gt;=$E$25,$E$25&gt;0),$C$16*(1+$C$22)*(1+$C$23)*(1+$C$24)*(1+$C$25),IF(AND($D$24&gt;0,BU41&gt;=$E$24,$E$24&gt;0),$C$16*(1+$C$22)*(1+$C$23)*(1+$C$24),IF(AND($D$23&gt;0,BU41&gt;=$E$23,$E$23&gt;0),$C$16*(1+$C$22)*(1+$C$23),IF(AND($D$22&gt;0,BU41&gt;=$E$22,$E$22),$C$16*(1+$C$22),$C$16)))))))+BU62</f>
        <v>16677.777777777777</v>
      </c>
      <c r="BV44" s="121">
        <f>IF(AND($D$28&gt;0,BV41&gt;=$E$28,$E$28&gt;0),$C$16*(1+$C$22)*(1+$C$23)*(1+$C$24)*(1+$C$25)*(1+$C$26)*(1+$C$27)*(1+$C$28),IF(AND($D$27&gt;0,BV41&gt;=$E$27,$E$27&gt;0),$C$16*(1+$C$22)*(1+$C$23)*(1+$C$24)*(1+$C$25)*(1+$C$26)*(1+$C$27),IF(AND($D$26&gt;0,BV41&gt;=$E$26,$E$26&gt;0),$C$16*(1+$C$22)*(1+$C$23)*(1+$C$24)*(1+$C$25)*(1+$C$26),IF(AND($D$25&gt;0,BV41&gt;=$E$25,$E$25&gt;0),$C$16*(1+$C$22)*(1+$C$23)*(1+$C$24)*(1+$C$25),IF(AND($D$24&gt;0,BV41&gt;=$E$24,$E$24&gt;0),$C$16*(1+$C$22)*(1+$C$23)*(1+$C$24),IF(AND($D$23&gt;0,BV41&gt;=$E$23,$E$23&gt;0),$C$16*(1+$C$22)*(1+$C$23),IF(AND($D$22&gt;0,BV41&gt;=$E$22,$E$22),$C$16*(1+$C$22),$C$16)))))))+BV62</f>
        <v>16677.777777777777</v>
      </c>
      <c r="BW44" s="121">
        <f>IF(AND($D$28&gt;0,BW41&gt;=$E$28,$E$28&gt;0),$C$16*(1+$C$22)*(1+$C$23)*(1+$C$24)*(1+$C$25)*(1+$C$26)*(1+$C$27)*(1+$C$28),IF(AND($D$27&gt;0,BW41&gt;=$E$27,$E$27&gt;0),$C$16*(1+$C$22)*(1+$C$23)*(1+$C$24)*(1+$C$25)*(1+$C$26)*(1+$C$27),IF(AND($D$26&gt;0,BW41&gt;=$E$26,$E$26&gt;0),$C$16*(1+$C$22)*(1+$C$23)*(1+$C$24)*(1+$C$25)*(1+$C$26),IF(AND($D$25&gt;0,BW41&gt;=$E$25,$E$25&gt;0),$C$16*(1+$C$22)*(1+$C$23)*(1+$C$24)*(1+$C$25),IF(AND($D$24&gt;0,BW41&gt;=$E$24,$E$24&gt;0),$C$16*(1+$C$22)*(1+$C$23)*(1+$C$24),IF(AND($D$23&gt;0,BW41&gt;=$E$23,$E$23&gt;0),$C$16*(1+$C$22)*(1+$C$23),IF(AND($D$22&gt;0,BW41&gt;=$E$22,$E$22),$C$16*(1+$C$22),$C$16)))))))+BW62</f>
        <v>16677.777777777777</v>
      </c>
      <c r="BX44" s="121">
        <f>IF(AND($D$28&gt;0,BX41&gt;=$E$28,$E$28&gt;0),$C$16*(1+$C$22)*(1+$C$23)*(1+$C$24)*(1+$C$25)*(1+$C$26)*(1+$C$27)*(1+$C$28),IF(AND($D$27&gt;0,BX41&gt;=$E$27,$E$27&gt;0),$C$16*(1+$C$22)*(1+$C$23)*(1+$C$24)*(1+$C$25)*(1+$C$26)*(1+$C$27),IF(AND($D$26&gt;0,BX41&gt;=$E$26,$E$26&gt;0),$C$16*(1+$C$22)*(1+$C$23)*(1+$C$24)*(1+$C$25)*(1+$C$26),IF(AND($D$25&gt;0,BX41&gt;=$E$25,$E$25&gt;0),$C$16*(1+$C$22)*(1+$C$23)*(1+$C$24)*(1+$C$25),IF(AND($D$24&gt;0,BX41&gt;=$E$24,$E$24&gt;0),$C$16*(1+$C$22)*(1+$C$23)*(1+$C$24),IF(AND($D$23&gt;0,BX41&gt;=$E$23,$E$23&gt;0),$C$16*(1+$C$22)*(1+$C$23),IF(AND($D$22&gt;0,BX41&gt;=$E$22,$E$22),$C$16*(1+$C$22),$C$16)))))))+BX62</f>
        <v>16677.777777777777</v>
      </c>
      <c r="BY44" s="121">
        <f>IF(AND($D$28&gt;0,BY41&gt;=$E$28,$E$28&gt;0),$C$16*(1+$C$22)*(1+$C$23)*(1+$C$24)*(1+$C$25)*(1+$C$26)*(1+$C$27)*(1+$C$28),IF(AND($D$27&gt;0,BY41&gt;=$E$27,$E$27&gt;0),$C$16*(1+$C$22)*(1+$C$23)*(1+$C$24)*(1+$C$25)*(1+$C$26)*(1+$C$27),IF(AND($D$26&gt;0,BY41&gt;=$E$26,$E$26&gt;0),$C$16*(1+$C$22)*(1+$C$23)*(1+$C$24)*(1+$C$25)*(1+$C$26),IF(AND($D$25&gt;0,BY41&gt;=$E$25,$E$25&gt;0),$C$16*(1+$C$22)*(1+$C$23)*(1+$C$24)*(1+$C$25),IF(AND($D$24&gt;0,BY41&gt;=$E$24,$E$24&gt;0),$C$16*(1+$C$22)*(1+$C$23)*(1+$C$24),IF(AND($D$23&gt;0,BY41&gt;=$E$23,$E$23&gt;0),$C$16*(1+$C$22)*(1+$C$23),IF(AND($D$22&gt;0,BY41&gt;=$E$22,$E$22),$C$16*(1+$C$22),$C$16)))))))+BY62</f>
        <v>18645.555555555558</v>
      </c>
      <c r="BZ44" s="121">
        <f>IF(AND($D$28&gt;0,BZ41&gt;=$E$28,$E$28&gt;0),$C$16*(1+$C$22)*(1+$C$23)*(1+$C$24)*(1+$C$25)*(1+$C$26)*(1+$C$27)*(1+$C$28),IF(AND($D$27&gt;0,BZ41&gt;=$E$27,$E$27&gt;0),$C$16*(1+$C$22)*(1+$C$23)*(1+$C$24)*(1+$C$25)*(1+$C$26)*(1+$C$27),IF(AND($D$26&gt;0,BZ41&gt;=$E$26,$E$26&gt;0),$C$16*(1+$C$22)*(1+$C$23)*(1+$C$24)*(1+$C$25)*(1+$C$26),IF(AND($D$25&gt;0,BZ41&gt;=$E$25,$E$25&gt;0),$C$16*(1+$C$22)*(1+$C$23)*(1+$C$24)*(1+$C$25),IF(AND($D$24&gt;0,BZ41&gt;=$E$24,$E$24&gt;0),$C$16*(1+$C$22)*(1+$C$23)*(1+$C$24),IF(AND($D$23&gt;0,BZ41&gt;=$E$23,$E$23&gt;0),$C$16*(1+$C$22)*(1+$C$23),IF(AND($D$22&gt;0,BZ41&gt;=$E$22,$E$22),$C$16*(1+$C$22),$C$16)))))))+BZ62</f>
        <v>18645.555555555558</v>
      </c>
      <c r="CA44" s="121">
        <f>IF(AND($D$28&gt;0,CA41&gt;=$E$28,$E$28&gt;0),$C$16*(1+$C$22)*(1+$C$23)*(1+$C$24)*(1+$C$25)*(1+$C$26)*(1+$C$27)*(1+$C$28),IF(AND($D$27&gt;0,CA41&gt;=$E$27,$E$27&gt;0),$C$16*(1+$C$22)*(1+$C$23)*(1+$C$24)*(1+$C$25)*(1+$C$26)*(1+$C$27),IF(AND($D$26&gt;0,CA41&gt;=$E$26,$E$26&gt;0),$C$16*(1+$C$22)*(1+$C$23)*(1+$C$24)*(1+$C$25)*(1+$C$26),IF(AND($D$25&gt;0,CA41&gt;=$E$25,$E$25&gt;0),$C$16*(1+$C$22)*(1+$C$23)*(1+$C$24)*(1+$C$25),IF(AND($D$24&gt;0,CA41&gt;=$E$24,$E$24&gt;0),$C$16*(1+$C$22)*(1+$C$23)*(1+$C$24),IF(AND($D$23&gt;0,CA41&gt;=$E$23,$E$23&gt;0),$C$16*(1+$C$22)*(1+$C$23),IF(AND($D$22&gt;0,CA41&gt;=$E$22,$E$22),$C$16*(1+$C$22),$C$16)))))))+CA62</f>
        <v>18645.555555555558</v>
      </c>
      <c r="CB44" s="121">
        <f>IF(AND($D$28&gt;0,CB41&gt;=$E$28,$E$28&gt;0),$C$16*(1+$C$22)*(1+$C$23)*(1+$C$24)*(1+$C$25)*(1+$C$26)*(1+$C$27)*(1+$C$28),IF(AND($D$27&gt;0,CB41&gt;=$E$27,$E$27&gt;0),$C$16*(1+$C$22)*(1+$C$23)*(1+$C$24)*(1+$C$25)*(1+$C$26)*(1+$C$27),IF(AND($D$26&gt;0,CB41&gt;=$E$26,$E$26&gt;0),$C$16*(1+$C$22)*(1+$C$23)*(1+$C$24)*(1+$C$25)*(1+$C$26),IF(AND($D$25&gt;0,CB41&gt;=$E$25,$E$25&gt;0),$C$16*(1+$C$22)*(1+$C$23)*(1+$C$24)*(1+$C$25),IF(AND($D$24&gt;0,CB41&gt;=$E$24,$E$24&gt;0),$C$16*(1+$C$22)*(1+$C$23)*(1+$C$24),IF(AND($D$23&gt;0,CB41&gt;=$E$23,$E$23&gt;0),$C$16*(1+$C$22)*(1+$C$23),IF(AND($D$22&gt;0,CB41&gt;=$E$22,$E$22),$C$16*(1+$C$22),$C$16)))))))+CB62</f>
        <v>18645.555555555558</v>
      </c>
      <c r="CC44" s="121">
        <f>IF(AND($D$28&gt;0,CC41&gt;=$E$28,$E$28&gt;0),$C$16*(1+$C$22)*(1+$C$23)*(1+$C$24)*(1+$C$25)*(1+$C$26)*(1+$C$27)*(1+$C$28),IF(AND($D$27&gt;0,CC41&gt;=$E$27,$E$27&gt;0),$C$16*(1+$C$22)*(1+$C$23)*(1+$C$24)*(1+$C$25)*(1+$C$26)*(1+$C$27),IF(AND($D$26&gt;0,CC41&gt;=$E$26,$E$26&gt;0),$C$16*(1+$C$22)*(1+$C$23)*(1+$C$24)*(1+$C$25)*(1+$C$26),IF(AND($D$25&gt;0,CC41&gt;=$E$25,$E$25&gt;0),$C$16*(1+$C$22)*(1+$C$23)*(1+$C$24)*(1+$C$25),IF(AND($D$24&gt;0,CC41&gt;=$E$24,$E$24&gt;0),$C$16*(1+$C$22)*(1+$C$23)*(1+$C$24),IF(AND($D$23&gt;0,CC41&gt;=$E$23,$E$23&gt;0),$C$16*(1+$C$22)*(1+$C$23),IF(AND($D$22&gt;0,CC41&gt;=$E$22,$E$22),$C$16*(1+$C$22),$C$16)))))))+CC62</f>
        <v>18645.555555555558</v>
      </c>
      <c r="CD44" s="121">
        <f>IF(AND($D$28&gt;0,CD41&gt;=$E$28,$E$28&gt;0),$C$16*(1+$C$22)*(1+$C$23)*(1+$C$24)*(1+$C$25)*(1+$C$26)*(1+$C$27)*(1+$C$28),IF(AND($D$27&gt;0,CD41&gt;=$E$27,$E$27&gt;0),$C$16*(1+$C$22)*(1+$C$23)*(1+$C$24)*(1+$C$25)*(1+$C$26)*(1+$C$27),IF(AND($D$26&gt;0,CD41&gt;=$E$26,$E$26&gt;0),$C$16*(1+$C$22)*(1+$C$23)*(1+$C$24)*(1+$C$25)*(1+$C$26),IF(AND($D$25&gt;0,CD41&gt;=$E$25,$E$25&gt;0),$C$16*(1+$C$22)*(1+$C$23)*(1+$C$24)*(1+$C$25),IF(AND($D$24&gt;0,CD41&gt;=$E$24,$E$24&gt;0),$C$16*(1+$C$22)*(1+$C$23)*(1+$C$24),IF(AND($D$23&gt;0,CD41&gt;=$E$23,$E$23&gt;0),$C$16*(1+$C$22)*(1+$C$23),IF(AND($D$22&gt;0,CD41&gt;=$E$22,$E$22),$C$16*(1+$C$22),$C$16)))))))+CD62</f>
        <v>18645.555555555558</v>
      </c>
      <c r="CE44" s="121">
        <f>IF(AND($D$28&gt;0,CE41&gt;=$E$28,$E$28&gt;0),$C$16*(1+$C$22)*(1+$C$23)*(1+$C$24)*(1+$C$25)*(1+$C$26)*(1+$C$27)*(1+$C$28),IF(AND($D$27&gt;0,CE41&gt;=$E$27,$E$27&gt;0),$C$16*(1+$C$22)*(1+$C$23)*(1+$C$24)*(1+$C$25)*(1+$C$26)*(1+$C$27),IF(AND($D$26&gt;0,CE41&gt;=$E$26,$E$26&gt;0),$C$16*(1+$C$22)*(1+$C$23)*(1+$C$24)*(1+$C$25)*(1+$C$26),IF(AND($D$25&gt;0,CE41&gt;=$E$25,$E$25&gt;0),$C$16*(1+$C$22)*(1+$C$23)*(1+$C$24)*(1+$C$25),IF(AND($D$24&gt;0,CE41&gt;=$E$24,$E$24&gt;0),$C$16*(1+$C$22)*(1+$C$23)*(1+$C$24),IF(AND($D$23&gt;0,CE41&gt;=$E$23,$E$23&gt;0),$C$16*(1+$C$22)*(1+$C$23),IF(AND($D$22&gt;0,CE41&gt;=$E$22,$E$22),$C$16*(1+$C$22),$C$16)))))))+CE62</f>
        <v>18645.555555555558</v>
      </c>
      <c r="CF44" s="121">
        <f>IF(AND($D$28&gt;0,CF41&gt;=$E$28,$E$28&gt;0),$C$16*(1+$C$22)*(1+$C$23)*(1+$C$24)*(1+$C$25)*(1+$C$26)*(1+$C$27)*(1+$C$28),IF(AND($D$27&gt;0,CF41&gt;=$E$27,$E$27&gt;0),$C$16*(1+$C$22)*(1+$C$23)*(1+$C$24)*(1+$C$25)*(1+$C$26)*(1+$C$27),IF(AND($D$26&gt;0,CF41&gt;=$E$26,$E$26&gt;0),$C$16*(1+$C$22)*(1+$C$23)*(1+$C$24)*(1+$C$25)*(1+$C$26),IF(AND($D$25&gt;0,CF41&gt;=$E$25,$E$25&gt;0),$C$16*(1+$C$22)*(1+$C$23)*(1+$C$24)*(1+$C$25),IF(AND($D$24&gt;0,CF41&gt;=$E$24,$E$24&gt;0),$C$16*(1+$C$22)*(1+$C$23)*(1+$C$24),IF(AND($D$23&gt;0,CF41&gt;=$E$23,$E$23&gt;0),$C$16*(1+$C$22)*(1+$C$23),IF(AND($D$22&gt;0,CF41&gt;=$E$22,$E$22),$C$16*(1+$C$22),$C$16)))))))+CF62</f>
        <v>18645.555555555558</v>
      </c>
      <c r="CG44" s="121">
        <f>IF(AND($D$28&gt;0,CG41&gt;=$E$28,$E$28&gt;0),$C$16*(1+$C$22)*(1+$C$23)*(1+$C$24)*(1+$C$25)*(1+$C$26)*(1+$C$27)*(1+$C$28),IF(AND($D$27&gt;0,CG41&gt;=$E$27,$E$27&gt;0),$C$16*(1+$C$22)*(1+$C$23)*(1+$C$24)*(1+$C$25)*(1+$C$26)*(1+$C$27),IF(AND($D$26&gt;0,CG41&gt;=$E$26,$E$26&gt;0),$C$16*(1+$C$22)*(1+$C$23)*(1+$C$24)*(1+$C$25)*(1+$C$26),IF(AND($D$25&gt;0,CG41&gt;=$E$25,$E$25&gt;0),$C$16*(1+$C$22)*(1+$C$23)*(1+$C$24)*(1+$C$25),IF(AND($D$24&gt;0,CG41&gt;=$E$24,$E$24&gt;0),$C$16*(1+$C$22)*(1+$C$23)*(1+$C$24),IF(AND($D$23&gt;0,CG41&gt;=$E$23,$E$23&gt;0),$C$16*(1+$C$22)*(1+$C$23),IF(AND($D$22&gt;0,CG41&gt;=$E$22,$E$22),$C$16*(1+$C$22),$C$16)))))))+CG62</f>
        <v>18645.555555555558</v>
      </c>
      <c r="CH44" s="121">
        <f>IF(AND($D$28&gt;0,CH41&gt;=$E$28,$E$28&gt;0),$C$16*(1+$C$22)*(1+$C$23)*(1+$C$24)*(1+$C$25)*(1+$C$26)*(1+$C$27)*(1+$C$28),IF(AND($D$27&gt;0,CH41&gt;=$E$27,$E$27&gt;0),$C$16*(1+$C$22)*(1+$C$23)*(1+$C$24)*(1+$C$25)*(1+$C$26)*(1+$C$27),IF(AND($D$26&gt;0,CH41&gt;=$E$26,$E$26&gt;0),$C$16*(1+$C$22)*(1+$C$23)*(1+$C$24)*(1+$C$25)*(1+$C$26),IF(AND($D$25&gt;0,CH41&gt;=$E$25,$E$25&gt;0),$C$16*(1+$C$22)*(1+$C$23)*(1+$C$24)*(1+$C$25),IF(AND($D$24&gt;0,CH41&gt;=$E$24,$E$24&gt;0),$C$16*(1+$C$22)*(1+$C$23)*(1+$C$24),IF(AND($D$23&gt;0,CH41&gt;=$E$23,$E$23&gt;0),$C$16*(1+$C$22)*(1+$C$23),IF(AND($D$22&gt;0,CH41&gt;=$E$22,$E$22),$C$16*(1+$C$22),$C$16)))))))+CH62</f>
        <v>18645.555555555558</v>
      </c>
      <c r="CI44" s="121">
        <f>IF(AND($D$28&gt;0,CI41&gt;=$E$28,$E$28&gt;0),$C$16*(1+$C$22)*(1+$C$23)*(1+$C$24)*(1+$C$25)*(1+$C$26)*(1+$C$27)*(1+$C$28),IF(AND($D$27&gt;0,CI41&gt;=$E$27,$E$27&gt;0),$C$16*(1+$C$22)*(1+$C$23)*(1+$C$24)*(1+$C$25)*(1+$C$26)*(1+$C$27),IF(AND($D$26&gt;0,CI41&gt;=$E$26,$E$26&gt;0),$C$16*(1+$C$22)*(1+$C$23)*(1+$C$24)*(1+$C$25)*(1+$C$26),IF(AND($D$25&gt;0,CI41&gt;=$E$25,$E$25&gt;0),$C$16*(1+$C$22)*(1+$C$23)*(1+$C$24)*(1+$C$25),IF(AND($D$24&gt;0,CI41&gt;=$E$24,$E$24&gt;0),$C$16*(1+$C$22)*(1+$C$23)*(1+$C$24),IF(AND($D$23&gt;0,CI41&gt;=$E$23,$E$23&gt;0),$C$16*(1+$C$22)*(1+$C$23),IF(AND($D$22&gt;0,CI41&gt;=$E$22,$E$22),$C$16*(1+$C$22),$C$16)))))))+CI62</f>
        <v>18645.555555555558</v>
      </c>
      <c r="CJ44" s="121">
        <f>IF(AND($D$28&gt;0,CJ41&gt;=$E$28,$E$28&gt;0),$C$16*(1+$C$22)*(1+$C$23)*(1+$C$24)*(1+$C$25)*(1+$C$26)*(1+$C$27)*(1+$C$28),IF(AND($D$27&gt;0,CJ41&gt;=$E$27,$E$27&gt;0),$C$16*(1+$C$22)*(1+$C$23)*(1+$C$24)*(1+$C$25)*(1+$C$26)*(1+$C$27),IF(AND($D$26&gt;0,CJ41&gt;=$E$26,$E$26&gt;0),$C$16*(1+$C$22)*(1+$C$23)*(1+$C$24)*(1+$C$25)*(1+$C$26),IF(AND($D$25&gt;0,CJ41&gt;=$E$25,$E$25&gt;0),$C$16*(1+$C$22)*(1+$C$23)*(1+$C$24)*(1+$C$25),IF(AND($D$24&gt;0,CJ41&gt;=$E$24,$E$24&gt;0),$C$16*(1+$C$22)*(1+$C$23)*(1+$C$24),IF(AND($D$23&gt;0,CJ41&gt;=$E$23,$E$23&gt;0),$C$16*(1+$C$22)*(1+$C$23),IF(AND($D$22&gt;0,CJ41&gt;=$E$22,$E$22),$C$16*(1+$C$22),$C$16)))))))+CJ62</f>
        <v>18645.555555555558</v>
      </c>
      <c r="CK44" s="121">
        <f>IF(AND($D$28&gt;0,CK41&gt;=$E$28,$E$28&gt;0),$C$16*(1+$C$22)*(1+$C$23)*(1+$C$24)*(1+$C$25)*(1+$C$26)*(1+$C$27)*(1+$C$28),IF(AND($D$27&gt;0,CK41&gt;=$E$27,$E$27&gt;0),$C$16*(1+$C$22)*(1+$C$23)*(1+$C$24)*(1+$C$25)*(1+$C$26)*(1+$C$27),IF(AND($D$26&gt;0,CK41&gt;=$E$26,$E$26&gt;0),$C$16*(1+$C$22)*(1+$C$23)*(1+$C$24)*(1+$C$25)*(1+$C$26),IF(AND($D$25&gt;0,CK41&gt;=$E$25,$E$25&gt;0),$C$16*(1+$C$22)*(1+$C$23)*(1+$C$24)*(1+$C$25),IF(AND($D$24&gt;0,CK41&gt;=$E$24,$E$24&gt;0),$C$16*(1+$C$22)*(1+$C$23)*(1+$C$24),IF(AND($D$23&gt;0,CK41&gt;=$E$23,$E$23&gt;0),$C$16*(1+$C$22)*(1+$C$23),IF(AND($D$22&gt;0,CK41&gt;=$E$22,$E$22),$C$16*(1+$C$22),$C$16)))))))+CK62</f>
        <v>18645.555555555558</v>
      </c>
      <c r="CL44" s="121">
        <f>IF(AND($D$28&gt;0,CL41&gt;=$E$28,$E$28&gt;0),$C$16*(1+$C$22)*(1+$C$23)*(1+$C$24)*(1+$C$25)*(1+$C$26)*(1+$C$27)*(1+$C$28),IF(AND($D$27&gt;0,CL41&gt;=$E$27,$E$27&gt;0),$C$16*(1+$C$22)*(1+$C$23)*(1+$C$24)*(1+$C$25)*(1+$C$26)*(1+$C$27),IF(AND($D$26&gt;0,CL41&gt;=$E$26,$E$26&gt;0),$C$16*(1+$C$22)*(1+$C$23)*(1+$C$24)*(1+$C$25)*(1+$C$26),IF(AND($D$25&gt;0,CL41&gt;=$E$25,$E$25&gt;0),$C$16*(1+$C$22)*(1+$C$23)*(1+$C$24)*(1+$C$25),IF(AND($D$24&gt;0,CL41&gt;=$E$24,$E$24&gt;0),$C$16*(1+$C$22)*(1+$C$23)*(1+$C$24),IF(AND($D$23&gt;0,CL41&gt;=$E$23,$E$23&gt;0),$C$16*(1+$C$22)*(1+$C$23),IF(AND($D$22&gt;0,CL41&gt;=$E$22,$E$22),$C$16*(1+$C$22),$C$16)))))))+CL62</f>
        <v>18645.555555555558</v>
      </c>
      <c r="CM44" s="121">
        <f>IF(AND($D$28&gt;0,CM41&gt;=$E$28,$E$28&gt;0),$C$16*(1+$C$22)*(1+$C$23)*(1+$C$24)*(1+$C$25)*(1+$C$26)*(1+$C$27)*(1+$C$28),IF(AND($D$27&gt;0,CM41&gt;=$E$27,$E$27&gt;0),$C$16*(1+$C$22)*(1+$C$23)*(1+$C$24)*(1+$C$25)*(1+$C$26)*(1+$C$27),IF(AND($D$26&gt;0,CM41&gt;=$E$26,$E$26&gt;0),$C$16*(1+$C$22)*(1+$C$23)*(1+$C$24)*(1+$C$25)*(1+$C$26),IF(AND($D$25&gt;0,CM41&gt;=$E$25,$E$25&gt;0),$C$16*(1+$C$22)*(1+$C$23)*(1+$C$24)*(1+$C$25),IF(AND($D$24&gt;0,CM41&gt;=$E$24,$E$24&gt;0),$C$16*(1+$C$22)*(1+$C$23)*(1+$C$24),IF(AND($D$23&gt;0,CM41&gt;=$E$23,$E$23&gt;0),$C$16*(1+$C$22)*(1+$C$23),IF(AND($D$22&gt;0,CM41&gt;=$E$22,$E$22),$C$16*(1+$C$22),$C$16)))))))+CM62</f>
        <v>18645.555555555558</v>
      </c>
      <c r="CN44" s="121">
        <f>IF(AND($D$28&gt;0,CN41&gt;=$E$28,$E$28&gt;0),$C$16*(1+$C$22)*(1+$C$23)*(1+$C$24)*(1+$C$25)*(1+$C$26)*(1+$C$27)*(1+$C$28),IF(AND($D$27&gt;0,CN41&gt;=$E$27,$E$27&gt;0),$C$16*(1+$C$22)*(1+$C$23)*(1+$C$24)*(1+$C$25)*(1+$C$26)*(1+$C$27),IF(AND($D$26&gt;0,CN41&gt;=$E$26,$E$26&gt;0),$C$16*(1+$C$22)*(1+$C$23)*(1+$C$24)*(1+$C$25)*(1+$C$26),IF(AND($D$25&gt;0,CN41&gt;=$E$25,$E$25&gt;0),$C$16*(1+$C$22)*(1+$C$23)*(1+$C$24)*(1+$C$25),IF(AND($D$24&gt;0,CN41&gt;=$E$24,$E$24&gt;0),$C$16*(1+$C$22)*(1+$C$23)*(1+$C$24),IF(AND($D$23&gt;0,CN41&gt;=$E$23,$E$23&gt;0),$C$16*(1+$C$22)*(1+$C$23),IF(AND($D$22&gt;0,CN41&gt;=$E$22,$E$22),$C$16*(1+$C$22),$C$16)))))))+CN62</f>
        <v>18645.555555555558</v>
      </c>
      <c r="CO44" s="121">
        <f>IF(AND($D$28&gt;0,CO41&gt;=$E$28,$E$28&gt;0),$C$16*(1+$C$22)*(1+$C$23)*(1+$C$24)*(1+$C$25)*(1+$C$26)*(1+$C$27)*(1+$C$28),IF(AND($D$27&gt;0,CO41&gt;=$E$27,$E$27&gt;0),$C$16*(1+$C$22)*(1+$C$23)*(1+$C$24)*(1+$C$25)*(1+$C$26)*(1+$C$27),IF(AND($D$26&gt;0,CO41&gt;=$E$26,$E$26&gt;0),$C$16*(1+$C$22)*(1+$C$23)*(1+$C$24)*(1+$C$25)*(1+$C$26),IF(AND($D$25&gt;0,CO41&gt;=$E$25,$E$25&gt;0),$C$16*(1+$C$22)*(1+$C$23)*(1+$C$24)*(1+$C$25),IF(AND($D$24&gt;0,CO41&gt;=$E$24,$E$24&gt;0),$C$16*(1+$C$22)*(1+$C$23)*(1+$C$24),IF(AND($D$23&gt;0,CO41&gt;=$E$23,$E$23&gt;0),$C$16*(1+$C$22)*(1+$C$23),IF(AND($D$22&gt;0,CO41&gt;=$E$22,$E$22),$C$16*(1+$C$22),$C$16)))))))+CO62</f>
        <v>18645.555555555558</v>
      </c>
      <c r="CP44" s="121">
        <f>IF(AND($D$28&gt;0,CP41&gt;=$E$28,$E$28&gt;0),$C$16*(1+$C$22)*(1+$C$23)*(1+$C$24)*(1+$C$25)*(1+$C$26)*(1+$C$27)*(1+$C$28),IF(AND($D$27&gt;0,CP41&gt;=$E$27,$E$27&gt;0),$C$16*(1+$C$22)*(1+$C$23)*(1+$C$24)*(1+$C$25)*(1+$C$26)*(1+$C$27),IF(AND($D$26&gt;0,CP41&gt;=$E$26,$E$26&gt;0),$C$16*(1+$C$22)*(1+$C$23)*(1+$C$24)*(1+$C$25)*(1+$C$26),IF(AND($D$25&gt;0,CP41&gt;=$E$25,$E$25&gt;0),$C$16*(1+$C$22)*(1+$C$23)*(1+$C$24)*(1+$C$25),IF(AND($D$24&gt;0,CP41&gt;=$E$24,$E$24&gt;0),$C$16*(1+$C$22)*(1+$C$23)*(1+$C$24),IF(AND($D$23&gt;0,CP41&gt;=$E$23,$E$23&gt;0),$C$16*(1+$C$22)*(1+$C$23),IF(AND($D$22&gt;0,CP41&gt;=$E$22,$E$22),$C$16*(1+$C$22),$C$16)))))))+CP62</f>
        <v>18645.555555555558</v>
      </c>
      <c r="CQ44" s="121">
        <f>IF(AND($D$28&gt;0,CQ41&gt;=$E$28,$E$28&gt;0),$C$16*(1+$C$22)*(1+$C$23)*(1+$C$24)*(1+$C$25)*(1+$C$26)*(1+$C$27)*(1+$C$28),IF(AND($D$27&gt;0,CQ41&gt;=$E$27,$E$27&gt;0),$C$16*(1+$C$22)*(1+$C$23)*(1+$C$24)*(1+$C$25)*(1+$C$26)*(1+$C$27),IF(AND($D$26&gt;0,CQ41&gt;=$E$26,$E$26&gt;0),$C$16*(1+$C$22)*(1+$C$23)*(1+$C$24)*(1+$C$25)*(1+$C$26),IF(AND($D$25&gt;0,CQ41&gt;=$E$25,$E$25&gt;0),$C$16*(1+$C$22)*(1+$C$23)*(1+$C$24)*(1+$C$25),IF(AND($D$24&gt;0,CQ41&gt;=$E$24,$E$24&gt;0),$C$16*(1+$C$22)*(1+$C$23)*(1+$C$24),IF(AND($D$23&gt;0,CQ41&gt;=$E$23,$E$23&gt;0),$C$16*(1+$C$22)*(1+$C$23),IF(AND($D$22&gt;0,CQ41&gt;=$E$22,$E$22),$C$16*(1+$C$22),$C$16)))))))+CQ62</f>
        <v>18645.555555555558</v>
      </c>
      <c r="CR44" s="121">
        <f>IF(AND($D$28&gt;0,CR41&gt;=$E$28,$E$28&gt;0),$C$16*(1+$C$22)*(1+$C$23)*(1+$C$24)*(1+$C$25)*(1+$C$26)*(1+$C$27)*(1+$C$28),IF(AND($D$27&gt;0,CR41&gt;=$E$27,$E$27&gt;0),$C$16*(1+$C$22)*(1+$C$23)*(1+$C$24)*(1+$C$25)*(1+$C$26)*(1+$C$27),IF(AND($D$26&gt;0,CR41&gt;=$E$26,$E$26&gt;0),$C$16*(1+$C$22)*(1+$C$23)*(1+$C$24)*(1+$C$25)*(1+$C$26),IF(AND($D$25&gt;0,CR41&gt;=$E$25,$E$25&gt;0),$C$16*(1+$C$22)*(1+$C$23)*(1+$C$24)*(1+$C$25),IF(AND($D$24&gt;0,CR41&gt;=$E$24,$E$24&gt;0),$C$16*(1+$C$22)*(1+$C$23)*(1+$C$24),IF(AND($D$23&gt;0,CR41&gt;=$E$23,$E$23&gt;0),$C$16*(1+$C$22)*(1+$C$23),IF(AND($D$22&gt;0,CR41&gt;=$E$22,$E$22),$C$16*(1+$C$22),$C$16)))))))+CR62</f>
        <v>18645.555555555558</v>
      </c>
      <c r="CS44" s="121">
        <f>IF(AND($D$28&gt;0,CS41&gt;=$E$28,$E$28&gt;0),$C$16*(1+$C$22)*(1+$C$23)*(1+$C$24)*(1+$C$25)*(1+$C$26)*(1+$C$27)*(1+$C$28),IF(AND($D$27&gt;0,CS41&gt;=$E$27,$E$27&gt;0),$C$16*(1+$C$22)*(1+$C$23)*(1+$C$24)*(1+$C$25)*(1+$C$26)*(1+$C$27),IF(AND($D$26&gt;0,CS41&gt;=$E$26,$E$26&gt;0),$C$16*(1+$C$22)*(1+$C$23)*(1+$C$24)*(1+$C$25)*(1+$C$26),IF(AND($D$25&gt;0,CS41&gt;=$E$25,$E$25&gt;0),$C$16*(1+$C$22)*(1+$C$23)*(1+$C$24)*(1+$C$25),IF(AND($D$24&gt;0,CS41&gt;=$E$24,$E$24&gt;0),$C$16*(1+$C$22)*(1+$C$23)*(1+$C$24),IF(AND($D$23&gt;0,CS41&gt;=$E$23,$E$23&gt;0),$C$16*(1+$C$22)*(1+$C$23),IF(AND($D$22&gt;0,CS41&gt;=$E$22,$E$22),$C$16*(1+$C$22),$C$16)))))))+CS62</f>
        <v>18645.555555555558</v>
      </c>
      <c r="CT44" s="121">
        <f>IF(AND($D$28&gt;0,CT41&gt;=$E$28,$E$28&gt;0),$C$16*(1+$C$22)*(1+$C$23)*(1+$C$24)*(1+$C$25)*(1+$C$26)*(1+$C$27)*(1+$C$28),IF(AND($D$27&gt;0,CT41&gt;=$E$27,$E$27&gt;0),$C$16*(1+$C$22)*(1+$C$23)*(1+$C$24)*(1+$C$25)*(1+$C$26)*(1+$C$27),IF(AND($D$26&gt;0,CT41&gt;=$E$26,$E$26&gt;0),$C$16*(1+$C$22)*(1+$C$23)*(1+$C$24)*(1+$C$25)*(1+$C$26),IF(AND($D$25&gt;0,CT41&gt;=$E$25,$E$25&gt;0),$C$16*(1+$C$22)*(1+$C$23)*(1+$C$24)*(1+$C$25),IF(AND($D$24&gt;0,CT41&gt;=$E$24,$E$24&gt;0),$C$16*(1+$C$22)*(1+$C$23)*(1+$C$24),IF(AND($D$23&gt;0,CT41&gt;=$E$23,$E$23&gt;0),$C$16*(1+$C$22)*(1+$C$23),IF(AND($D$22&gt;0,CT41&gt;=$E$22,$E$22),$C$16*(1+$C$22),$C$16)))))))+CT62</f>
        <v>18645.555555555558</v>
      </c>
      <c r="CU44" s="121">
        <f>IF(AND($D$28&gt;0,CU41&gt;=$E$28,$E$28&gt;0),$C$16*(1+$C$22)*(1+$C$23)*(1+$C$24)*(1+$C$25)*(1+$C$26)*(1+$C$27)*(1+$C$28),IF(AND($D$27&gt;0,CU41&gt;=$E$27,$E$27&gt;0),$C$16*(1+$C$22)*(1+$C$23)*(1+$C$24)*(1+$C$25)*(1+$C$26)*(1+$C$27),IF(AND($D$26&gt;0,CU41&gt;=$E$26,$E$26&gt;0),$C$16*(1+$C$22)*(1+$C$23)*(1+$C$24)*(1+$C$25)*(1+$C$26),IF(AND($D$25&gt;0,CU41&gt;=$E$25,$E$25&gt;0),$C$16*(1+$C$22)*(1+$C$23)*(1+$C$24)*(1+$C$25),IF(AND($D$24&gt;0,CU41&gt;=$E$24,$E$24&gt;0),$C$16*(1+$C$22)*(1+$C$23)*(1+$C$24),IF(AND($D$23&gt;0,CU41&gt;=$E$23,$E$23&gt;0),$C$16*(1+$C$22)*(1+$C$23),IF(AND($D$22&gt;0,CU41&gt;=$E$22,$E$22),$C$16*(1+$C$22),$C$16)))))))+CU62</f>
        <v>18645.555555555558</v>
      </c>
      <c r="CV44" s="121">
        <f>IF(AND($D$28&gt;0,CV41&gt;=$E$28,$E$28&gt;0),$C$16*(1+$C$22)*(1+$C$23)*(1+$C$24)*(1+$C$25)*(1+$C$26)*(1+$C$27)*(1+$C$28),IF(AND($D$27&gt;0,CV41&gt;=$E$27,$E$27&gt;0),$C$16*(1+$C$22)*(1+$C$23)*(1+$C$24)*(1+$C$25)*(1+$C$26)*(1+$C$27),IF(AND($D$26&gt;0,CV41&gt;=$E$26,$E$26&gt;0),$C$16*(1+$C$22)*(1+$C$23)*(1+$C$24)*(1+$C$25)*(1+$C$26),IF(AND($D$25&gt;0,CV41&gt;=$E$25,$E$25&gt;0),$C$16*(1+$C$22)*(1+$C$23)*(1+$C$24)*(1+$C$25),IF(AND($D$24&gt;0,CV41&gt;=$E$24,$E$24&gt;0),$C$16*(1+$C$22)*(1+$C$23)*(1+$C$24),IF(AND($D$23&gt;0,CV41&gt;=$E$23,$E$23&gt;0),$C$16*(1+$C$22)*(1+$C$23),IF(AND($D$22&gt;0,CV41&gt;=$E$22,$E$22),$C$16*(1+$C$22),$C$16)))))))+CV62</f>
        <v>18645.555555555558</v>
      </c>
      <c r="CW44" s="121">
        <f>IF(AND($D$28&gt;0,CW41&gt;=$E$28,$E$28&gt;0),$C$16*(1+$C$22)*(1+$C$23)*(1+$C$24)*(1+$C$25)*(1+$C$26)*(1+$C$27)*(1+$C$28),IF(AND($D$27&gt;0,CW41&gt;=$E$27,$E$27&gt;0),$C$16*(1+$C$22)*(1+$C$23)*(1+$C$24)*(1+$C$25)*(1+$C$26)*(1+$C$27),IF(AND($D$26&gt;0,CW41&gt;=$E$26,$E$26&gt;0),$C$16*(1+$C$22)*(1+$C$23)*(1+$C$24)*(1+$C$25)*(1+$C$26),IF(AND($D$25&gt;0,CW41&gt;=$E$25,$E$25&gt;0),$C$16*(1+$C$22)*(1+$C$23)*(1+$C$24)*(1+$C$25),IF(AND($D$24&gt;0,CW41&gt;=$E$24,$E$24&gt;0),$C$16*(1+$C$22)*(1+$C$23)*(1+$C$24),IF(AND($D$23&gt;0,CW41&gt;=$E$23,$E$23&gt;0),$C$16*(1+$C$22)*(1+$C$23),IF(AND($D$22&gt;0,CW41&gt;=$E$22,$E$22),$C$16*(1+$C$22),$C$16)))))))+CW62</f>
        <v>18645.555555555558</v>
      </c>
      <c r="CX44" s="121">
        <f>IF(AND($D$28&gt;0,CX41&gt;=$E$28,$E$28&gt;0),$C$16*(1+$C$22)*(1+$C$23)*(1+$C$24)*(1+$C$25)*(1+$C$26)*(1+$C$27)*(1+$C$28),IF(AND($D$27&gt;0,CX41&gt;=$E$27,$E$27&gt;0),$C$16*(1+$C$22)*(1+$C$23)*(1+$C$24)*(1+$C$25)*(1+$C$26)*(1+$C$27),IF(AND($D$26&gt;0,CX41&gt;=$E$26,$E$26&gt;0),$C$16*(1+$C$22)*(1+$C$23)*(1+$C$24)*(1+$C$25)*(1+$C$26),IF(AND($D$25&gt;0,CX41&gt;=$E$25,$E$25&gt;0),$C$16*(1+$C$22)*(1+$C$23)*(1+$C$24)*(1+$C$25),IF(AND($D$24&gt;0,CX41&gt;=$E$24,$E$24&gt;0),$C$16*(1+$C$22)*(1+$C$23)*(1+$C$24),IF(AND($D$23&gt;0,CX41&gt;=$E$23,$E$23&gt;0),$C$16*(1+$C$22)*(1+$C$23),IF(AND($D$22&gt;0,CX41&gt;=$E$22,$E$22),$C$16*(1+$C$22),$C$16)))))))+CX62</f>
        <v>18645.555555555558</v>
      </c>
      <c r="CY44" s="121">
        <f>IF(AND($D$28&gt;0,CY41&gt;=$E$28,$E$28&gt;0),$C$16*(1+$C$22)*(1+$C$23)*(1+$C$24)*(1+$C$25)*(1+$C$26)*(1+$C$27)*(1+$C$28),IF(AND($D$27&gt;0,CY41&gt;=$E$27,$E$27&gt;0),$C$16*(1+$C$22)*(1+$C$23)*(1+$C$24)*(1+$C$25)*(1+$C$26)*(1+$C$27),IF(AND($D$26&gt;0,CY41&gt;=$E$26,$E$26&gt;0),$C$16*(1+$C$22)*(1+$C$23)*(1+$C$24)*(1+$C$25)*(1+$C$26),IF(AND($D$25&gt;0,CY41&gt;=$E$25,$E$25&gt;0),$C$16*(1+$C$22)*(1+$C$23)*(1+$C$24)*(1+$C$25),IF(AND($D$24&gt;0,CY41&gt;=$E$24,$E$24&gt;0),$C$16*(1+$C$22)*(1+$C$23)*(1+$C$24),IF(AND($D$23&gt;0,CY41&gt;=$E$23,$E$23&gt;0),$C$16*(1+$C$22)*(1+$C$23),IF(AND($D$22&gt;0,CY41&gt;=$E$22,$E$22),$C$16*(1+$C$22),$C$16)))))))+CY62</f>
        <v>18645.555555555558</v>
      </c>
      <c r="CZ44" s="121">
        <f>IF(AND($D$28&gt;0,CZ41&gt;=$E$28,$E$28&gt;0),$C$16*(1+$C$22)*(1+$C$23)*(1+$C$24)*(1+$C$25)*(1+$C$26)*(1+$C$27)*(1+$C$28),IF(AND($D$27&gt;0,CZ41&gt;=$E$27,$E$27&gt;0),$C$16*(1+$C$22)*(1+$C$23)*(1+$C$24)*(1+$C$25)*(1+$C$26)*(1+$C$27),IF(AND($D$26&gt;0,CZ41&gt;=$E$26,$E$26&gt;0),$C$16*(1+$C$22)*(1+$C$23)*(1+$C$24)*(1+$C$25)*(1+$C$26),IF(AND($D$25&gt;0,CZ41&gt;=$E$25,$E$25&gt;0),$C$16*(1+$C$22)*(1+$C$23)*(1+$C$24)*(1+$C$25),IF(AND($D$24&gt;0,CZ41&gt;=$E$24,$E$24&gt;0),$C$16*(1+$C$22)*(1+$C$23)*(1+$C$24),IF(AND($D$23&gt;0,CZ41&gt;=$E$23,$E$23&gt;0),$C$16*(1+$C$22)*(1+$C$23),IF(AND($D$22&gt;0,CZ41&gt;=$E$22,$E$22),$C$16*(1+$C$22),$C$16)))))))+CZ62</f>
        <v>18645.555555555558</v>
      </c>
      <c r="DA44" s="121">
        <f>IF(AND($D$28&gt;0,DA41&gt;=$E$28,$E$28&gt;0),$C$16*(1+$C$22)*(1+$C$23)*(1+$C$24)*(1+$C$25)*(1+$C$26)*(1+$C$27)*(1+$C$28),IF(AND($D$27&gt;0,DA41&gt;=$E$27,$E$27&gt;0),$C$16*(1+$C$22)*(1+$C$23)*(1+$C$24)*(1+$C$25)*(1+$C$26)*(1+$C$27),IF(AND($D$26&gt;0,DA41&gt;=$E$26,$E$26&gt;0),$C$16*(1+$C$22)*(1+$C$23)*(1+$C$24)*(1+$C$25)*(1+$C$26),IF(AND($D$25&gt;0,DA41&gt;=$E$25,$E$25&gt;0),$C$16*(1+$C$22)*(1+$C$23)*(1+$C$24)*(1+$C$25),IF(AND($D$24&gt;0,DA41&gt;=$E$24,$E$24&gt;0),$C$16*(1+$C$22)*(1+$C$23)*(1+$C$24),IF(AND($D$23&gt;0,DA41&gt;=$E$23,$E$23&gt;0),$C$16*(1+$C$22)*(1+$C$23),IF(AND($D$22&gt;0,DA41&gt;=$E$22,$E$22),$C$16*(1+$C$22),$C$16)))))))+DA62</f>
        <v>18645.555555555558</v>
      </c>
      <c r="DB44" s="121">
        <f>IF(AND($D$28&gt;0,DB41&gt;=$E$28,$E$28&gt;0),$C$16*(1+$C$22)*(1+$C$23)*(1+$C$24)*(1+$C$25)*(1+$C$26)*(1+$C$27)*(1+$C$28),IF(AND($D$27&gt;0,DB41&gt;=$E$27,$E$27&gt;0),$C$16*(1+$C$22)*(1+$C$23)*(1+$C$24)*(1+$C$25)*(1+$C$26)*(1+$C$27),IF(AND($D$26&gt;0,DB41&gt;=$E$26,$E$26&gt;0),$C$16*(1+$C$22)*(1+$C$23)*(1+$C$24)*(1+$C$25)*(1+$C$26),IF(AND($D$25&gt;0,DB41&gt;=$E$25,$E$25&gt;0),$C$16*(1+$C$22)*(1+$C$23)*(1+$C$24)*(1+$C$25),IF(AND($D$24&gt;0,DB41&gt;=$E$24,$E$24&gt;0),$C$16*(1+$C$22)*(1+$C$23)*(1+$C$24),IF(AND($D$23&gt;0,DB41&gt;=$E$23,$E$23&gt;0),$C$16*(1+$C$22)*(1+$C$23),IF(AND($D$22&gt;0,DB41&gt;=$E$22,$E$22),$C$16*(1+$C$22),$C$16)))))))+DB62</f>
        <v>18645.555555555558</v>
      </c>
      <c r="DC44" s="121">
        <f>IF(AND($D$28&gt;0,DC41&gt;=$E$28,$E$28&gt;0),$C$16*(1+$C$22)*(1+$C$23)*(1+$C$24)*(1+$C$25)*(1+$C$26)*(1+$C$27)*(1+$C$28),IF(AND($D$27&gt;0,DC41&gt;=$E$27,$E$27&gt;0),$C$16*(1+$C$22)*(1+$C$23)*(1+$C$24)*(1+$C$25)*(1+$C$26)*(1+$C$27),IF(AND($D$26&gt;0,DC41&gt;=$E$26,$E$26&gt;0),$C$16*(1+$C$22)*(1+$C$23)*(1+$C$24)*(1+$C$25)*(1+$C$26),IF(AND($D$25&gt;0,DC41&gt;=$E$25,$E$25&gt;0),$C$16*(1+$C$22)*(1+$C$23)*(1+$C$24)*(1+$C$25),IF(AND($D$24&gt;0,DC41&gt;=$E$24,$E$24&gt;0),$C$16*(1+$C$22)*(1+$C$23)*(1+$C$24),IF(AND($D$23&gt;0,DC41&gt;=$E$23,$E$23&gt;0),$C$16*(1+$C$22)*(1+$C$23),IF(AND($D$22&gt;0,DC41&gt;=$E$22,$E$22),$C$16*(1+$C$22),$C$16)))))))+DC62</f>
        <v>18645.555555555558</v>
      </c>
      <c r="DD44" s="121">
        <f>IF(AND($D$28&gt;0,DD41&gt;=$E$28,$E$28&gt;0),$C$16*(1+$C$22)*(1+$C$23)*(1+$C$24)*(1+$C$25)*(1+$C$26)*(1+$C$27)*(1+$C$28),IF(AND($D$27&gt;0,DD41&gt;=$E$27,$E$27&gt;0),$C$16*(1+$C$22)*(1+$C$23)*(1+$C$24)*(1+$C$25)*(1+$C$26)*(1+$C$27),IF(AND($D$26&gt;0,DD41&gt;=$E$26,$E$26&gt;0),$C$16*(1+$C$22)*(1+$C$23)*(1+$C$24)*(1+$C$25)*(1+$C$26),IF(AND($D$25&gt;0,DD41&gt;=$E$25,$E$25&gt;0),$C$16*(1+$C$22)*(1+$C$23)*(1+$C$24)*(1+$C$25),IF(AND($D$24&gt;0,DD41&gt;=$E$24,$E$24&gt;0),$C$16*(1+$C$22)*(1+$C$23)*(1+$C$24),IF(AND($D$23&gt;0,DD41&gt;=$E$23,$E$23&gt;0),$C$16*(1+$C$22)*(1+$C$23),IF(AND($D$22&gt;0,DD41&gt;=$E$22,$E$22),$C$16*(1+$C$22),$C$16)))))))+DD62</f>
        <v>18645.555555555558</v>
      </c>
      <c r="DE44" s="121">
        <f>IF(AND($D$28&gt;0,DE41&gt;=$E$28,$E$28&gt;0),$C$16*(1+$C$22)*(1+$C$23)*(1+$C$24)*(1+$C$25)*(1+$C$26)*(1+$C$27)*(1+$C$28),IF(AND($D$27&gt;0,DE41&gt;=$E$27,$E$27&gt;0),$C$16*(1+$C$22)*(1+$C$23)*(1+$C$24)*(1+$C$25)*(1+$C$26)*(1+$C$27),IF(AND($D$26&gt;0,DE41&gt;=$E$26,$E$26&gt;0),$C$16*(1+$C$22)*(1+$C$23)*(1+$C$24)*(1+$C$25)*(1+$C$26),IF(AND($D$25&gt;0,DE41&gt;=$E$25,$E$25&gt;0),$C$16*(1+$C$22)*(1+$C$23)*(1+$C$24)*(1+$C$25),IF(AND($D$24&gt;0,DE41&gt;=$E$24,$E$24&gt;0),$C$16*(1+$C$22)*(1+$C$23)*(1+$C$24),IF(AND($D$23&gt;0,DE41&gt;=$E$23,$E$23&gt;0),$C$16*(1+$C$22)*(1+$C$23),IF(AND($D$22&gt;0,DE41&gt;=$E$22,$E$22),$C$16*(1+$C$22),$C$16)))))))+DE62</f>
        <v>18645.555555555558</v>
      </c>
      <c r="DF44" s="121">
        <f>IF(AND($D$28&gt;0,DF41&gt;=$E$28,$E$28&gt;0),$C$16*(1+$C$22)*(1+$C$23)*(1+$C$24)*(1+$C$25)*(1+$C$26)*(1+$C$27)*(1+$C$28),IF(AND($D$27&gt;0,DF41&gt;=$E$27,$E$27&gt;0),$C$16*(1+$C$22)*(1+$C$23)*(1+$C$24)*(1+$C$25)*(1+$C$26)*(1+$C$27),IF(AND($D$26&gt;0,DF41&gt;=$E$26,$E$26&gt;0),$C$16*(1+$C$22)*(1+$C$23)*(1+$C$24)*(1+$C$25)*(1+$C$26),IF(AND($D$25&gt;0,DF41&gt;=$E$25,$E$25&gt;0),$C$16*(1+$C$22)*(1+$C$23)*(1+$C$24)*(1+$C$25),IF(AND($D$24&gt;0,DF41&gt;=$E$24,$E$24&gt;0),$C$16*(1+$C$22)*(1+$C$23)*(1+$C$24),IF(AND($D$23&gt;0,DF41&gt;=$E$23,$E$23&gt;0),$C$16*(1+$C$22)*(1+$C$23),IF(AND($D$22&gt;0,DF41&gt;=$E$22,$E$22),$C$16*(1+$C$22),$C$16)))))))+DF62</f>
        <v>18645.555555555558</v>
      </c>
      <c r="DG44" s="121">
        <f>IF(AND($D$28&gt;0,DG41&gt;=$E$28,$E$28&gt;0),$C$16*(1+$C$22)*(1+$C$23)*(1+$C$24)*(1+$C$25)*(1+$C$26)*(1+$C$27)*(1+$C$28),IF(AND($D$27&gt;0,DG41&gt;=$E$27,$E$27&gt;0),$C$16*(1+$C$22)*(1+$C$23)*(1+$C$24)*(1+$C$25)*(1+$C$26)*(1+$C$27),IF(AND($D$26&gt;0,DG41&gt;=$E$26,$E$26&gt;0),$C$16*(1+$C$22)*(1+$C$23)*(1+$C$24)*(1+$C$25)*(1+$C$26),IF(AND($D$25&gt;0,DG41&gt;=$E$25,$E$25&gt;0),$C$16*(1+$C$22)*(1+$C$23)*(1+$C$24)*(1+$C$25),IF(AND($D$24&gt;0,DG41&gt;=$E$24,$E$24&gt;0),$C$16*(1+$C$22)*(1+$C$23)*(1+$C$24),IF(AND($D$23&gt;0,DG41&gt;=$E$23,$E$23&gt;0),$C$16*(1+$C$22)*(1+$C$23),IF(AND($D$22&gt;0,DG41&gt;=$E$22,$E$22),$C$16*(1+$C$22),$C$16)))))))+DG62</f>
        <v>18645.555555555558</v>
      </c>
      <c r="DH44" s="121">
        <f>IF(AND($D$28&gt;0,DH41&gt;=$E$28,$E$28&gt;0),$C$16*(1+$C$22)*(1+$C$23)*(1+$C$24)*(1+$C$25)*(1+$C$26)*(1+$C$27)*(1+$C$28),IF(AND($D$27&gt;0,DH41&gt;=$E$27,$E$27&gt;0),$C$16*(1+$C$22)*(1+$C$23)*(1+$C$24)*(1+$C$25)*(1+$C$26)*(1+$C$27),IF(AND($D$26&gt;0,DH41&gt;=$E$26,$E$26&gt;0),$C$16*(1+$C$22)*(1+$C$23)*(1+$C$24)*(1+$C$25)*(1+$C$26),IF(AND($D$25&gt;0,DH41&gt;=$E$25,$E$25&gt;0),$C$16*(1+$C$22)*(1+$C$23)*(1+$C$24)*(1+$C$25),IF(AND($D$24&gt;0,DH41&gt;=$E$24,$E$24&gt;0),$C$16*(1+$C$22)*(1+$C$23)*(1+$C$24),IF(AND($D$23&gt;0,DH41&gt;=$E$23,$E$23&gt;0),$C$16*(1+$C$22)*(1+$C$23),IF(AND($D$22&gt;0,DH41&gt;=$E$22,$E$22),$C$16*(1+$C$22),$C$16)))))))+DH62</f>
        <v>18645.555555555558</v>
      </c>
      <c r="DI44" s="121">
        <f>IF(AND($D$28&gt;0,DI41&gt;=$E$28,$E$28&gt;0),$C$16*(1+$C$22)*(1+$C$23)*(1+$C$24)*(1+$C$25)*(1+$C$26)*(1+$C$27)*(1+$C$28),IF(AND($D$27&gt;0,DI41&gt;=$E$27,$E$27&gt;0),$C$16*(1+$C$22)*(1+$C$23)*(1+$C$24)*(1+$C$25)*(1+$C$26)*(1+$C$27),IF(AND($D$26&gt;0,DI41&gt;=$E$26,$E$26&gt;0),$C$16*(1+$C$22)*(1+$C$23)*(1+$C$24)*(1+$C$25)*(1+$C$26),IF(AND($D$25&gt;0,DI41&gt;=$E$25,$E$25&gt;0),$C$16*(1+$C$22)*(1+$C$23)*(1+$C$24)*(1+$C$25),IF(AND($D$24&gt;0,DI41&gt;=$E$24,$E$24&gt;0),$C$16*(1+$C$22)*(1+$C$23)*(1+$C$24),IF(AND($D$23&gt;0,DI41&gt;=$E$23,$E$23&gt;0),$C$16*(1+$C$22)*(1+$C$23),IF(AND($D$22&gt;0,DI41&gt;=$E$22,$E$22),$C$16*(1+$C$22),$C$16)))))))+DI62</f>
        <v>20810.111111111117</v>
      </c>
      <c r="DJ44" s="121">
        <f>IF(AND($D$28&gt;0,DJ41&gt;=$E$28,$E$28&gt;0),$C$16*(1+$C$22)*(1+$C$23)*(1+$C$24)*(1+$C$25)*(1+$C$26)*(1+$C$27)*(1+$C$28),IF(AND($D$27&gt;0,DJ41&gt;=$E$27,$E$27&gt;0),$C$16*(1+$C$22)*(1+$C$23)*(1+$C$24)*(1+$C$25)*(1+$C$26)*(1+$C$27),IF(AND($D$26&gt;0,DJ41&gt;=$E$26,$E$26&gt;0),$C$16*(1+$C$22)*(1+$C$23)*(1+$C$24)*(1+$C$25)*(1+$C$26),IF(AND($D$25&gt;0,DJ41&gt;=$E$25,$E$25&gt;0),$C$16*(1+$C$22)*(1+$C$23)*(1+$C$24)*(1+$C$25),IF(AND($D$24&gt;0,DJ41&gt;=$E$24,$E$24&gt;0),$C$16*(1+$C$22)*(1+$C$23)*(1+$C$24),IF(AND($D$23&gt;0,DJ41&gt;=$E$23,$E$23&gt;0),$C$16*(1+$C$22)*(1+$C$23),IF(AND($D$22&gt;0,DJ41&gt;=$E$22,$E$22),$C$16*(1+$C$22),$C$16)))))))+DJ62</f>
        <v>20810.111111111117</v>
      </c>
      <c r="DK44" s="121">
        <f>IF(AND($D$28&gt;0,DK41&gt;=$E$28,$E$28&gt;0),$C$16*(1+$C$22)*(1+$C$23)*(1+$C$24)*(1+$C$25)*(1+$C$26)*(1+$C$27)*(1+$C$28),IF(AND($D$27&gt;0,DK41&gt;=$E$27,$E$27&gt;0),$C$16*(1+$C$22)*(1+$C$23)*(1+$C$24)*(1+$C$25)*(1+$C$26)*(1+$C$27),IF(AND($D$26&gt;0,DK41&gt;=$E$26,$E$26&gt;0),$C$16*(1+$C$22)*(1+$C$23)*(1+$C$24)*(1+$C$25)*(1+$C$26),IF(AND($D$25&gt;0,DK41&gt;=$E$25,$E$25&gt;0),$C$16*(1+$C$22)*(1+$C$23)*(1+$C$24)*(1+$C$25),IF(AND($D$24&gt;0,DK41&gt;=$E$24,$E$24&gt;0),$C$16*(1+$C$22)*(1+$C$23)*(1+$C$24),IF(AND($D$23&gt;0,DK41&gt;=$E$23,$E$23&gt;0),$C$16*(1+$C$22)*(1+$C$23),IF(AND($D$22&gt;0,DK41&gt;=$E$22,$E$22),$C$16*(1+$C$22),$C$16)))))))+DK62</f>
        <v>20810.111111111117</v>
      </c>
      <c r="DL44" s="121">
        <f>IF(AND($D$28&gt;0,DL41&gt;=$E$28,$E$28&gt;0),$C$16*(1+$C$22)*(1+$C$23)*(1+$C$24)*(1+$C$25)*(1+$C$26)*(1+$C$27)*(1+$C$28),IF(AND($D$27&gt;0,DL41&gt;=$E$27,$E$27&gt;0),$C$16*(1+$C$22)*(1+$C$23)*(1+$C$24)*(1+$C$25)*(1+$C$26)*(1+$C$27),IF(AND($D$26&gt;0,DL41&gt;=$E$26,$E$26&gt;0),$C$16*(1+$C$22)*(1+$C$23)*(1+$C$24)*(1+$C$25)*(1+$C$26),IF(AND($D$25&gt;0,DL41&gt;=$E$25,$E$25&gt;0),$C$16*(1+$C$22)*(1+$C$23)*(1+$C$24)*(1+$C$25),IF(AND($D$24&gt;0,DL41&gt;=$E$24,$E$24&gt;0),$C$16*(1+$C$22)*(1+$C$23)*(1+$C$24),IF(AND($D$23&gt;0,DL41&gt;=$E$23,$E$23&gt;0),$C$16*(1+$C$22)*(1+$C$23),IF(AND($D$22&gt;0,DL41&gt;=$E$22,$E$22),$C$16*(1+$C$22),$C$16)))))))+DL62</f>
        <v>20810.111111111117</v>
      </c>
      <c r="DM44" s="121">
        <f>IF(AND($D$28&gt;0,DM41&gt;=$E$28,$E$28&gt;0),$C$16*(1+$C$22)*(1+$C$23)*(1+$C$24)*(1+$C$25)*(1+$C$26)*(1+$C$27)*(1+$C$28),IF(AND($D$27&gt;0,DM41&gt;=$E$27,$E$27&gt;0),$C$16*(1+$C$22)*(1+$C$23)*(1+$C$24)*(1+$C$25)*(1+$C$26)*(1+$C$27),IF(AND($D$26&gt;0,DM41&gt;=$E$26,$E$26&gt;0),$C$16*(1+$C$22)*(1+$C$23)*(1+$C$24)*(1+$C$25)*(1+$C$26),IF(AND($D$25&gt;0,DM41&gt;=$E$25,$E$25&gt;0),$C$16*(1+$C$22)*(1+$C$23)*(1+$C$24)*(1+$C$25),IF(AND($D$24&gt;0,DM41&gt;=$E$24,$E$24&gt;0),$C$16*(1+$C$22)*(1+$C$23)*(1+$C$24),IF(AND($D$23&gt;0,DM41&gt;=$E$23,$E$23&gt;0),$C$16*(1+$C$22)*(1+$C$23),IF(AND($D$22&gt;0,DM41&gt;=$E$22,$E$22),$C$16*(1+$C$22),$C$16)))))))+DM62</f>
        <v>20810.111111111117</v>
      </c>
      <c r="DN44" s="121">
        <f>IF(AND($D$28&gt;0,DN41&gt;=$E$28,$E$28&gt;0),$C$16*(1+$C$22)*(1+$C$23)*(1+$C$24)*(1+$C$25)*(1+$C$26)*(1+$C$27)*(1+$C$28),IF(AND($D$27&gt;0,DN41&gt;=$E$27,$E$27&gt;0),$C$16*(1+$C$22)*(1+$C$23)*(1+$C$24)*(1+$C$25)*(1+$C$26)*(1+$C$27),IF(AND($D$26&gt;0,DN41&gt;=$E$26,$E$26&gt;0),$C$16*(1+$C$22)*(1+$C$23)*(1+$C$24)*(1+$C$25)*(1+$C$26),IF(AND($D$25&gt;0,DN41&gt;=$E$25,$E$25&gt;0),$C$16*(1+$C$22)*(1+$C$23)*(1+$C$24)*(1+$C$25),IF(AND($D$24&gt;0,DN41&gt;=$E$24,$E$24&gt;0),$C$16*(1+$C$22)*(1+$C$23)*(1+$C$24),IF(AND($D$23&gt;0,DN41&gt;=$E$23,$E$23&gt;0),$C$16*(1+$C$22)*(1+$C$23),IF(AND($D$22&gt;0,DN41&gt;=$E$22,$E$22),$C$16*(1+$C$22),$C$16)))))))+DN62</f>
        <v>20810.111111111117</v>
      </c>
      <c r="DO44" s="121">
        <f>IF(AND($D$28&gt;0,DO41&gt;=$E$28,$E$28&gt;0),$C$16*(1+$C$22)*(1+$C$23)*(1+$C$24)*(1+$C$25)*(1+$C$26)*(1+$C$27)*(1+$C$28),IF(AND($D$27&gt;0,DO41&gt;=$E$27,$E$27&gt;0),$C$16*(1+$C$22)*(1+$C$23)*(1+$C$24)*(1+$C$25)*(1+$C$26)*(1+$C$27),IF(AND($D$26&gt;0,DO41&gt;=$E$26,$E$26&gt;0),$C$16*(1+$C$22)*(1+$C$23)*(1+$C$24)*(1+$C$25)*(1+$C$26),IF(AND($D$25&gt;0,DO41&gt;=$E$25,$E$25&gt;0),$C$16*(1+$C$22)*(1+$C$23)*(1+$C$24)*(1+$C$25),IF(AND($D$24&gt;0,DO41&gt;=$E$24,$E$24&gt;0),$C$16*(1+$C$22)*(1+$C$23)*(1+$C$24),IF(AND($D$23&gt;0,DO41&gt;=$E$23,$E$23&gt;0),$C$16*(1+$C$22)*(1+$C$23),IF(AND($D$22&gt;0,DO41&gt;=$E$22,$E$22),$C$16*(1+$C$22),$C$16)))))))+DO62</f>
        <v>20810.111111111117</v>
      </c>
      <c r="DP44" s="121">
        <f>IF(AND($D$28&gt;0,DP41&gt;=$E$28,$E$28&gt;0),$C$16*(1+$C$22)*(1+$C$23)*(1+$C$24)*(1+$C$25)*(1+$C$26)*(1+$C$27)*(1+$C$28),IF(AND($D$27&gt;0,DP41&gt;=$E$27,$E$27&gt;0),$C$16*(1+$C$22)*(1+$C$23)*(1+$C$24)*(1+$C$25)*(1+$C$26)*(1+$C$27),IF(AND($D$26&gt;0,DP41&gt;=$E$26,$E$26&gt;0),$C$16*(1+$C$22)*(1+$C$23)*(1+$C$24)*(1+$C$25)*(1+$C$26),IF(AND($D$25&gt;0,DP41&gt;=$E$25,$E$25&gt;0),$C$16*(1+$C$22)*(1+$C$23)*(1+$C$24)*(1+$C$25),IF(AND($D$24&gt;0,DP41&gt;=$E$24,$E$24&gt;0),$C$16*(1+$C$22)*(1+$C$23)*(1+$C$24),IF(AND($D$23&gt;0,DP41&gt;=$E$23,$E$23&gt;0),$C$16*(1+$C$22)*(1+$C$23),IF(AND($D$22&gt;0,DP41&gt;=$E$22,$E$22),$C$16*(1+$C$22),$C$16)))))))+DP62</f>
        <v>20810.111111111117</v>
      </c>
      <c r="DQ44" s="121">
        <f>IF(AND($D$28&gt;0,DQ41&gt;=$E$28,$E$28&gt;0),$C$16*(1+$C$22)*(1+$C$23)*(1+$C$24)*(1+$C$25)*(1+$C$26)*(1+$C$27)*(1+$C$28),IF(AND($D$27&gt;0,DQ41&gt;=$E$27,$E$27&gt;0),$C$16*(1+$C$22)*(1+$C$23)*(1+$C$24)*(1+$C$25)*(1+$C$26)*(1+$C$27),IF(AND($D$26&gt;0,DQ41&gt;=$E$26,$E$26&gt;0),$C$16*(1+$C$22)*(1+$C$23)*(1+$C$24)*(1+$C$25)*(1+$C$26),IF(AND($D$25&gt;0,DQ41&gt;=$E$25,$E$25&gt;0),$C$16*(1+$C$22)*(1+$C$23)*(1+$C$24)*(1+$C$25),IF(AND($D$24&gt;0,DQ41&gt;=$E$24,$E$24&gt;0),$C$16*(1+$C$22)*(1+$C$23)*(1+$C$24),IF(AND($D$23&gt;0,DQ41&gt;=$E$23,$E$23&gt;0),$C$16*(1+$C$22)*(1+$C$23),IF(AND($D$22&gt;0,DQ41&gt;=$E$22,$E$22),$C$16*(1+$C$22),$C$16)))))))+DQ62</f>
        <v>20810.111111111117</v>
      </c>
      <c r="DR44" s="121">
        <f>IF(AND($D$28&gt;0,DR41&gt;=$E$28,$E$28&gt;0),$C$16*(1+$C$22)*(1+$C$23)*(1+$C$24)*(1+$C$25)*(1+$C$26)*(1+$C$27)*(1+$C$28),IF(AND($D$27&gt;0,DR41&gt;=$E$27,$E$27&gt;0),$C$16*(1+$C$22)*(1+$C$23)*(1+$C$24)*(1+$C$25)*(1+$C$26)*(1+$C$27),IF(AND($D$26&gt;0,DR41&gt;=$E$26,$E$26&gt;0),$C$16*(1+$C$22)*(1+$C$23)*(1+$C$24)*(1+$C$25)*(1+$C$26),IF(AND($D$25&gt;0,DR41&gt;=$E$25,$E$25&gt;0),$C$16*(1+$C$22)*(1+$C$23)*(1+$C$24)*(1+$C$25),IF(AND($D$24&gt;0,DR41&gt;=$E$24,$E$24&gt;0),$C$16*(1+$C$22)*(1+$C$23)*(1+$C$24),IF(AND($D$23&gt;0,DR41&gt;=$E$23,$E$23&gt;0),$C$16*(1+$C$22)*(1+$C$23),IF(AND($D$22&gt;0,DR41&gt;=$E$22,$E$22),$C$16*(1+$C$22),$C$16)))))))+DR62</f>
        <v>20810.111111111117</v>
      </c>
      <c r="DS44" s="121">
        <f>IF(AND($D$28&gt;0,DS41&gt;=$E$28,$E$28&gt;0),$C$16*(1+$C$22)*(1+$C$23)*(1+$C$24)*(1+$C$25)*(1+$C$26)*(1+$C$27)*(1+$C$28),IF(AND($D$27&gt;0,DS41&gt;=$E$27,$E$27&gt;0),$C$16*(1+$C$22)*(1+$C$23)*(1+$C$24)*(1+$C$25)*(1+$C$26)*(1+$C$27),IF(AND($D$26&gt;0,DS41&gt;=$E$26,$E$26&gt;0),$C$16*(1+$C$22)*(1+$C$23)*(1+$C$24)*(1+$C$25)*(1+$C$26),IF(AND($D$25&gt;0,DS41&gt;=$E$25,$E$25&gt;0),$C$16*(1+$C$22)*(1+$C$23)*(1+$C$24)*(1+$C$25),IF(AND($D$24&gt;0,DS41&gt;=$E$24,$E$24&gt;0),$C$16*(1+$C$22)*(1+$C$23)*(1+$C$24),IF(AND($D$23&gt;0,DS41&gt;=$E$23,$E$23&gt;0),$C$16*(1+$C$22)*(1+$C$23),IF(AND($D$22&gt;0,DS41&gt;=$E$22,$E$22),$C$16*(1+$C$22),$C$16)))))))+DS62</f>
        <v>1620.1111111111168</v>
      </c>
      <c r="DT44" s="121">
        <f>IF(AND($D$28&gt;0,DT41&gt;=$E$28,$E$28&gt;0),$C$16*(1+$C$22)*(1+$C$23)*(1+$C$24)*(1+$C$25)*(1+$C$26)*(1+$C$27)*(1+$C$28),IF(AND($D$27&gt;0,DT41&gt;=$E$27,$E$27&gt;0),$C$16*(1+$C$22)*(1+$C$23)*(1+$C$24)*(1+$C$25)*(1+$C$26)*(1+$C$27),IF(AND($D$26&gt;0,DT41&gt;=$E$26,$E$26&gt;0),$C$16*(1+$C$22)*(1+$C$23)*(1+$C$24)*(1+$C$25)*(1+$C$26),IF(AND($D$25&gt;0,DT41&gt;=$E$25,$E$25&gt;0),$C$16*(1+$C$22)*(1+$C$23)*(1+$C$24)*(1+$C$25),IF(AND($D$24&gt;0,DT41&gt;=$E$24,$E$24&gt;0),$C$16*(1+$C$22)*(1+$C$23)*(1+$C$24),IF(AND($D$23&gt;0,DT41&gt;=$E$23,$E$23&gt;0),$C$16*(1+$C$22)*(1+$C$23),IF(AND($D$22&gt;0,DT41&gt;=$E$22,$E$22),$C$16*(1+$C$22),$C$16)))))))+DT62</f>
        <v>0.11111111111677019</v>
      </c>
      <c r="DU44" s="121">
        <f>IF(AND($D$28&gt;0,DU41&gt;=$E$28,$E$28&gt;0),$C$16*(1+$C$22)*(1+$C$23)*(1+$C$24)*(1+$C$25)*(1+$C$26)*(1+$C$27)*(1+$C$28),IF(AND($D$27&gt;0,DU41&gt;=$E$27,$E$27&gt;0),$C$16*(1+$C$22)*(1+$C$23)*(1+$C$24)*(1+$C$25)*(1+$C$26)*(1+$C$27),IF(AND($D$26&gt;0,DU41&gt;=$E$26,$E$26&gt;0),$C$16*(1+$C$22)*(1+$C$23)*(1+$C$24)*(1+$C$25)*(1+$C$26),IF(AND($D$25&gt;0,DU41&gt;=$E$25,$E$25&gt;0),$C$16*(1+$C$22)*(1+$C$23)*(1+$C$24)*(1+$C$25),IF(AND($D$24&gt;0,DU41&gt;=$E$24,$E$24&gt;0),$C$16*(1+$C$22)*(1+$C$23)*(1+$C$24),IF(AND($D$23&gt;0,DU41&gt;=$E$23,$E$23&gt;0),$C$16*(1+$C$22)*(1+$C$23),IF(AND($D$22&gt;0,DU41&gt;=$E$22,$E$22),$C$16*(1+$C$22),$C$16)))))))+DU62</f>
        <v>23810.111111111117</v>
      </c>
      <c r="DV44" s="121">
        <f>IF(AND($D$28&gt;0,DV41&gt;=$E$28,$E$28&gt;0),$C$16*(1+$C$22)*(1+$C$23)*(1+$C$24)*(1+$C$25)*(1+$C$26)*(1+$C$27)*(1+$C$28),IF(AND($D$27&gt;0,DV41&gt;=$E$27,$E$27&gt;0),$C$16*(1+$C$22)*(1+$C$23)*(1+$C$24)*(1+$C$25)*(1+$C$26)*(1+$C$27),IF(AND($D$26&gt;0,DV41&gt;=$E$26,$E$26&gt;0),$C$16*(1+$C$22)*(1+$C$23)*(1+$C$24)*(1+$C$25)*(1+$C$26),IF(AND($D$25&gt;0,DV41&gt;=$E$25,$E$25&gt;0),$C$16*(1+$C$22)*(1+$C$23)*(1+$C$24)*(1+$C$25),IF(AND($D$24&gt;0,DV41&gt;=$E$24,$E$24&gt;0),$C$16*(1+$C$22)*(1+$C$23)*(1+$C$24),IF(AND($D$23&gt;0,DV41&gt;=$E$23,$E$23&gt;0),$C$16*(1+$C$22)*(1+$C$23),IF(AND($D$22&gt;0,DV41&gt;=$E$22,$E$22),$C$16*(1+$C$22),$C$16)))))))+DV62</f>
        <v>23810.111111111117</v>
      </c>
      <c r="DW44" s="121">
        <f>IF(AND($D$28&gt;0,DW41&gt;=$E$28,$E$28&gt;0),$C$16*(1+$C$22)*(1+$C$23)*(1+$C$24)*(1+$C$25)*(1+$C$26)*(1+$C$27)*(1+$C$28),IF(AND($D$27&gt;0,DW41&gt;=$E$27,$E$27&gt;0),$C$16*(1+$C$22)*(1+$C$23)*(1+$C$24)*(1+$C$25)*(1+$C$26)*(1+$C$27),IF(AND($D$26&gt;0,DW41&gt;=$E$26,$E$26&gt;0),$C$16*(1+$C$22)*(1+$C$23)*(1+$C$24)*(1+$C$25)*(1+$C$26),IF(AND($D$25&gt;0,DW41&gt;=$E$25,$E$25&gt;0),$C$16*(1+$C$22)*(1+$C$23)*(1+$C$24)*(1+$C$25),IF(AND($D$24&gt;0,DW41&gt;=$E$24,$E$24&gt;0),$C$16*(1+$C$22)*(1+$C$23)*(1+$C$24),IF(AND($D$23&gt;0,DW41&gt;=$E$23,$E$23&gt;0),$C$16*(1+$C$22)*(1+$C$23),IF(AND($D$22&gt;0,DW41&gt;=$E$22,$E$22),$C$16*(1+$C$22),$C$16)))))))+DW62</f>
        <v>23810.111111111117</v>
      </c>
      <c r="DX44" s="121">
        <f>IF(AND($D$28&gt;0,DX41&gt;=$E$28,$E$28&gt;0),$C$16*(1+$C$22)*(1+$C$23)*(1+$C$24)*(1+$C$25)*(1+$C$26)*(1+$C$27)*(1+$C$28),IF(AND($D$27&gt;0,DX41&gt;=$E$27,$E$27&gt;0),$C$16*(1+$C$22)*(1+$C$23)*(1+$C$24)*(1+$C$25)*(1+$C$26)*(1+$C$27),IF(AND($D$26&gt;0,DX41&gt;=$E$26,$E$26&gt;0),$C$16*(1+$C$22)*(1+$C$23)*(1+$C$24)*(1+$C$25)*(1+$C$26),IF(AND($D$25&gt;0,DX41&gt;=$E$25,$E$25&gt;0),$C$16*(1+$C$22)*(1+$C$23)*(1+$C$24)*(1+$C$25),IF(AND($D$24&gt;0,DX41&gt;=$E$24,$E$24&gt;0),$C$16*(1+$C$22)*(1+$C$23)*(1+$C$24),IF(AND($D$23&gt;0,DX41&gt;=$E$23,$E$23&gt;0),$C$16*(1+$C$22)*(1+$C$23),IF(AND($D$22&gt;0,DX41&gt;=$E$22,$E$22),$C$16*(1+$C$22),$C$16)))))))+DX62</f>
        <v>23810.111111111117</v>
      </c>
      <c r="DY44" s="121">
        <f>IF(AND($D$28&gt;0,DY41&gt;=$E$28,$E$28&gt;0),$C$16*(1+$C$22)*(1+$C$23)*(1+$C$24)*(1+$C$25)*(1+$C$26)*(1+$C$27)*(1+$C$28),IF(AND($D$27&gt;0,DY41&gt;=$E$27,$E$27&gt;0),$C$16*(1+$C$22)*(1+$C$23)*(1+$C$24)*(1+$C$25)*(1+$C$26)*(1+$C$27),IF(AND($D$26&gt;0,DY41&gt;=$E$26,$E$26&gt;0),$C$16*(1+$C$22)*(1+$C$23)*(1+$C$24)*(1+$C$25)*(1+$C$26),IF(AND($D$25&gt;0,DY41&gt;=$E$25,$E$25&gt;0),$C$16*(1+$C$22)*(1+$C$23)*(1+$C$24)*(1+$C$25),IF(AND($D$24&gt;0,DY41&gt;=$E$24,$E$24&gt;0),$C$16*(1+$C$22)*(1+$C$23)*(1+$C$24),IF(AND($D$23&gt;0,DY41&gt;=$E$23,$E$23&gt;0),$C$16*(1+$C$22)*(1+$C$23),IF(AND($D$22&gt;0,DY41&gt;=$E$22,$E$22),$C$16*(1+$C$22),$C$16)))))))+DY62</f>
        <v>23810.111111111117</v>
      </c>
      <c r="DZ44" s="121">
        <f>IF(AND($D$28&gt;0,DZ41&gt;=$E$28,$E$28&gt;0),$C$16*(1+$C$22)*(1+$C$23)*(1+$C$24)*(1+$C$25)*(1+$C$26)*(1+$C$27)*(1+$C$28),IF(AND($D$27&gt;0,DZ41&gt;=$E$27,$E$27&gt;0),$C$16*(1+$C$22)*(1+$C$23)*(1+$C$24)*(1+$C$25)*(1+$C$26)*(1+$C$27),IF(AND($D$26&gt;0,DZ41&gt;=$E$26,$E$26&gt;0),$C$16*(1+$C$22)*(1+$C$23)*(1+$C$24)*(1+$C$25)*(1+$C$26),IF(AND($D$25&gt;0,DZ41&gt;=$E$25,$E$25&gt;0),$C$16*(1+$C$22)*(1+$C$23)*(1+$C$24)*(1+$C$25),IF(AND($D$24&gt;0,DZ41&gt;=$E$24,$E$24&gt;0),$C$16*(1+$C$22)*(1+$C$23)*(1+$C$24),IF(AND($D$23&gt;0,DZ41&gt;=$E$23,$E$23&gt;0),$C$16*(1+$C$22)*(1+$C$23),IF(AND($D$22&gt;0,DZ41&gt;=$E$22,$E$22),$C$16*(1+$C$22),$C$16)))))))+DZ62</f>
        <v>23810.111111111117</v>
      </c>
      <c r="EA44" s="121">
        <f>IF(AND($D$28&gt;0,EA41&gt;=$E$28,$E$28&gt;0),$C$16*(1+$C$22)*(1+$C$23)*(1+$C$24)*(1+$C$25)*(1+$C$26)*(1+$C$27)*(1+$C$28),IF(AND($D$27&gt;0,EA41&gt;=$E$27,$E$27&gt;0),$C$16*(1+$C$22)*(1+$C$23)*(1+$C$24)*(1+$C$25)*(1+$C$26)*(1+$C$27),IF(AND($D$26&gt;0,EA41&gt;=$E$26,$E$26&gt;0),$C$16*(1+$C$22)*(1+$C$23)*(1+$C$24)*(1+$C$25)*(1+$C$26),IF(AND($D$25&gt;0,EA41&gt;=$E$25,$E$25&gt;0),$C$16*(1+$C$22)*(1+$C$23)*(1+$C$24)*(1+$C$25),IF(AND($D$24&gt;0,EA41&gt;=$E$24,$E$24&gt;0),$C$16*(1+$C$22)*(1+$C$23)*(1+$C$24),IF(AND($D$23&gt;0,EA41&gt;=$E$23,$E$23&gt;0),$C$16*(1+$C$22)*(1+$C$23),IF(AND($D$22&gt;0,EA41&gt;=$E$22,$E$22),$C$16*(1+$C$22),$C$16)))))))+EA62</f>
        <v>23810.111111111117</v>
      </c>
      <c r="EB44" s="121">
        <f>IF(AND($D$28&gt;0,EB41&gt;=$E$28,$E$28&gt;0),$C$16*(1+$C$22)*(1+$C$23)*(1+$C$24)*(1+$C$25)*(1+$C$26)*(1+$C$27)*(1+$C$28),IF(AND($D$27&gt;0,EB41&gt;=$E$27,$E$27&gt;0),$C$16*(1+$C$22)*(1+$C$23)*(1+$C$24)*(1+$C$25)*(1+$C$26)*(1+$C$27),IF(AND($D$26&gt;0,EB41&gt;=$E$26,$E$26&gt;0),$C$16*(1+$C$22)*(1+$C$23)*(1+$C$24)*(1+$C$25)*(1+$C$26),IF(AND($D$25&gt;0,EB41&gt;=$E$25,$E$25&gt;0),$C$16*(1+$C$22)*(1+$C$23)*(1+$C$24)*(1+$C$25),IF(AND($D$24&gt;0,EB41&gt;=$E$24,$E$24&gt;0),$C$16*(1+$C$22)*(1+$C$23)*(1+$C$24),IF(AND($D$23&gt;0,EB41&gt;=$E$23,$E$23&gt;0),$C$16*(1+$C$22)*(1+$C$23),IF(AND($D$22&gt;0,EB41&gt;=$E$22,$E$22),$C$16*(1+$C$22),$C$16)))))))+EB62</f>
        <v>23810.111111111117</v>
      </c>
      <c r="EC44" s="121">
        <f>IF(AND($D$28&gt;0,EC41&gt;=$E$28,$E$28&gt;0),$C$16*(1+$C$22)*(1+$C$23)*(1+$C$24)*(1+$C$25)*(1+$C$26)*(1+$C$27)*(1+$C$28),IF(AND($D$27&gt;0,EC41&gt;=$E$27,$E$27&gt;0),$C$16*(1+$C$22)*(1+$C$23)*(1+$C$24)*(1+$C$25)*(1+$C$26)*(1+$C$27),IF(AND($D$26&gt;0,EC41&gt;=$E$26,$E$26&gt;0),$C$16*(1+$C$22)*(1+$C$23)*(1+$C$24)*(1+$C$25)*(1+$C$26),IF(AND($D$25&gt;0,EC41&gt;=$E$25,$E$25&gt;0),$C$16*(1+$C$22)*(1+$C$23)*(1+$C$24)*(1+$C$25),IF(AND($D$24&gt;0,EC41&gt;=$E$24,$E$24&gt;0),$C$16*(1+$C$22)*(1+$C$23)*(1+$C$24),IF(AND($D$23&gt;0,EC41&gt;=$E$23,$E$23&gt;0),$C$16*(1+$C$22)*(1+$C$23),IF(AND($D$22&gt;0,EC41&gt;=$E$22,$E$22),$C$16*(1+$C$22),$C$16)))))))+EC62</f>
        <v>23810.111111111117</v>
      </c>
      <c r="ED44" s="121">
        <f>IF(AND($D$28&gt;0,ED41&gt;=$E$28,$E$28&gt;0),$C$16*(1+$C$22)*(1+$C$23)*(1+$C$24)*(1+$C$25)*(1+$C$26)*(1+$C$27)*(1+$C$28),IF(AND($D$27&gt;0,ED41&gt;=$E$27,$E$27&gt;0),$C$16*(1+$C$22)*(1+$C$23)*(1+$C$24)*(1+$C$25)*(1+$C$26)*(1+$C$27),IF(AND($D$26&gt;0,ED41&gt;=$E$26,$E$26&gt;0),$C$16*(1+$C$22)*(1+$C$23)*(1+$C$24)*(1+$C$25)*(1+$C$26),IF(AND($D$25&gt;0,ED41&gt;=$E$25,$E$25&gt;0),$C$16*(1+$C$22)*(1+$C$23)*(1+$C$24)*(1+$C$25),IF(AND($D$24&gt;0,ED41&gt;=$E$24,$E$24&gt;0),$C$16*(1+$C$22)*(1+$C$23)*(1+$C$24),IF(AND($D$23&gt;0,ED41&gt;=$E$23,$E$23&gt;0),$C$16*(1+$C$22)*(1+$C$23),IF(AND($D$22&gt;0,ED41&gt;=$E$22,$E$22),$C$16*(1+$C$22),$C$16)))))))+ED62</f>
        <v>23810.111111111117</v>
      </c>
      <c r="EE44" s="121">
        <f>IF(AND($D$28&gt;0,EE41&gt;=$E$28,$E$28&gt;0),$C$16*(1+$C$22)*(1+$C$23)*(1+$C$24)*(1+$C$25)*(1+$C$26)*(1+$C$27)*(1+$C$28),IF(AND($D$27&gt;0,EE41&gt;=$E$27,$E$27&gt;0),$C$16*(1+$C$22)*(1+$C$23)*(1+$C$24)*(1+$C$25)*(1+$C$26)*(1+$C$27),IF(AND($D$26&gt;0,EE41&gt;=$E$26,$E$26&gt;0),$C$16*(1+$C$22)*(1+$C$23)*(1+$C$24)*(1+$C$25)*(1+$C$26),IF(AND($D$25&gt;0,EE41&gt;=$E$25,$E$25&gt;0),$C$16*(1+$C$22)*(1+$C$23)*(1+$C$24)*(1+$C$25),IF(AND($D$24&gt;0,EE41&gt;=$E$24,$E$24&gt;0),$C$16*(1+$C$22)*(1+$C$23)*(1+$C$24),IF(AND($D$23&gt;0,EE41&gt;=$E$23,$E$23&gt;0),$C$16*(1+$C$22)*(1+$C$23),IF(AND($D$22&gt;0,EE41&gt;=$E$22,$E$22),$C$16*(1+$C$22),$C$16)))))))+EE62</f>
        <v>23810.111111111117</v>
      </c>
      <c r="EF44" s="121">
        <f>IF(AND($D$28&gt;0,EF41&gt;=$E$28,$E$28&gt;0),$C$16*(1+$C$22)*(1+$C$23)*(1+$C$24)*(1+$C$25)*(1+$C$26)*(1+$C$27)*(1+$C$28),IF(AND($D$27&gt;0,EF41&gt;=$E$27,$E$27&gt;0),$C$16*(1+$C$22)*(1+$C$23)*(1+$C$24)*(1+$C$25)*(1+$C$26)*(1+$C$27),IF(AND($D$26&gt;0,EF41&gt;=$E$26,$E$26&gt;0),$C$16*(1+$C$22)*(1+$C$23)*(1+$C$24)*(1+$C$25)*(1+$C$26),IF(AND($D$25&gt;0,EF41&gt;=$E$25,$E$25&gt;0),$C$16*(1+$C$22)*(1+$C$23)*(1+$C$24)*(1+$C$25),IF(AND($D$24&gt;0,EF41&gt;=$E$24,$E$24&gt;0),$C$16*(1+$C$22)*(1+$C$23)*(1+$C$24),IF(AND($D$23&gt;0,EF41&gt;=$E$23,$E$23&gt;0),$C$16*(1+$C$22)*(1+$C$23),IF(AND($D$22&gt;0,EF41&gt;=$E$22,$E$22),$C$16*(1+$C$22),$C$16)))))))+EF62</f>
        <v>23810.111111111117</v>
      </c>
      <c r="EG44" s="121">
        <f>IF(AND($D$28&gt;0,EG41&gt;=$E$28,$E$28&gt;0),$C$16*(1+$C$22)*(1+$C$23)*(1+$C$24)*(1+$C$25)*(1+$C$26)*(1+$C$27)*(1+$C$28),IF(AND($D$27&gt;0,EG41&gt;=$E$27,$E$27&gt;0),$C$16*(1+$C$22)*(1+$C$23)*(1+$C$24)*(1+$C$25)*(1+$C$26)*(1+$C$27),IF(AND($D$26&gt;0,EG41&gt;=$E$26,$E$26&gt;0),$C$16*(1+$C$22)*(1+$C$23)*(1+$C$24)*(1+$C$25)*(1+$C$26),IF(AND($D$25&gt;0,EG41&gt;=$E$25,$E$25&gt;0),$C$16*(1+$C$22)*(1+$C$23)*(1+$C$24)*(1+$C$25),IF(AND($D$24&gt;0,EG41&gt;=$E$24,$E$24&gt;0),$C$16*(1+$C$22)*(1+$C$23)*(1+$C$24),IF(AND($D$23&gt;0,EG41&gt;=$E$23,$E$23&gt;0),$C$16*(1+$C$22)*(1+$C$23),IF(AND($D$22&gt;0,EG41&gt;=$E$22,$E$22),$C$16*(1+$C$22),$C$16)))))))+EG62</f>
        <v>23810.111111111117</v>
      </c>
      <c r="EH44" s="121">
        <f>IF(AND($D$28&gt;0,EH41&gt;=$E$28,$E$28&gt;0),$C$16*(1+$C$22)*(1+$C$23)*(1+$C$24)*(1+$C$25)*(1+$C$26)*(1+$C$27)*(1+$C$28),IF(AND($D$27&gt;0,EH41&gt;=$E$27,$E$27&gt;0),$C$16*(1+$C$22)*(1+$C$23)*(1+$C$24)*(1+$C$25)*(1+$C$26)*(1+$C$27),IF(AND($D$26&gt;0,EH41&gt;=$E$26,$E$26&gt;0),$C$16*(1+$C$22)*(1+$C$23)*(1+$C$24)*(1+$C$25)*(1+$C$26),IF(AND($D$25&gt;0,EH41&gt;=$E$25,$E$25&gt;0),$C$16*(1+$C$22)*(1+$C$23)*(1+$C$24)*(1+$C$25),IF(AND($D$24&gt;0,EH41&gt;=$E$24,$E$24&gt;0),$C$16*(1+$C$22)*(1+$C$23)*(1+$C$24),IF(AND($D$23&gt;0,EH41&gt;=$E$23,$E$23&gt;0),$C$16*(1+$C$22)*(1+$C$23),IF(AND($D$22&gt;0,EH41&gt;=$E$22,$E$22),$C$16*(1+$C$22),$C$16)))))))+EH62</f>
        <v>23810.111111111117</v>
      </c>
    </row>
    <row r="45" spans="1:138" s="3" customFormat="1" x14ac:dyDescent="0.35">
      <c r="A45" s="98" t="s">
        <v>36</v>
      </c>
      <c r="B45" s="22"/>
      <c r="C45" s="23"/>
      <c r="E45" s="3">
        <f>SUMIFS(F45:BN45,F42:BN42,"&lt;="&amp;E6)</f>
        <v>0</v>
      </c>
      <c r="F45" s="3">
        <v>0</v>
      </c>
      <c r="I45" s="3">
        <f t="shared" ref="I45:BT45" si="9">IF(AND($D$28&gt;0,I41&gt;=$E$28,$E$28&gt;0),$C$17*(1+$C$22)*(1+$C$23)*(1+$C$24)*(1+$C$25)*(1+$C$26)*(1+$C$27)*(1+$C$28),IF(AND($D$27&gt;0,I41&gt;=$E$27,$E$27&gt;0),$C$17*(1+$C$22)*(1+$C$23)*(1+$C$24)*(1+$C$25)*(1+$C$26)*(1+$C$27),IF(AND($D$26&gt;0,I41&gt;=$E$26,$E$26&gt;0),$C$17*(1+$C$22)*(1+$C$23)*(1+$C$24)*(1+$C$25)*(1+$C$26),IF(AND($D$25&gt;0,I41&gt;=$E$25,$E$25&gt;0),$C$17*(1+$C$22)*(1+$C$23)*(1+$C$24)*(1+$C$25),IF(AND($D$24&gt;0,I41&gt;=$E$24,$E$24&gt;0),$C$17*(1+$C$22)*(1+$C$23)*(1+$C$24),IF(AND($D$23&gt;0,I41&gt;=$E$23,$E$23&gt;0),$C$17*(1+$C$22)*(1+$C$23),IF(AND($D$22&gt;0,I41&gt;=$E$22,$E$22),$C$17*(1+$C$22),$C$17)))))))</f>
        <v>0</v>
      </c>
      <c r="J45" s="3">
        <f t="shared" si="9"/>
        <v>0</v>
      </c>
      <c r="K45" s="3">
        <f t="shared" si="9"/>
        <v>0</v>
      </c>
      <c r="L45" s="3">
        <f t="shared" si="9"/>
        <v>0</v>
      </c>
      <c r="M45" s="3">
        <f t="shared" si="9"/>
        <v>0</v>
      </c>
      <c r="N45" s="3">
        <f t="shared" si="9"/>
        <v>0</v>
      </c>
      <c r="O45" s="3">
        <f t="shared" si="9"/>
        <v>0</v>
      </c>
      <c r="P45" s="3">
        <f t="shared" si="9"/>
        <v>0</v>
      </c>
      <c r="Q45" s="3">
        <f t="shared" si="9"/>
        <v>0</v>
      </c>
      <c r="R45" s="3">
        <f t="shared" si="9"/>
        <v>0</v>
      </c>
      <c r="S45" s="3">
        <f t="shared" si="9"/>
        <v>0</v>
      </c>
      <c r="T45" s="3">
        <f t="shared" si="9"/>
        <v>0</v>
      </c>
      <c r="U45" s="3">
        <f t="shared" si="9"/>
        <v>0</v>
      </c>
      <c r="V45" s="3">
        <f t="shared" si="9"/>
        <v>0</v>
      </c>
      <c r="W45" s="3">
        <f t="shared" si="9"/>
        <v>0</v>
      </c>
      <c r="X45" s="3">
        <f t="shared" si="9"/>
        <v>0</v>
      </c>
      <c r="Y45" s="3">
        <f t="shared" si="9"/>
        <v>0</v>
      </c>
      <c r="Z45" s="3">
        <f t="shared" si="9"/>
        <v>0</v>
      </c>
      <c r="AA45" s="3">
        <f t="shared" si="9"/>
        <v>0</v>
      </c>
      <c r="AB45" s="3">
        <f t="shared" si="9"/>
        <v>0</v>
      </c>
      <c r="AC45" s="3">
        <f t="shared" si="9"/>
        <v>0</v>
      </c>
      <c r="AD45" s="3">
        <f t="shared" si="9"/>
        <v>0</v>
      </c>
      <c r="AE45" s="3">
        <f t="shared" si="9"/>
        <v>0</v>
      </c>
      <c r="AF45" s="3">
        <f t="shared" si="9"/>
        <v>0</v>
      </c>
      <c r="AG45" s="3">
        <f t="shared" si="9"/>
        <v>0</v>
      </c>
      <c r="AH45" s="3">
        <f t="shared" si="9"/>
        <v>0</v>
      </c>
      <c r="AI45" s="3">
        <f t="shared" si="9"/>
        <v>0</v>
      </c>
      <c r="AJ45" s="3">
        <f t="shared" si="9"/>
        <v>0</v>
      </c>
      <c r="AK45" s="3">
        <f t="shared" si="9"/>
        <v>0</v>
      </c>
      <c r="AL45" s="3">
        <f t="shared" si="9"/>
        <v>0</v>
      </c>
      <c r="AM45" s="3">
        <f t="shared" si="9"/>
        <v>0</v>
      </c>
      <c r="AN45" s="3">
        <f t="shared" si="9"/>
        <v>0</v>
      </c>
      <c r="AO45" s="3">
        <f t="shared" si="9"/>
        <v>0</v>
      </c>
      <c r="AP45" s="3">
        <f t="shared" si="9"/>
        <v>0</v>
      </c>
      <c r="AQ45" s="3">
        <f t="shared" si="9"/>
        <v>0</v>
      </c>
      <c r="AR45" s="3">
        <f t="shared" si="9"/>
        <v>0</v>
      </c>
      <c r="AS45" s="3">
        <f t="shared" si="9"/>
        <v>0</v>
      </c>
      <c r="AT45" s="3">
        <f t="shared" si="9"/>
        <v>0</v>
      </c>
      <c r="AU45" s="3">
        <f t="shared" si="9"/>
        <v>0</v>
      </c>
      <c r="AV45" s="3">
        <f t="shared" si="9"/>
        <v>0</v>
      </c>
      <c r="AW45" s="3">
        <f t="shared" si="9"/>
        <v>0</v>
      </c>
      <c r="AX45" s="3">
        <f t="shared" si="9"/>
        <v>0</v>
      </c>
      <c r="AY45" s="3">
        <f t="shared" si="9"/>
        <v>0</v>
      </c>
      <c r="AZ45" s="3">
        <f t="shared" si="9"/>
        <v>0</v>
      </c>
      <c r="BA45" s="3">
        <f t="shared" si="9"/>
        <v>0</v>
      </c>
      <c r="BB45" s="3">
        <f t="shared" si="9"/>
        <v>0</v>
      </c>
      <c r="BC45" s="3">
        <f t="shared" si="9"/>
        <v>0</v>
      </c>
      <c r="BD45" s="3">
        <f t="shared" si="9"/>
        <v>0</v>
      </c>
      <c r="BE45" s="3">
        <f t="shared" si="9"/>
        <v>0</v>
      </c>
      <c r="BF45" s="3">
        <f t="shared" si="9"/>
        <v>0</v>
      </c>
      <c r="BG45" s="3">
        <f t="shared" si="9"/>
        <v>0</v>
      </c>
      <c r="BH45" s="3">
        <f t="shared" si="9"/>
        <v>0</v>
      </c>
      <c r="BI45" s="3">
        <f t="shared" si="9"/>
        <v>0</v>
      </c>
      <c r="BJ45" s="3">
        <f t="shared" si="9"/>
        <v>0</v>
      </c>
      <c r="BK45" s="3">
        <f t="shared" si="9"/>
        <v>0</v>
      </c>
      <c r="BL45" s="3">
        <f t="shared" si="9"/>
        <v>0</v>
      </c>
      <c r="BM45" s="3">
        <f t="shared" si="9"/>
        <v>0</v>
      </c>
      <c r="BN45" s="3">
        <f t="shared" si="9"/>
        <v>0</v>
      </c>
      <c r="BO45" s="3">
        <f t="shared" si="9"/>
        <v>0</v>
      </c>
      <c r="BP45" s="3">
        <f t="shared" si="9"/>
        <v>0</v>
      </c>
      <c r="BQ45" s="3">
        <f t="shared" si="9"/>
        <v>0</v>
      </c>
      <c r="BR45" s="3">
        <f t="shared" si="9"/>
        <v>0</v>
      </c>
      <c r="BS45" s="3">
        <f t="shared" si="9"/>
        <v>0</v>
      </c>
      <c r="BT45" s="3">
        <f t="shared" si="9"/>
        <v>0</v>
      </c>
      <c r="BU45" s="3">
        <f t="shared" ref="BU45:EF45" si="10">IF(AND($D$28&gt;0,BU41&gt;=$E$28,$E$28&gt;0),$C$17*(1+$C$22)*(1+$C$23)*(1+$C$24)*(1+$C$25)*(1+$C$26)*(1+$C$27)*(1+$C$28),IF(AND($D$27&gt;0,BU41&gt;=$E$27,$E$27&gt;0),$C$17*(1+$C$22)*(1+$C$23)*(1+$C$24)*(1+$C$25)*(1+$C$26)*(1+$C$27),IF(AND($D$26&gt;0,BU41&gt;=$E$26,$E$26&gt;0),$C$17*(1+$C$22)*(1+$C$23)*(1+$C$24)*(1+$C$25)*(1+$C$26),IF(AND($D$25&gt;0,BU41&gt;=$E$25,$E$25&gt;0),$C$17*(1+$C$22)*(1+$C$23)*(1+$C$24)*(1+$C$25),IF(AND($D$24&gt;0,BU41&gt;=$E$24,$E$24&gt;0),$C$17*(1+$C$22)*(1+$C$23)*(1+$C$24),IF(AND($D$23&gt;0,BU41&gt;=$E$23,$E$23&gt;0),$C$17*(1+$C$22)*(1+$C$23),IF(AND($D$22&gt;0,BU41&gt;=$E$22,$E$22),$C$17*(1+$C$22),$C$17)))))))</f>
        <v>0</v>
      </c>
      <c r="BV45" s="3">
        <f t="shared" si="10"/>
        <v>0</v>
      </c>
      <c r="BW45" s="3">
        <f t="shared" si="10"/>
        <v>0</v>
      </c>
      <c r="BX45" s="3">
        <f t="shared" si="10"/>
        <v>0</v>
      </c>
      <c r="BY45" s="3">
        <f t="shared" si="10"/>
        <v>0</v>
      </c>
      <c r="BZ45" s="3">
        <f t="shared" si="10"/>
        <v>0</v>
      </c>
      <c r="CA45" s="3">
        <f t="shared" si="10"/>
        <v>0</v>
      </c>
      <c r="CB45" s="3">
        <f t="shared" si="10"/>
        <v>0</v>
      </c>
      <c r="CC45" s="3">
        <f t="shared" si="10"/>
        <v>0</v>
      </c>
      <c r="CD45" s="3">
        <f t="shared" si="10"/>
        <v>0</v>
      </c>
      <c r="CE45" s="3">
        <f t="shared" si="10"/>
        <v>0</v>
      </c>
      <c r="CF45" s="3">
        <f t="shared" si="10"/>
        <v>0</v>
      </c>
      <c r="CG45" s="3">
        <f t="shared" si="10"/>
        <v>0</v>
      </c>
      <c r="CH45" s="3">
        <f t="shared" si="10"/>
        <v>0</v>
      </c>
      <c r="CI45" s="3">
        <f t="shared" si="10"/>
        <v>0</v>
      </c>
      <c r="CJ45" s="3">
        <f t="shared" si="10"/>
        <v>0</v>
      </c>
      <c r="CK45" s="3">
        <f t="shared" si="10"/>
        <v>0</v>
      </c>
      <c r="CL45" s="3">
        <f t="shared" si="10"/>
        <v>0</v>
      </c>
      <c r="CM45" s="3">
        <f t="shared" si="10"/>
        <v>0</v>
      </c>
      <c r="CN45" s="3">
        <f t="shared" si="10"/>
        <v>0</v>
      </c>
      <c r="CO45" s="3">
        <f t="shared" si="10"/>
        <v>0</v>
      </c>
      <c r="CP45" s="3">
        <f t="shared" si="10"/>
        <v>0</v>
      </c>
      <c r="CQ45" s="3">
        <f t="shared" si="10"/>
        <v>0</v>
      </c>
      <c r="CR45" s="3">
        <f t="shared" si="10"/>
        <v>0</v>
      </c>
      <c r="CS45" s="3">
        <f t="shared" si="10"/>
        <v>0</v>
      </c>
      <c r="CT45" s="3">
        <f t="shared" si="10"/>
        <v>0</v>
      </c>
      <c r="CU45" s="3">
        <f t="shared" si="10"/>
        <v>0</v>
      </c>
      <c r="CV45" s="3">
        <f t="shared" si="10"/>
        <v>0</v>
      </c>
      <c r="CW45" s="3">
        <f t="shared" si="10"/>
        <v>0</v>
      </c>
      <c r="CX45" s="3">
        <f t="shared" si="10"/>
        <v>0</v>
      </c>
      <c r="CY45" s="3">
        <f t="shared" si="10"/>
        <v>0</v>
      </c>
      <c r="CZ45" s="3">
        <f t="shared" si="10"/>
        <v>0</v>
      </c>
      <c r="DA45" s="3">
        <f t="shared" si="10"/>
        <v>0</v>
      </c>
      <c r="DB45" s="3">
        <f t="shared" si="10"/>
        <v>0</v>
      </c>
      <c r="DC45" s="3">
        <f t="shared" si="10"/>
        <v>0</v>
      </c>
      <c r="DD45" s="3">
        <f t="shared" si="10"/>
        <v>0</v>
      </c>
      <c r="DE45" s="3">
        <f t="shared" si="10"/>
        <v>0</v>
      </c>
      <c r="DF45" s="3">
        <f t="shared" si="10"/>
        <v>0</v>
      </c>
      <c r="DG45" s="3">
        <f t="shared" si="10"/>
        <v>0</v>
      </c>
      <c r="DH45" s="3">
        <f t="shared" si="10"/>
        <v>0</v>
      </c>
      <c r="DI45" s="3">
        <f t="shared" si="10"/>
        <v>0</v>
      </c>
      <c r="DJ45" s="3">
        <f t="shared" si="10"/>
        <v>0</v>
      </c>
      <c r="DK45" s="3">
        <f t="shared" si="10"/>
        <v>0</v>
      </c>
      <c r="DL45" s="3">
        <f t="shared" si="10"/>
        <v>0</v>
      </c>
      <c r="DM45" s="3">
        <f t="shared" si="10"/>
        <v>0</v>
      </c>
      <c r="DN45" s="3">
        <f t="shared" si="10"/>
        <v>0</v>
      </c>
      <c r="DO45" s="3">
        <f t="shared" si="10"/>
        <v>0</v>
      </c>
      <c r="DP45" s="3">
        <f t="shared" si="10"/>
        <v>0</v>
      </c>
      <c r="DQ45" s="3">
        <f t="shared" si="10"/>
        <v>0</v>
      </c>
      <c r="DR45" s="3">
        <f t="shared" si="10"/>
        <v>0</v>
      </c>
      <c r="DS45" s="3">
        <f t="shared" si="10"/>
        <v>0</v>
      </c>
      <c r="DT45" s="3">
        <f t="shared" si="10"/>
        <v>0</v>
      </c>
      <c r="DU45" s="3">
        <f t="shared" si="10"/>
        <v>0</v>
      </c>
      <c r="DV45" s="3">
        <f t="shared" si="10"/>
        <v>0</v>
      </c>
      <c r="DW45" s="3">
        <f t="shared" si="10"/>
        <v>0</v>
      </c>
      <c r="DX45" s="3">
        <f t="shared" si="10"/>
        <v>0</v>
      </c>
      <c r="DY45" s="3">
        <f t="shared" si="10"/>
        <v>0</v>
      </c>
      <c r="DZ45" s="3">
        <f t="shared" si="10"/>
        <v>0</v>
      </c>
      <c r="EA45" s="3">
        <f t="shared" si="10"/>
        <v>0</v>
      </c>
      <c r="EB45" s="3">
        <f t="shared" si="10"/>
        <v>0</v>
      </c>
      <c r="EC45" s="3">
        <f t="shared" si="10"/>
        <v>0</v>
      </c>
      <c r="ED45" s="3">
        <f t="shared" si="10"/>
        <v>0</v>
      </c>
      <c r="EE45" s="3">
        <f t="shared" si="10"/>
        <v>0</v>
      </c>
      <c r="EF45" s="3">
        <f t="shared" si="10"/>
        <v>0</v>
      </c>
      <c r="EG45" s="3">
        <f t="shared" ref="EG45:EH45" si="11">IF(AND($D$28&gt;0,EG41&gt;=$E$28,$E$28&gt;0),$C$17*(1+$C$22)*(1+$C$23)*(1+$C$24)*(1+$C$25)*(1+$C$26)*(1+$C$27)*(1+$C$28),IF(AND($D$27&gt;0,EG41&gt;=$E$27,$E$27&gt;0),$C$17*(1+$C$22)*(1+$C$23)*(1+$C$24)*(1+$C$25)*(1+$C$26)*(1+$C$27),IF(AND($D$26&gt;0,EG41&gt;=$E$26,$E$26&gt;0),$C$17*(1+$C$22)*(1+$C$23)*(1+$C$24)*(1+$C$25)*(1+$C$26),IF(AND($D$25&gt;0,EG41&gt;=$E$25,$E$25&gt;0),$C$17*(1+$C$22)*(1+$C$23)*(1+$C$24)*(1+$C$25),IF(AND($D$24&gt;0,EG41&gt;=$E$24,$E$24&gt;0),$C$17*(1+$C$22)*(1+$C$23)*(1+$C$24),IF(AND($D$23&gt;0,EG41&gt;=$E$23,$E$23&gt;0),$C$17*(1+$C$22)*(1+$C$23),IF(AND($D$22&gt;0,EG41&gt;=$E$22,$E$22),$C$17*(1+$C$22),$C$17)))))))</f>
        <v>0</v>
      </c>
      <c r="EH45" s="3">
        <f t="shared" si="11"/>
        <v>0</v>
      </c>
    </row>
    <row r="46" spans="1:138" s="112" customFormat="1" ht="15.5" x14ac:dyDescent="0.35">
      <c r="A46" s="107" t="s">
        <v>28</v>
      </c>
      <c r="B46" s="107"/>
      <c r="C46" s="108"/>
      <c r="D46" s="109"/>
      <c r="E46" s="110">
        <f>SUMIFS(F46:DT46,F43:DT43,"&lt;="&amp;E7)</f>
        <v>1586383.4588263058</v>
      </c>
      <c r="F46" s="111">
        <f>F44</f>
        <v>400000</v>
      </c>
      <c r="G46" s="111">
        <f>(G44+G45)*G43</f>
        <v>44241.884529320116</v>
      </c>
      <c r="H46" s="111">
        <f t="shared" ref="H46:BS46" si="12">(H44+H45)*H43</f>
        <v>14606.829350283488</v>
      </c>
      <c r="I46" s="111">
        <f t="shared" si="12"/>
        <v>14467.809735480914</v>
      </c>
      <c r="J46" s="111">
        <f t="shared" si="12"/>
        <v>14330.113231453199</v>
      </c>
      <c r="K46" s="111">
        <f t="shared" si="12"/>
        <v>14193.727245573571</v>
      </c>
      <c r="L46" s="111">
        <f t="shared" si="12"/>
        <v>14058.639305064829</v>
      </c>
      <c r="M46" s="111">
        <f t="shared" si="12"/>
        <v>13924.837055858672</v>
      </c>
      <c r="N46" s="111">
        <f t="shared" si="12"/>
        <v>13792.308261465898</v>
      </c>
      <c r="O46" s="111">
        <f t="shared" si="12"/>
        <v>13661.040801857345</v>
      </c>
      <c r="P46" s="111">
        <f t="shared" si="12"/>
        <v>13531.022672355504</v>
      </c>
      <c r="Q46" s="111">
        <f t="shared" si="12"/>
        <v>13402.241982536654</v>
      </c>
      <c r="R46" s="111">
        <f t="shared" si="12"/>
        <v>13274.686955143461</v>
      </c>
      <c r="S46" s="111">
        <f t="shared" si="12"/>
        <v>13148.345925007925</v>
      </c>
      <c r="T46" s="111">
        <f t="shared" si="12"/>
        <v>13023.207337984579</v>
      </c>
      <c r="U46" s="111">
        <f t="shared" si="12"/>
        <v>12899.259749893839</v>
      </c>
      <c r="V46" s="111">
        <f t="shared" si="12"/>
        <v>12776.491825475405</v>
      </c>
      <c r="W46" s="111">
        <f t="shared" si="12"/>
        <v>12654.892337351628</v>
      </c>
      <c r="X46" s="111">
        <f t="shared" si="12"/>
        <v>12534.450165000751</v>
      </c>
      <c r="Y46" s="111">
        <f t="shared" si="12"/>
        <v>12415.154293739915</v>
      </c>
      <c r="Z46" s="111">
        <f t="shared" si="12"/>
        <v>12296.993813717825</v>
      </c>
      <c r="AA46" s="111">
        <f t="shared" si="12"/>
        <v>12179.957918917049</v>
      </c>
      <c r="AB46" s="111">
        <f t="shared" si="12"/>
        <v>12064.035906165765</v>
      </c>
      <c r="AC46" s="111">
        <f t="shared" si="12"/>
        <v>11949.217174158939</v>
      </c>
      <c r="AD46" s="111">
        <f t="shared" si="12"/>
        <v>11835.491222488832</v>
      </c>
      <c r="AE46" s="111">
        <f t="shared" si="12"/>
        <v>11722.847650684682</v>
      </c>
      <c r="AF46" s="111">
        <f t="shared" si="12"/>
        <v>11611.276157261585</v>
      </c>
      <c r="AG46" s="111">
        <f t="shared" si="12"/>
        <v>11500.7665387784</v>
      </c>
      <c r="AH46" s="111">
        <f t="shared" si="12"/>
        <v>11391.308688904619</v>
      </c>
      <c r="AI46" s="111">
        <f t="shared" si="12"/>
        <v>11282.892597496115</v>
      </c>
      <c r="AJ46" s="111">
        <f t="shared" si="12"/>
        <v>11175.508349679714</v>
      </c>
      <c r="AK46" s="111">
        <f t="shared" si="12"/>
        <v>11069.146124946441</v>
      </c>
      <c r="AL46" s="111">
        <f t="shared" si="12"/>
        <v>10963.796196253425</v>
      </c>
      <c r="AM46" s="111">
        <f t="shared" si="12"/>
        <v>10859.448929134329</v>
      </c>
      <c r="AN46" s="111">
        <f t="shared" si="12"/>
        <v>10756.094780818275</v>
      </c>
      <c r="AO46" s="111">
        <f t="shared" si="12"/>
        <v>11933.761323384368</v>
      </c>
      <c r="AP46" s="111">
        <f t="shared" si="12"/>
        <v>11820.182471839111</v>
      </c>
      <c r="AQ46" s="111">
        <f t="shared" si="12"/>
        <v>11707.684600143273</v>
      </c>
      <c r="AR46" s="111">
        <f t="shared" si="12"/>
        <v>11596.257420136521</v>
      </c>
      <c r="AS46" s="111">
        <f t="shared" si="12"/>
        <v>11485.890741575469</v>
      </c>
      <c r="AT46" s="111">
        <f t="shared" si="12"/>
        <v>11376.574471201759</v>
      </c>
      <c r="AU46" s="111">
        <f t="shared" si="12"/>
        <v>11268.298611818997</v>
      </c>
      <c r="AV46" s="111">
        <f t="shared" si="12"/>
        <v>11161.053261378516</v>
      </c>
      <c r="AW46" s="111">
        <f t="shared" si="12"/>
        <v>11054.82861207379</v>
      </c>
      <c r="AX46" s="111">
        <f t="shared" si="12"/>
        <v>10949.614949443501</v>
      </c>
      <c r="AY46" s="111">
        <f t="shared" si="12"/>
        <v>10845.402651483122</v>
      </c>
      <c r="AZ46" s="111">
        <f t="shared" si="12"/>
        <v>10742.18218776498</v>
      </c>
      <c r="BA46" s="111">
        <f t="shared" si="12"/>
        <v>10639.944118566673</v>
      </c>
      <c r="BB46" s="111">
        <f t="shared" si="12"/>
        <v>10538.679094007779</v>
      </c>
      <c r="BC46" s="111">
        <f t="shared" si="12"/>
        <v>10438.377853194799</v>
      </c>
      <c r="BD46" s="111">
        <f t="shared" si="12"/>
        <v>10339.031223374226</v>
      </c>
      <c r="BE46" s="111">
        <f t="shared" si="12"/>
        <v>10240.630119093688</v>
      </c>
      <c r="BF46" s="111">
        <f t="shared" si="12"/>
        <v>10143.16554137105</v>
      </c>
      <c r="BG46" s="111">
        <f t="shared" si="12"/>
        <v>10046.628576871444</v>
      </c>
      <c r="BH46" s="111">
        <f t="shared" si="12"/>
        <v>9951.01039709213</v>
      </c>
      <c r="BI46" s="111">
        <f t="shared" si="12"/>
        <v>9856.3022575551022</v>
      </c>
      <c r="BJ46" s="111">
        <f t="shared" si="12"/>
        <v>9762.4954970074104</v>
      </c>
      <c r="BK46" s="111">
        <f t="shared" si="12"/>
        <v>9669.5815366290426</v>
      </c>
      <c r="BL46" s="111">
        <f t="shared" si="12"/>
        <v>9577.551879248389</v>
      </c>
      <c r="BM46" s="111">
        <f t="shared" si="12"/>
        <v>9486.3981085651631</v>
      </c>
      <c r="BN46" s="111">
        <f t="shared" si="12"/>
        <v>9396.1118883806994</v>
      </c>
      <c r="BO46" s="111">
        <f t="shared" si="12"/>
        <v>9306.6849618356009</v>
      </c>
      <c r="BP46" s="111">
        <f t="shared" si="12"/>
        <v>9218.1091506546363</v>
      </c>
      <c r="BQ46" s="111">
        <f t="shared" si="12"/>
        <v>9130.3763543988061</v>
      </c>
      <c r="BR46" s="111">
        <f t="shared" si="12"/>
        <v>9043.4785497245557</v>
      </c>
      <c r="BS46" s="111">
        <f t="shared" si="12"/>
        <v>8957.407789650013</v>
      </c>
      <c r="BT46" s="111">
        <f t="shared" ref="BT46:EE46" si="13">(BT44+BT45)*BT43</f>
        <v>8872.156202828226</v>
      </c>
      <c r="BU46" s="111">
        <f t="shared" si="13"/>
        <v>8787.715992827314</v>
      </c>
      <c r="BV46" s="111">
        <f t="shared" si="13"/>
        <v>8704.0794374174602</v>
      </c>
      <c r="BW46" s="111">
        <f t="shared" si="13"/>
        <v>8621.2388878647052</v>
      </c>
      <c r="BX46" s="111">
        <f t="shared" si="13"/>
        <v>8539.1867682314551</v>
      </c>
      <c r="BY46" s="111">
        <f t="shared" si="13"/>
        <v>9455.8481851276629</v>
      </c>
      <c r="BZ46" s="111">
        <f t="shared" si="13"/>
        <v>9365.8527219916086</v>
      </c>
      <c r="CA46" s="111">
        <f t="shared" si="13"/>
        <v>9276.7137852323031</v>
      </c>
      <c r="CB46" s="111">
        <f t="shared" si="13"/>
        <v>9188.4232229117606</v>
      </c>
      <c r="CC46" s="111">
        <f t="shared" si="13"/>
        <v>9100.97296067758</v>
      </c>
      <c r="CD46" s="111">
        <f t="shared" si="13"/>
        <v>9014.3550010245181</v>
      </c>
      <c r="CE46" s="111">
        <f t="shared" si="13"/>
        <v>8928.5614225631016</v>
      </c>
      <c r="CF46" s="111">
        <f t="shared" si="13"/>
        <v>8843.5843792952019</v>
      </c>
      <c r="CG46" s="111">
        <f t="shared" si="13"/>
        <v>8759.4160998965108</v>
      </c>
      <c r="CH46" s="111">
        <f t="shared" si="13"/>
        <v>8676.0488870058198</v>
      </c>
      <c r="CI46" s="111">
        <f t="shared" si="13"/>
        <v>8593.4751165210946</v>
      </c>
      <c r="CJ46" s="111">
        <f t="shared" si="13"/>
        <v>8511.6872369022312</v>
      </c>
      <c r="CK46" s="111">
        <f t="shared" si="13"/>
        <v>8430.6777684804529</v>
      </c>
      <c r="CL46" s="111">
        <f t="shared" si="13"/>
        <v>8350.4393027742699</v>
      </c>
      <c r="CM46" s="111">
        <f t="shared" si="13"/>
        <v>8270.9645018119772</v>
      </c>
      <c r="CN46" s="111">
        <f t="shared" si="13"/>
        <v>8192.2460974605674</v>
      </c>
      <c r="CO46" s="111">
        <f t="shared" si="13"/>
        <v>8114.2768907610471</v>
      </c>
      <c r="CP46" s="111">
        <f t="shared" si="13"/>
        <v>8037.0497512700858</v>
      </c>
      <c r="CQ46" s="111">
        <f t="shared" si="13"/>
        <v>7960.5576164079084</v>
      </c>
      <c r="CR46" s="111">
        <f t="shared" si="13"/>
        <v>7884.7934908124225</v>
      </c>
      <c r="CS46" s="111">
        <f t="shared" si="13"/>
        <v>7809.7504456994657</v>
      </c>
      <c r="CT46" s="111">
        <f t="shared" si="13"/>
        <v>7735.4216182291657</v>
      </c>
      <c r="CU46" s="111">
        <f t="shared" si="13"/>
        <v>7661.8002108783039</v>
      </c>
      <c r="CV46" s="111">
        <f t="shared" si="13"/>
        <v>7588.8794908186901</v>
      </c>
      <c r="CW46" s="111">
        <f t="shared" si="13"/>
        <v>7516.652789301409</v>
      </c>
      <c r="CX46" s="111">
        <f t="shared" si="13"/>
        <v>7445.1135010469688</v>
      </c>
      <c r="CY46" s="111">
        <f t="shared" si="13"/>
        <v>7374.2550836412165</v>
      </c>
      <c r="CZ46" s="111">
        <f t="shared" si="13"/>
        <v>7304.071056937034</v>
      </c>
      <c r="DA46" s="111">
        <f t="shared" si="13"/>
        <v>7234.5550024617132</v>
      </c>
      <c r="DB46" s="111">
        <f t="shared" si="13"/>
        <v>7165.7005628299712</v>
      </c>
      <c r="DC46" s="111">
        <f t="shared" si="13"/>
        <v>7097.5014411625525</v>
      </c>
      <c r="DD46" s="111">
        <f t="shared" si="13"/>
        <v>7029.9514005103701</v>
      </c>
      <c r="DE46" s="111">
        <f t="shared" si="13"/>
        <v>6963.0442632841259</v>
      </c>
      <c r="DF46" s="111">
        <f t="shared" si="13"/>
        <v>6896.7739106893496</v>
      </c>
      <c r="DG46" s="111">
        <f t="shared" si="13"/>
        <v>6831.1342821668259</v>
      </c>
      <c r="DH46" s="111">
        <f t="shared" si="13"/>
        <v>6766.1193748383548</v>
      </c>
      <c r="DI46" s="111">
        <f t="shared" si="13"/>
        <v>7479.723782234676</v>
      </c>
      <c r="DJ46" s="111">
        <f t="shared" si="13"/>
        <v>7408.5359635712302</v>
      </c>
      <c r="DK46" s="111">
        <f t="shared" si="13"/>
        <v>7338.0256706658975</v>
      </c>
      <c r="DL46" s="111">
        <f t="shared" si="13"/>
        <v>7268.1864552082607</v>
      </c>
      <c r="DM46" s="111">
        <f t="shared" si="13"/>
        <v>7199.0119302593048</v>
      </c>
      <c r="DN46" s="111">
        <f t="shared" si="13"/>
        <v>7130.4957696673173</v>
      </c>
      <c r="DO46" s="111">
        <f t="shared" si="13"/>
        <v>7062.6317074893532</v>
      </c>
      <c r="DP46" s="111">
        <f t="shared" si="13"/>
        <v>6995.4135374182051</v>
      </c>
      <c r="DQ46" s="111">
        <f t="shared" si="13"/>
        <v>6928.8351122148115</v>
      </c>
      <c r="DR46" s="111">
        <f t="shared" si="13"/>
        <v>6862.8903431460922</v>
      </c>
      <c r="DS46" s="111">
        <f t="shared" si="13"/>
        <v>529.20543336765581</v>
      </c>
      <c r="DT46" s="111">
        <f t="shared" si="13"/>
        <v>3.5948751984972452E-2</v>
      </c>
      <c r="DU46" s="111">
        <f t="shared" si="13"/>
        <v>0</v>
      </c>
      <c r="DV46" s="111">
        <f t="shared" si="13"/>
        <v>0</v>
      </c>
      <c r="DW46" s="111">
        <f t="shared" si="13"/>
        <v>0</v>
      </c>
      <c r="DX46" s="111">
        <f t="shared" si="13"/>
        <v>0</v>
      </c>
      <c r="DY46" s="111">
        <f t="shared" si="13"/>
        <v>0</v>
      </c>
      <c r="DZ46" s="111">
        <f t="shared" si="13"/>
        <v>0</v>
      </c>
      <c r="EA46" s="111">
        <f t="shared" si="13"/>
        <v>0</v>
      </c>
      <c r="EB46" s="111">
        <f t="shared" si="13"/>
        <v>0</v>
      </c>
      <c r="EC46" s="111">
        <f t="shared" si="13"/>
        <v>0</v>
      </c>
      <c r="ED46" s="111">
        <f t="shared" si="13"/>
        <v>0</v>
      </c>
      <c r="EE46" s="111">
        <f t="shared" si="13"/>
        <v>0</v>
      </c>
      <c r="EF46" s="111">
        <f t="shared" ref="EF46:EH46" si="14">(EF44+EF45)*EF43</f>
        <v>0</v>
      </c>
      <c r="EG46" s="111">
        <f t="shared" si="14"/>
        <v>0</v>
      </c>
      <c r="EH46" s="111">
        <f t="shared" si="14"/>
        <v>0</v>
      </c>
    </row>
    <row r="47" spans="1:138" s="99" customFormat="1" x14ac:dyDescent="0.35">
      <c r="A47" s="25"/>
      <c r="B47" s="25"/>
      <c r="C47" s="26"/>
      <c r="D47" s="3"/>
      <c r="E47" s="3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7"/>
      <c r="AO47" s="27"/>
      <c r="AP47" s="27"/>
      <c r="AQ47" s="27"/>
      <c r="AR47" s="27"/>
      <c r="AS47" s="27"/>
    </row>
    <row r="48" spans="1:138" s="99" customFormat="1" hidden="1" x14ac:dyDescent="0.35">
      <c r="A48" s="25"/>
      <c r="B48" s="25"/>
      <c r="C48" s="26"/>
      <c r="D48" s="3"/>
      <c r="E48" s="3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7"/>
      <c r="AO48" s="27"/>
      <c r="AP48" s="27"/>
      <c r="AQ48" s="27"/>
      <c r="AR48" s="27"/>
      <c r="AS48" s="27"/>
    </row>
    <row r="49" spans="1:138" s="31" customFormat="1" hidden="1" x14ac:dyDescent="0.35">
      <c r="A49" s="115" t="s">
        <v>37</v>
      </c>
      <c r="B49" s="28"/>
      <c r="C49" s="29"/>
      <c r="D49" s="29"/>
      <c r="E49" s="29"/>
      <c r="F49" s="29"/>
      <c r="G49" s="113">
        <f>E46-F46</f>
        <v>1186383.4588263058</v>
      </c>
      <c r="H49" s="29">
        <f>G51</f>
        <v>1153116.2888261226</v>
      </c>
      <c r="I49" s="29">
        <f t="shared" ref="I49:BT49" si="15">H51</f>
        <v>1149307.5693081405</v>
      </c>
      <c r="J49" s="29">
        <f t="shared" si="15"/>
        <v>1145462.2522173424</v>
      </c>
      <c r="K49" s="29">
        <f t="shared" si="15"/>
        <v>1141579.9858916199</v>
      </c>
      <c r="L49" s="29">
        <f t="shared" si="15"/>
        <v>1137660.4152897818</v>
      </c>
      <c r="M49" s="29">
        <f t="shared" si="15"/>
        <v>1133703.181959084</v>
      </c>
      <c r="N49" s="29">
        <f t="shared" si="15"/>
        <v>1129707.9240024493</v>
      </c>
      <c r="O49" s="29">
        <f t="shared" si="15"/>
        <v>1125674.2760453706</v>
      </c>
      <c r="P49" s="29">
        <f t="shared" si="15"/>
        <v>1121601.8692024969</v>
      </c>
      <c r="Q49" s="29">
        <f t="shared" si="15"/>
        <v>1117490.3310438979</v>
      </c>
      <c r="R49" s="29">
        <f t="shared" si="15"/>
        <v>1113339.285561004</v>
      </c>
      <c r="S49" s="29">
        <f t="shared" si="15"/>
        <v>1109148.3531322205</v>
      </c>
      <c r="T49" s="29">
        <f t="shared" si="15"/>
        <v>1104917.1504882099</v>
      </c>
      <c r="U49" s="29">
        <f t="shared" si="15"/>
        <v>1100645.290676841</v>
      </c>
      <c r="V49" s="29">
        <f t="shared" si="15"/>
        <v>1096332.383027802</v>
      </c>
      <c r="W49" s="29">
        <f t="shared" si="15"/>
        <v>1091978.0331168717</v>
      </c>
      <c r="X49" s="29">
        <f t="shared" si="15"/>
        <v>1087581.84272985</v>
      </c>
      <c r="Y49" s="29">
        <f t="shared" si="15"/>
        <v>1083143.4098261395</v>
      </c>
      <c r="Z49" s="29">
        <f t="shared" si="15"/>
        <v>1078662.328501978</v>
      </c>
      <c r="AA49" s="29">
        <f t="shared" si="15"/>
        <v>1074138.1889533186</v>
      </c>
      <c r="AB49" s="29">
        <f t="shared" si="15"/>
        <v>1069570.5774383515</v>
      </c>
      <c r="AC49" s="29">
        <f t="shared" si="15"/>
        <v>1064959.0762396667</v>
      </c>
      <c r="AD49" s="29">
        <f t="shared" si="15"/>
        <v>1060303.2636260528</v>
      </c>
      <c r="AE49" s="29">
        <f t="shared" si="15"/>
        <v>1055602.7138139291</v>
      </c>
      <c r="AF49" s="29">
        <f t="shared" si="15"/>
        <v>1050856.9969284069</v>
      </c>
      <c r="AG49" s="29">
        <f t="shared" si="15"/>
        <v>1046065.6789639756</v>
      </c>
      <c r="AH49" s="29">
        <f t="shared" si="15"/>
        <v>1041228.3217448134</v>
      </c>
      <c r="AI49" s="29">
        <f t="shared" si="15"/>
        <v>1036344.4828847139</v>
      </c>
      <c r="AJ49" s="29">
        <f t="shared" si="15"/>
        <v>1031413.7157466303</v>
      </c>
      <c r="AK49" s="29">
        <f t="shared" si="15"/>
        <v>1026435.5694018286</v>
      </c>
      <c r="AL49" s="29">
        <f t="shared" si="15"/>
        <v>1021409.5885886492</v>
      </c>
      <c r="AM49" s="29">
        <f t="shared" si="15"/>
        <v>1016335.3136708728</v>
      </c>
      <c r="AN49" s="30">
        <f t="shared" si="15"/>
        <v>1011212.2805956857</v>
      </c>
      <c r="AO49" s="30">
        <f t="shared" si="15"/>
        <v>1006040.0208512408</v>
      </c>
      <c r="AP49" s="30">
        <f t="shared" si="15"/>
        <v>999029.17253492272</v>
      </c>
      <c r="AQ49" s="30">
        <f t="shared" si="15"/>
        <v>991950.95773741673</v>
      </c>
      <c r="AR49" s="30">
        <f t="shared" si="15"/>
        <v>984804.72914151079</v>
      </c>
      <c r="AS49" s="30">
        <f t="shared" si="15"/>
        <v>977589.83320999157</v>
      </c>
      <c r="AT49" s="30">
        <f t="shared" si="15"/>
        <v>970305.61012587789</v>
      </c>
      <c r="AU49" s="30">
        <f t="shared" si="15"/>
        <v>962951.39373207849</v>
      </c>
      <c r="AV49" s="30">
        <f t="shared" si="15"/>
        <v>955526.51147047093</v>
      </c>
      <c r="AW49" s="30">
        <f t="shared" si="15"/>
        <v>948030.28432039474</v>
      </c>
      <c r="AX49" s="30">
        <f t="shared" si="15"/>
        <v>940462.02673655353</v>
      </c>
      <c r="AY49" s="30">
        <f t="shared" si="15"/>
        <v>932821.0465863205</v>
      </c>
      <c r="AZ49" s="30">
        <f t="shared" si="15"/>
        <v>925106.64508644165</v>
      </c>
      <c r="BA49" s="30">
        <f t="shared" si="15"/>
        <v>917318.11673913023</v>
      </c>
      <c r="BB49" s="30">
        <f t="shared" si="15"/>
        <v>909454.74926754786</v>
      </c>
      <c r="BC49" s="30">
        <f t="shared" si="15"/>
        <v>901515.82355066517</v>
      </c>
      <c r="BD49" s="30">
        <f t="shared" si="15"/>
        <v>893500.61355749704</v>
      </c>
      <c r="BE49" s="30">
        <f t="shared" si="15"/>
        <v>885408.3862807051</v>
      </c>
      <c r="BF49" s="30">
        <f t="shared" si="15"/>
        <v>877238.40166956314</v>
      </c>
      <c r="BG49" s="30">
        <f t="shared" si="15"/>
        <v>868989.91256227775</v>
      </c>
      <c r="BH49" s="30">
        <f t="shared" si="15"/>
        <v>860662.16461765871</v>
      </c>
      <c r="BI49" s="30">
        <f t="shared" si="15"/>
        <v>852254.39624613326</v>
      </c>
      <c r="BJ49" s="30">
        <f t="shared" si="15"/>
        <v>843765.838540097</v>
      </c>
      <c r="BK49" s="30">
        <f t="shared" si="15"/>
        <v>835195.7152035957</v>
      </c>
      <c r="BL49" s="30">
        <f t="shared" si="15"/>
        <v>826543.24248133157</v>
      </c>
      <c r="BM49" s="30">
        <f t="shared" si="15"/>
        <v>817807.629086987</v>
      </c>
      <c r="BN49" s="30">
        <f t="shared" si="15"/>
        <v>808988.07613086014</v>
      </c>
      <c r="BO49" s="30">
        <f t="shared" si="15"/>
        <v>800083.77704680455</v>
      </c>
      <c r="BP49" s="30">
        <f t="shared" si="15"/>
        <v>791093.91751846718</v>
      </c>
      <c r="BQ49" s="30">
        <f t="shared" si="15"/>
        <v>782017.67540481745</v>
      </c>
      <c r="BR49" s="30">
        <f t="shared" si="15"/>
        <v>772854.22066496068</v>
      </c>
      <c r="BS49" s="30">
        <f t="shared" si="15"/>
        <v>763602.71528222936</v>
      </c>
      <c r="BT49" s="30">
        <f t="shared" si="15"/>
        <v>754262.3131875447</v>
      </c>
      <c r="BU49" s="30">
        <f t="shared" ref="BU49:EF49" si="16">BT51</f>
        <v>744832.16018204181</v>
      </c>
      <c r="BV49" s="30">
        <f t="shared" si="16"/>
        <v>735311.39385895152</v>
      </c>
      <c r="BW49" s="30">
        <f t="shared" si="16"/>
        <v>725699.14352473163</v>
      </c>
      <c r="BX49" s="30">
        <f t="shared" si="16"/>
        <v>715994.53011944017</v>
      </c>
      <c r="BY49" s="30">
        <f t="shared" si="16"/>
        <v>706196.66613634338</v>
      </c>
      <c r="BZ49" s="30">
        <f t="shared" si="16"/>
        <v>694336.87776297377</v>
      </c>
      <c r="CA49" s="30">
        <f t="shared" si="16"/>
        <v>682363.1299692461</v>
      </c>
      <c r="CB49" s="30">
        <f t="shared" si="16"/>
        <v>670274.32773144834</v>
      </c>
      <c r="CC49" s="30">
        <f t="shared" si="16"/>
        <v>658069.36550390441</v>
      </c>
      <c r="CD49" s="30">
        <f t="shared" si="16"/>
        <v>645747.12711786968</v>
      </c>
      <c r="CE49" s="30">
        <f t="shared" si="16"/>
        <v>633306.4856794551</v>
      </c>
      <c r="CF49" s="30">
        <f t="shared" si="16"/>
        <v>620746.30346657045</v>
      </c>
      <c r="CG49" s="30">
        <f t="shared" si="16"/>
        <v>608065.43182487728</v>
      </c>
      <c r="CH49" s="30">
        <f t="shared" si="16"/>
        <v>595262.71106274216</v>
      </c>
      <c r="CI49" s="30">
        <f t="shared" si="16"/>
        <v>582336.9703451806</v>
      </c>
      <c r="CJ49" s="30">
        <f t="shared" si="16"/>
        <v>569287.02758678165</v>
      </c>
      <c r="CK49" s="30">
        <f t="shared" si="16"/>
        <v>556111.68934360391</v>
      </c>
      <c r="CL49" s="30">
        <f t="shared" si="16"/>
        <v>542809.75070403249</v>
      </c>
      <c r="CM49" s="30">
        <f t="shared" si="16"/>
        <v>529379.9951785875</v>
      </c>
      <c r="CN49" s="30">
        <f t="shared" si="16"/>
        <v>515821.19458867353</v>
      </c>
      <c r="CO49" s="30">
        <f t="shared" si="16"/>
        <v>502132.1089542603</v>
      </c>
      <c r="CP49" s="30">
        <f t="shared" si="16"/>
        <v>488311.48638048372</v>
      </c>
      <c r="CQ49" s="30">
        <f t="shared" si="16"/>
        <v>474358.06294315791</v>
      </c>
      <c r="CR49" s="30">
        <f t="shared" si="16"/>
        <v>460270.56257318647</v>
      </c>
      <c r="CS49" s="30">
        <f t="shared" si="16"/>
        <v>446047.69693986338</v>
      </c>
      <c r="CT49" s="30">
        <f t="shared" si="16"/>
        <v>431688.16533305269</v>
      </c>
      <c r="CU49" s="30">
        <f t="shared" si="16"/>
        <v>417190.65454423567</v>
      </c>
      <c r="CV49" s="30">
        <f t="shared" si="16"/>
        <v>402553.83874641551</v>
      </c>
      <c r="CW49" s="30">
        <f t="shared" si="16"/>
        <v>387776.37937286741</v>
      </c>
      <c r="CX49" s="30">
        <f t="shared" si="16"/>
        <v>372856.92499472416</v>
      </c>
      <c r="CY49" s="30">
        <f t="shared" si="16"/>
        <v>357794.11119738512</v>
      </c>
      <c r="CZ49" s="30">
        <f t="shared" si="16"/>
        <v>342586.56045573764</v>
      </c>
      <c r="DA49" s="30">
        <f t="shared" si="16"/>
        <v>327232.88200817973</v>
      </c>
      <c r="DB49" s="30">
        <f t="shared" si="16"/>
        <v>311731.67172943195</v>
      </c>
      <c r="DC49" s="30">
        <f t="shared" si="16"/>
        <v>296081.51200212736</v>
      </c>
      <c r="DD49" s="30">
        <f t="shared" si="16"/>
        <v>280280.97158716741</v>
      </c>
      <c r="DE49" s="30">
        <f t="shared" si="16"/>
        <v>264328.60549283226</v>
      </c>
      <c r="DF49" s="30">
        <f t="shared" si="16"/>
        <v>248222.95484263336</v>
      </c>
      <c r="DG49" s="30">
        <f t="shared" si="16"/>
        <v>231962.54674189622</v>
      </c>
      <c r="DH49" s="30">
        <f t="shared" si="16"/>
        <v>215545.89414306113</v>
      </c>
      <c r="DI49" s="30">
        <f t="shared" si="16"/>
        <v>198971.4957096896</v>
      </c>
      <c r="DJ49" s="30">
        <f t="shared" si="16"/>
        <v>180073.28012360859</v>
      </c>
      <c r="DK49" s="30">
        <f t="shared" si="16"/>
        <v>160993.47363335706</v>
      </c>
      <c r="DL49" s="30">
        <f t="shared" si="16"/>
        <v>141730.33135162928</v>
      </c>
      <c r="DM49" s="30">
        <f t="shared" si="16"/>
        <v>122282.09162468658</v>
      </c>
      <c r="DN49" s="30">
        <f t="shared" si="16"/>
        <v>102646.97587125059</v>
      </c>
      <c r="DO49" s="30">
        <f t="shared" si="16"/>
        <v>82823.188419848288</v>
      </c>
      <c r="DP49" s="30">
        <f t="shared" si="16"/>
        <v>62808.916344594218</v>
      </c>
      <c r="DQ49" s="30">
        <f t="shared" si="16"/>
        <v>42602.329299394682</v>
      </c>
      <c r="DR49" s="30">
        <f t="shared" si="16"/>
        <v>22201.579350558855</v>
      </c>
      <c r="DS49" s="30">
        <f t="shared" si="16"/>
        <v>1604.8008078014827</v>
      </c>
      <c r="DT49" s="30">
        <f t="shared" si="16"/>
        <v>0.11005362167770727</v>
      </c>
      <c r="DU49" s="30">
        <f t="shared" si="16"/>
        <v>3.876994600360284E-9</v>
      </c>
      <c r="DV49" s="30">
        <f t="shared" si="16"/>
        <v>-23810.111111107202</v>
      </c>
      <c r="DW49" s="30">
        <f t="shared" si="16"/>
        <v>-47849.010997823723</v>
      </c>
      <c r="DX49" s="30">
        <f t="shared" si="16"/>
        <v>-72118.898066679729</v>
      </c>
      <c r="DY49" s="30">
        <f t="shared" si="16"/>
        <v>-96621.991848459249</v>
      </c>
      <c r="DZ49" s="30">
        <f t="shared" si="16"/>
        <v>-121360.53320117692</v>
      </c>
      <c r="EA49" s="30">
        <f t="shared" si="16"/>
        <v>-146336.78451500903</v>
      </c>
      <c r="EB49" s="30">
        <f t="shared" si="16"/>
        <v>-171553.02991919374</v>
      </c>
      <c r="EC49" s="30">
        <f t="shared" si="16"/>
        <v>-197011.57549091935</v>
      </c>
      <c r="ED49" s="30">
        <f t="shared" si="16"/>
        <v>-222714.7494662198</v>
      </c>
      <c r="EE49" s="30">
        <f t="shared" si="16"/>
        <v>-248664.90245289658</v>
      </c>
      <c r="EF49" s="30">
        <f t="shared" si="16"/>
        <v>-274864.40764548664</v>
      </c>
      <c r="EG49" s="30">
        <f t="shared" ref="EG49:EH49" si="17">EF51</f>
        <v>-301315.66104229586</v>
      </c>
      <c r="EH49" s="30">
        <f t="shared" si="17"/>
        <v>-328021.08166451805</v>
      </c>
    </row>
    <row r="50" spans="1:138" s="31" customFormat="1" hidden="1" x14ac:dyDescent="0.35">
      <c r="A50" s="32" t="s">
        <v>38</v>
      </c>
      <c r="B50" s="32"/>
      <c r="C50" s="33"/>
      <c r="D50" s="33"/>
      <c r="E50" s="33"/>
      <c r="F50" s="33"/>
      <c r="G50" s="33">
        <f>G44+G45-G52</f>
        <v>33267.170000183105</v>
      </c>
      <c r="H50" s="33">
        <f t="shared" ref="H50:BS50" si="18">H44+H45-H52</f>
        <v>3808.7195179822102</v>
      </c>
      <c r="I50" s="33">
        <f t="shared" si="18"/>
        <v>3845.3170907981148</v>
      </c>
      <c r="J50" s="33">
        <f t="shared" si="18"/>
        <v>3882.2663257224267</v>
      </c>
      <c r="K50" s="33">
        <f t="shared" si="18"/>
        <v>3919.5706018382061</v>
      </c>
      <c r="L50" s="33">
        <f t="shared" si="18"/>
        <v>3957.2333306977598</v>
      </c>
      <c r="M50" s="33">
        <f t="shared" si="18"/>
        <v>3995.2579566346321</v>
      </c>
      <c r="N50" s="33">
        <f t="shared" si="18"/>
        <v>4033.6479570785941</v>
      </c>
      <c r="O50" s="33">
        <f t="shared" si="18"/>
        <v>4072.4068428736609</v>
      </c>
      <c r="P50" s="33">
        <f t="shared" si="18"/>
        <v>4111.538158599169</v>
      </c>
      <c r="Q50" s="33">
        <f t="shared" si="18"/>
        <v>4151.0454828939273</v>
      </c>
      <c r="R50" s="33">
        <f t="shared" si="18"/>
        <v>4190.9324287835097</v>
      </c>
      <c r="S50" s="33">
        <f t="shared" si="18"/>
        <v>4231.2026440106474</v>
      </c>
      <c r="T50" s="33">
        <f t="shared" si="18"/>
        <v>4271.8598113688422</v>
      </c>
      <c r="U50" s="33">
        <f t="shared" si="18"/>
        <v>4312.9076490391617</v>
      </c>
      <c r="V50" s="33">
        <f t="shared" si="18"/>
        <v>4354.3499109302684</v>
      </c>
      <c r="W50" s="33">
        <f t="shared" si="18"/>
        <v>4396.1903870217247</v>
      </c>
      <c r="X50" s="33">
        <f t="shared" si="18"/>
        <v>4438.4329037106017</v>
      </c>
      <c r="Y50" s="33">
        <f t="shared" si="18"/>
        <v>4481.0813241613978</v>
      </c>
      <c r="Z50" s="33">
        <f t="shared" si="18"/>
        <v>4524.1395486593465</v>
      </c>
      <c r="AA50" s="33">
        <f t="shared" si="18"/>
        <v>4567.6115149670914</v>
      </c>
      <c r="AB50" s="33">
        <f t="shared" si="18"/>
        <v>4611.5011986848203</v>
      </c>
      <c r="AC50" s="33">
        <f t="shared" si="18"/>
        <v>4655.8126136138235</v>
      </c>
      <c r="AD50" s="33">
        <f t="shared" si="18"/>
        <v>4700.5498121235796</v>
      </c>
      <c r="AE50" s="33">
        <f t="shared" si="18"/>
        <v>4745.7168855223372</v>
      </c>
      <c r="AF50" s="33">
        <f t="shared" si="18"/>
        <v>4791.3179644312895</v>
      </c>
      <c r="AG50" s="33">
        <f t="shared" si="18"/>
        <v>4837.3572191623189</v>
      </c>
      <c r="AH50" s="33">
        <f t="shared" si="18"/>
        <v>4883.838860099384</v>
      </c>
      <c r="AI50" s="33">
        <f t="shared" si="18"/>
        <v>4930.7671380835636</v>
      </c>
      <c r="AJ50" s="33">
        <f t="shared" si="18"/>
        <v>4978.1463448018076</v>
      </c>
      <c r="AK50" s="33">
        <f t="shared" si="18"/>
        <v>5025.9808131794198</v>
      </c>
      <c r="AL50" s="33">
        <f t="shared" si="18"/>
        <v>5074.274917776318</v>
      </c>
      <c r="AM50" s="33">
        <f t="shared" si="18"/>
        <v>5123.0330751870861</v>
      </c>
      <c r="AN50" s="33">
        <f t="shared" si="18"/>
        <v>5172.2597444448911</v>
      </c>
      <c r="AO50" s="33">
        <f t="shared" si="18"/>
        <v>7010.8483163181518</v>
      </c>
      <c r="AP50" s="33">
        <f t="shared" si="18"/>
        <v>7078.2147975059415</v>
      </c>
      <c r="AQ50" s="33">
        <f t="shared" si="18"/>
        <v>7146.2285959059845</v>
      </c>
      <c r="AR50" s="33">
        <f t="shared" si="18"/>
        <v>7214.8959315191696</v>
      </c>
      <c r="AS50" s="33">
        <f t="shared" si="18"/>
        <v>7284.2230841137098</v>
      </c>
      <c r="AT50" s="33">
        <f t="shared" si="18"/>
        <v>7354.2163937994228</v>
      </c>
      <c r="AU50" s="33">
        <f t="shared" si="18"/>
        <v>7424.8822616075595</v>
      </c>
      <c r="AV50" s="33">
        <f t="shared" si="18"/>
        <v>7496.2271500761835</v>
      </c>
      <c r="AW50" s="33">
        <f t="shared" si="18"/>
        <v>7568.2575838411849</v>
      </c>
      <c r="AX50" s="33">
        <f t="shared" si="18"/>
        <v>7640.9801502329719</v>
      </c>
      <c r="AY50" s="33">
        <f t="shared" si="18"/>
        <v>7714.4014998789007</v>
      </c>
      <c r="AZ50" s="33">
        <f t="shared" si="18"/>
        <v>7788.5283473114778</v>
      </c>
      <c r="BA50" s="33">
        <f t="shared" si="18"/>
        <v>7863.3674715824309</v>
      </c>
      <c r="BB50" s="33">
        <f t="shared" si="18"/>
        <v>7938.9257168826571</v>
      </c>
      <c r="BC50" s="33">
        <f t="shared" si="18"/>
        <v>8015.2099931681441</v>
      </c>
      <c r="BD50" s="33">
        <f t="shared" si="18"/>
        <v>8092.227276791893</v>
      </c>
      <c r="BE50" s="33">
        <f t="shared" si="18"/>
        <v>8169.9846111419283</v>
      </c>
      <c r="BF50" s="33">
        <f t="shared" si="18"/>
        <v>8248.4891072854261</v>
      </c>
      <c r="BG50" s="33">
        <f t="shared" si="18"/>
        <v>8327.7479446190318</v>
      </c>
      <c r="BH50" s="33">
        <f t="shared" si="18"/>
        <v>8407.7683715254389</v>
      </c>
      <c r="BI50" s="33">
        <f t="shared" si="18"/>
        <v>8488.557706036263</v>
      </c>
      <c r="BJ50" s="33">
        <f t="shared" si="18"/>
        <v>8570.1233365012922</v>
      </c>
      <c r="BK50" s="33">
        <f t="shared" si="18"/>
        <v>8652.472722264165</v>
      </c>
      <c r="BL50" s="33">
        <f t="shared" si="18"/>
        <v>8735.6133943445457</v>
      </c>
      <c r="BM50" s="33">
        <f t="shared" si="18"/>
        <v>8819.5529561268468</v>
      </c>
      <c r="BN50" s="33">
        <f t="shared" si="18"/>
        <v>8904.2990840555813</v>
      </c>
      <c r="BO50" s="33">
        <f t="shared" si="18"/>
        <v>8989.8595283373834</v>
      </c>
      <c r="BP50" s="33">
        <f t="shared" si="18"/>
        <v>9076.2421136497796</v>
      </c>
      <c r="BQ50" s="33">
        <f t="shared" si="18"/>
        <v>9163.4547398567793</v>
      </c>
      <c r="BR50" s="33">
        <f t="shared" si="18"/>
        <v>9251.5053827313241</v>
      </c>
      <c r="BS50" s="33">
        <f t="shared" si="18"/>
        <v>9340.4020946846977</v>
      </c>
      <c r="BT50" s="33">
        <f t="shared" ref="BT50:EE50" si="19">BT44+BT45-BT52</f>
        <v>9430.1530055029234</v>
      </c>
      <c r="BU50" s="33">
        <f t="shared" si="19"/>
        <v>9520.7663230902635</v>
      </c>
      <c r="BV50" s="33">
        <f t="shared" si="19"/>
        <v>9612.2503342198397</v>
      </c>
      <c r="BW50" s="33">
        <f t="shared" si="19"/>
        <v>9704.6134052914786</v>
      </c>
      <c r="BX50" s="33">
        <f t="shared" si="19"/>
        <v>9797.8639830968314</v>
      </c>
      <c r="BY50" s="33">
        <f t="shared" si="19"/>
        <v>11859.788373369642</v>
      </c>
      <c r="BZ50" s="33">
        <f t="shared" si="19"/>
        <v>11973.747793727687</v>
      </c>
      <c r="CA50" s="33">
        <f t="shared" si="19"/>
        <v>12088.802237797749</v>
      </c>
      <c r="CB50" s="33">
        <f t="shared" si="19"/>
        <v>12204.962227543929</v>
      </c>
      <c r="CC50" s="33">
        <f t="shared" si="19"/>
        <v>12322.238386034736</v>
      </c>
      <c r="CD50" s="33">
        <f t="shared" si="19"/>
        <v>12440.641438414601</v>
      </c>
      <c r="CE50" s="33">
        <f t="shared" si="19"/>
        <v>12560.182212884692</v>
      </c>
      <c r="CF50" s="33">
        <f t="shared" si="19"/>
        <v>12680.8716416932</v>
      </c>
      <c r="CG50" s="33">
        <f t="shared" si="19"/>
        <v>12802.720762135097</v>
      </c>
      <c r="CH50" s="33">
        <f t="shared" si="19"/>
        <v>12925.740717561528</v>
      </c>
      <c r="CI50" s="33">
        <f t="shared" si="19"/>
        <v>13049.942758398887</v>
      </c>
      <c r="CJ50" s="33">
        <f t="shared" si="19"/>
        <v>13175.338243177701</v>
      </c>
      <c r="CK50" s="33">
        <f t="shared" si="19"/>
        <v>13301.938639571377</v>
      </c>
      <c r="CL50" s="33">
        <f t="shared" si="19"/>
        <v>13429.755525444962</v>
      </c>
      <c r="CM50" s="33">
        <f t="shared" si="19"/>
        <v>13558.800589913944</v>
      </c>
      <c r="CN50" s="33">
        <f t="shared" si="19"/>
        <v>13689.085634413259</v>
      </c>
      <c r="CO50" s="33">
        <f t="shared" si="19"/>
        <v>13820.622573776549</v>
      </c>
      <c r="CP50" s="33">
        <f t="shared" si="19"/>
        <v>13953.423437325804</v>
      </c>
      <c r="CQ50" s="33">
        <f t="shared" si="19"/>
        <v>14087.50036997146</v>
      </c>
      <c r="CR50" s="33">
        <f t="shared" si="19"/>
        <v>14222.865633323083</v>
      </c>
      <c r="CS50" s="33">
        <f t="shared" si="19"/>
        <v>14359.531606810715</v>
      </c>
      <c r="CT50" s="33">
        <f t="shared" si="19"/>
        <v>14497.510788816999</v>
      </c>
      <c r="CU50" s="33">
        <f t="shared" si="19"/>
        <v>14636.815797820182</v>
      </c>
      <c r="CV50" s="33">
        <f t="shared" si="19"/>
        <v>14777.459373548096</v>
      </c>
      <c r="CW50" s="33">
        <f t="shared" si="19"/>
        <v>14919.454378143244</v>
      </c>
      <c r="CX50" s="33">
        <f t="shared" si="19"/>
        <v>15062.813797339057</v>
      </c>
      <c r="CY50" s="33">
        <f t="shared" si="19"/>
        <v>15207.550741647465</v>
      </c>
      <c r="CZ50" s="33">
        <f t="shared" si="19"/>
        <v>15353.678447557897</v>
      </c>
      <c r="DA50" s="33">
        <f t="shared" si="19"/>
        <v>15501.210278747763</v>
      </c>
      <c r="DB50" s="33">
        <f t="shared" si="19"/>
        <v>15650.159727304606</v>
      </c>
      <c r="DC50" s="33">
        <f t="shared" si="19"/>
        <v>15800.540414959974</v>
      </c>
      <c r="DD50" s="33">
        <f t="shared" si="19"/>
        <v>15952.366094335155</v>
      </c>
      <c r="DE50" s="33">
        <f t="shared" si="19"/>
        <v>16105.650650198882</v>
      </c>
      <c r="DF50" s="33">
        <f t="shared" si="19"/>
        <v>16260.408100737131</v>
      </c>
      <c r="DG50" s="33">
        <f t="shared" si="19"/>
        <v>16416.652598835099</v>
      </c>
      <c r="DH50" s="33">
        <f t="shared" si="19"/>
        <v>16574.398433371531</v>
      </c>
      <c r="DI50" s="33">
        <f t="shared" si="19"/>
        <v>18898.215586081005</v>
      </c>
      <c r="DJ50" s="33">
        <f t="shared" si="19"/>
        <v>19079.806490251522</v>
      </c>
      <c r="DK50" s="33">
        <f t="shared" si="19"/>
        <v>19263.142281727789</v>
      </c>
      <c r="DL50" s="33">
        <f t="shared" si="19"/>
        <v>19448.239726942702</v>
      </c>
      <c r="DM50" s="33">
        <f t="shared" si="19"/>
        <v>19635.115753435999</v>
      </c>
      <c r="DN50" s="33">
        <f t="shared" si="19"/>
        <v>19823.787451402302</v>
      </c>
      <c r="DO50" s="33">
        <f t="shared" si="19"/>
        <v>20014.27207525407</v>
      </c>
      <c r="DP50" s="33">
        <f t="shared" si="19"/>
        <v>20206.587045199536</v>
      </c>
      <c r="DQ50" s="33">
        <f t="shared" si="19"/>
        <v>20400.749948835826</v>
      </c>
      <c r="DR50" s="33">
        <f t="shared" si="19"/>
        <v>20596.778542757373</v>
      </c>
      <c r="DS50" s="33">
        <f t="shared" si="19"/>
        <v>1604.690754179805</v>
      </c>
      <c r="DT50" s="33">
        <f t="shared" si="19"/>
        <v>0.11005361780071267</v>
      </c>
      <c r="DU50" s="33">
        <f t="shared" si="19"/>
        <v>23810.11111111108</v>
      </c>
      <c r="DV50" s="33">
        <f t="shared" si="19"/>
        <v>24038.899886716521</v>
      </c>
      <c r="DW50" s="33">
        <f t="shared" si="19"/>
        <v>24269.887068856005</v>
      </c>
      <c r="DX50" s="33">
        <f t="shared" si="19"/>
        <v>24503.09378177952</v>
      </c>
      <c r="DY50" s="33">
        <f t="shared" si="19"/>
        <v>24738.541352717672</v>
      </c>
      <c r="DZ50" s="33">
        <f t="shared" si="19"/>
        <v>24976.251313832119</v>
      </c>
      <c r="EA50" s="33">
        <f t="shared" si="19"/>
        <v>25216.245404184716</v>
      </c>
      <c r="EB50" s="33">
        <f t="shared" si="19"/>
        <v>25458.545571725619</v>
      </c>
      <c r="EC50" s="33">
        <f t="shared" si="19"/>
        <v>25703.173975300448</v>
      </c>
      <c r="ED50" s="33">
        <f t="shared" si="19"/>
        <v>25950.152986676771</v>
      </c>
      <c r="EE50" s="33">
        <f t="shared" si="19"/>
        <v>26199.505192590041</v>
      </c>
      <c r="EF50" s="33">
        <f t="shared" ref="EF50:EH50" si="20">EF44+EF45-EF52</f>
        <v>26451.25339680921</v>
      </c>
      <c r="EG50" s="33">
        <f t="shared" si="20"/>
        <v>26705.420622222162</v>
      </c>
      <c r="EH50" s="33">
        <f t="shared" si="20"/>
        <v>26962.030112941226</v>
      </c>
    </row>
    <row r="51" spans="1:138" s="31" customFormat="1" hidden="1" x14ac:dyDescent="0.35">
      <c r="A51" s="34" t="s">
        <v>39</v>
      </c>
      <c r="B51" s="34"/>
      <c r="C51" s="35"/>
      <c r="D51" s="35"/>
      <c r="E51" s="35"/>
      <c r="F51" s="35"/>
      <c r="G51" s="35">
        <f t="shared" ref="G51:AM51" si="21">G49-G50</f>
        <v>1153116.2888261226</v>
      </c>
      <c r="H51" s="35">
        <f t="shared" si="21"/>
        <v>1149307.5693081405</v>
      </c>
      <c r="I51" s="35">
        <f t="shared" si="21"/>
        <v>1145462.2522173424</v>
      </c>
      <c r="J51" s="35">
        <f t="shared" si="21"/>
        <v>1141579.9858916199</v>
      </c>
      <c r="K51" s="35">
        <f t="shared" si="21"/>
        <v>1137660.4152897818</v>
      </c>
      <c r="L51" s="35">
        <f t="shared" si="21"/>
        <v>1133703.181959084</v>
      </c>
      <c r="M51" s="35">
        <f t="shared" si="21"/>
        <v>1129707.9240024493</v>
      </c>
      <c r="N51" s="35">
        <f t="shared" si="21"/>
        <v>1125674.2760453706</v>
      </c>
      <c r="O51" s="35">
        <f t="shared" si="21"/>
        <v>1121601.8692024969</v>
      </c>
      <c r="P51" s="35">
        <f t="shared" si="21"/>
        <v>1117490.3310438979</v>
      </c>
      <c r="Q51" s="35">
        <f t="shared" si="21"/>
        <v>1113339.285561004</v>
      </c>
      <c r="R51" s="35">
        <f t="shared" si="21"/>
        <v>1109148.3531322205</v>
      </c>
      <c r="S51" s="35">
        <f t="shared" si="21"/>
        <v>1104917.1504882099</v>
      </c>
      <c r="T51" s="35">
        <f t="shared" si="21"/>
        <v>1100645.290676841</v>
      </c>
      <c r="U51" s="35">
        <f t="shared" si="21"/>
        <v>1096332.383027802</v>
      </c>
      <c r="V51" s="35">
        <f t="shared" si="21"/>
        <v>1091978.0331168717</v>
      </c>
      <c r="W51" s="35">
        <f t="shared" si="21"/>
        <v>1087581.84272985</v>
      </c>
      <c r="X51" s="35">
        <f t="shared" si="21"/>
        <v>1083143.4098261395</v>
      </c>
      <c r="Y51" s="35">
        <f t="shared" si="21"/>
        <v>1078662.328501978</v>
      </c>
      <c r="Z51" s="35">
        <f t="shared" si="21"/>
        <v>1074138.1889533186</v>
      </c>
      <c r="AA51" s="35">
        <f t="shared" si="21"/>
        <v>1069570.5774383515</v>
      </c>
      <c r="AB51" s="35">
        <f t="shared" si="21"/>
        <v>1064959.0762396667</v>
      </c>
      <c r="AC51" s="35">
        <f t="shared" si="21"/>
        <v>1060303.2636260528</v>
      </c>
      <c r="AD51" s="35">
        <f t="shared" si="21"/>
        <v>1055602.7138139291</v>
      </c>
      <c r="AE51" s="35">
        <f t="shared" si="21"/>
        <v>1050856.9969284069</v>
      </c>
      <c r="AF51" s="35">
        <f t="shared" si="21"/>
        <v>1046065.6789639756</v>
      </c>
      <c r="AG51" s="35">
        <f t="shared" si="21"/>
        <v>1041228.3217448134</v>
      </c>
      <c r="AH51" s="35">
        <f t="shared" si="21"/>
        <v>1036344.4828847139</v>
      </c>
      <c r="AI51" s="35">
        <f t="shared" si="21"/>
        <v>1031413.7157466303</v>
      </c>
      <c r="AJ51" s="35">
        <f t="shared" si="21"/>
        <v>1026435.5694018286</v>
      </c>
      <c r="AK51" s="35">
        <f t="shared" si="21"/>
        <v>1021409.5885886492</v>
      </c>
      <c r="AL51" s="35">
        <f t="shared" si="21"/>
        <v>1016335.3136708728</v>
      </c>
      <c r="AM51" s="35">
        <f t="shared" si="21"/>
        <v>1011212.2805956857</v>
      </c>
      <c r="AN51" s="36">
        <f>AN49-AN50</f>
        <v>1006040.0208512408</v>
      </c>
      <c r="AO51" s="36">
        <f t="shared" ref="AO51:CZ51" si="22">AO49-AO50</f>
        <v>999029.17253492272</v>
      </c>
      <c r="AP51" s="36">
        <f t="shared" si="22"/>
        <v>991950.95773741673</v>
      </c>
      <c r="AQ51" s="36">
        <f t="shared" si="22"/>
        <v>984804.72914151079</v>
      </c>
      <c r="AR51" s="36">
        <f t="shared" si="22"/>
        <v>977589.83320999157</v>
      </c>
      <c r="AS51" s="36">
        <f t="shared" si="22"/>
        <v>970305.61012587789</v>
      </c>
      <c r="AT51" s="36">
        <f t="shared" si="22"/>
        <v>962951.39373207849</v>
      </c>
      <c r="AU51" s="36">
        <f t="shared" si="22"/>
        <v>955526.51147047093</v>
      </c>
      <c r="AV51" s="36">
        <f t="shared" si="22"/>
        <v>948030.28432039474</v>
      </c>
      <c r="AW51" s="36">
        <f t="shared" si="22"/>
        <v>940462.02673655353</v>
      </c>
      <c r="AX51" s="36">
        <f t="shared" si="22"/>
        <v>932821.0465863205</v>
      </c>
      <c r="AY51" s="36">
        <f t="shared" si="22"/>
        <v>925106.64508644165</v>
      </c>
      <c r="AZ51" s="36">
        <f t="shared" si="22"/>
        <v>917318.11673913023</v>
      </c>
      <c r="BA51" s="36">
        <f t="shared" si="22"/>
        <v>909454.74926754786</v>
      </c>
      <c r="BB51" s="36">
        <f t="shared" si="22"/>
        <v>901515.82355066517</v>
      </c>
      <c r="BC51" s="36">
        <f t="shared" si="22"/>
        <v>893500.61355749704</v>
      </c>
      <c r="BD51" s="36">
        <f t="shared" si="22"/>
        <v>885408.3862807051</v>
      </c>
      <c r="BE51" s="36">
        <f t="shared" si="22"/>
        <v>877238.40166956314</v>
      </c>
      <c r="BF51" s="36">
        <f t="shared" si="22"/>
        <v>868989.91256227775</v>
      </c>
      <c r="BG51" s="36">
        <f t="shared" si="22"/>
        <v>860662.16461765871</v>
      </c>
      <c r="BH51" s="36">
        <f t="shared" si="22"/>
        <v>852254.39624613326</v>
      </c>
      <c r="BI51" s="36">
        <f t="shared" si="22"/>
        <v>843765.838540097</v>
      </c>
      <c r="BJ51" s="36">
        <f t="shared" si="22"/>
        <v>835195.7152035957</v>
      </c>
      <c r="BK51" s="36">
        <f t="shared" si="22"/>
        <v>826543.24248133157</v>
      </c>
      <c r="BL51" s="36">
        <f t="shared" si="22"/>
        <v>817807.629086987</v>
      </c>
      <c r="BM51" s="36">
        <f t="shared" si="22"/>
        <v>808988.07613086014</v>
      </c>
      <c r="BN51" s="36">
        <f t="shared" si="22"/>
        <v>800083.77704680455</v>
      </c>
      <c r="BO51" s="36">
        <f t="shared" si="22"/>
        <v>791093.91751846718</v>
      </c>
      <c r="BP51" s="36">
        <f t="shared" si="22"/>
        <v>782017.67540481745</v>
      </c>
      <c r="BQ51" s="36">
        <f t="shared" si="22"/>
        <v>772854.22066496068</v>
      </c>
      <c r="BR51" s="36">
        <f t="shared" si="22"/>
        <v>763602.71528222936</v>
      </c>
      <c r="BS51" s="36">
        <f t="shared" si="22"/>
        <v>754262.3131875447</v>
      </c>
      <c r="BT51" s="36">
        <f t="shared" si="22"/>
        <v>744832.16018204181</v>
      </c>
      <c r="BU51" s="36">
        <f t="shared" si="22"/>
        <v>735311.39385895152</v>
      </c>
      <c r="BV51" s="36">
        <f t="shared" si="22"/>
        <v>725699.14352473163</v>
      </c>
      <c r="BW51" s="36">
        <f t="shared" si="22"/>
        <v>715994.53011944017</v>
      </c>
      <c r="BX51" s="36">
        <f t="shared" si="22"/>
        <v>706196.66613634338</v>
      </c>
      <c r="BY51" s="36">
        <f t="shared" si="22"/>
        <v>694336.87776297377</v>
      </c>
      <c r="BZ51" s="36">
        <f t="shared" si="22"/>
        <v>682363.1299692461</v>
      </c>
      <c r="CA51" s="36">
        <f t="shared" si="22"/>
        <v>670274.32773144834</v>
      </c>
      <c r="CB51" s="36">
        <f t="shared" si="22"/>
        <v>658069.36550390441</v>
      </c>
      <c r="CC51" s="36">
        <f t="shared" si="22"/>
        <v>645747.12711786968</v>
      </c>
      <c r="CD51" s="36">
        <f t="shared" si="22"/>
        <v>633306.4856794551</v>
      </c>
      <c r="CE51" s="36">
        <f t="shared" si="22"/>
        <v>620746.30346657045</v>
      </c>
      <c r="CF51" s="36">
        <f t="shared" si="22"/>
        <v>608065.43182487728</v>
      </c>
      <c r="CG51" s="36">
        <f t="shared" si="22"/>
        <v>595262.71106274216</v>
      </c>
      <c r="CH51" s="36">
        <f t="shared" si="22"/>
        <v>582336.9703451806</v>
      </c>
      <c r="CI51" s="36">
        <f t="shared" si="22"/>
        <v>569287.02758678165</v>
      </c>
      <c r="CJ51" s="36">
        <f t="shared" si="22"/>
        <v>556111.68934360391</v>
      </c>
      <c r="CK51" s="36">
        <f t="shared" si="22"/>
        <v>542809.75070403249</v>
      </c>
      <c r="CL51" s="36">
        <f t="shared" si="22"/>
        <v>529379.9951785875</v>
      </c>
      <c r="CM51" s="36">
        <f t="shared" si="22"/>
        <v>515821.19458867353</v>
      </c>
      <c r="CN51" s="36">
        <f t="shared" si="22"/>
        <v>502132.1089542603</v>
      </c>
      <c r="CO51" s="36">
        <f t="shared" si="22"/>
        <v>488311.48638048372</v>
      </c>
      <c r="CP51" s="36">
        <f t="shared" si="22"/>
        <v>474358.06294315791</v>
      </c>
      <c r="CQ51" s="36">
        <f t="shared" si="22"/>
        <v>460270.56257318647</v>
      </c>
      <c r="CR51" s="36">
        <f t="shared" si="22"/>
        <v>446047.69693986338</v>
      </c>
      <c r="CS51" s="36">
        <f t="shared" si="22"/>
        <v>431688.16533305269</v>
      </c>
      <c r="CT51" s="36">
        <f t="shared" si="22"/>
        <v>417190.65454423567</v>
      </c>
      <c r="CU51" s="36">
        <f t="shared" si="22"/>
        <v>402553.83874641551</v>
      </c>
      <c r="CV51" s="36">
        <f t="shared" si="22"/>
        <v>387776.37937286741</v>
      </c>
      <c r="CW51" s="36">
        <f t="shared" si="22"/>
        <v>372856.92499472416</v>
      </c>
      <c r="CX51" s="36">
        <f t="shared" si="22"/>
        <v>357794.11119738512</v>
      </c>
      <c r="CY51" s="36">
        <f t="shared" si="22"/>
        <v>342586.56045573764</v>
      </c>
      <c r="CZ51" s="36">
        <f t="shared" si="22"/>
        <v>327232.88200817973</v>
      </c>
      <c r="DA51" s="36">
        <f t="shared" ref="DA51:EH51" si="23">DA49-DA50</f>
        <v>311731.67172943195</v>
      </c>
      <c r="DB51" s="36">
        <f t="shared" si="23"/>
        <v>296081.51200212736</v>
      </c>
      <c r="DC51" s="36">
        <f t="shared" si="23"/>
        <v>280280.97158716741</v>
      </c>
      <c r="DD51" s="36">
        <f t="shared" si="23"/>
        <v>264328.60549283226</v>
      </c>
      <c r="DE51" s="36">
        <f t="shared" si="23"/>
        <v>248222.95484263336</v>
      </c>
      <c r="DF51" s="36">
        <f t="shared" si="23"/>
        <v>231962.54674189622</v>
      </c>
      <c r="DG51" s="36">
        <f t="shared" si="23"/>
        <v>215545.89414306113</v>
      </c>
      <c r="DH51" s="36">
        <f t="shared" si="23"/>
        <v>198971.4957096896</v>
      </c>
      <c r="DI51" s="36">
        <f t="shared" si="23"/>
        <v>180073.28012360859</v>
      </c>
      <c r="DJ51" s="36">
        <f t="shared" si="23"/>
        <v>160993.47363335706</v>
      </c>
      <c r="DK51" s="36">
        <f t="shared" si="23"/>
        <v>141730.33135162928</v>
      </c>
      <c r="DL51" s="36">
        <f t="shared" si="23"/>
        <v>122282.09162468658</v>
      </c>
      <c r="DM51" s="36">
        <f t="shared" si="23"/>
        <v>102646.97587125059</v>
      </c>
      <c r="DN51" s="36">
        <f t="shared" si="23"/>
        <v>82823.188419848288</v>
      </c>
      <c r="DO51" s="36">
        <f t="shared" si="23"/>
        <v>62808.916344594218</v>
      </c>
      <c r="DP51" s="36">
        <f t="shared" si="23"/>
        <v>42602.329299394682</v>
      </c>
      <c r="DQ51" s="36">
        <f t="shared" si="23"/>
        <v>22201.579350558855</v>
      </c>
      <c r="DR51" s="36">
        <f t="shared" si="23"/>
        <v>1604.8008078014827</v>
      </c>
      <c r="DS51" s="36">
        <f t="shared" si="23"/>
        <v>0.11005362167770727</v>
      </c>
      <c r="DT51" s="36">
        <f t="shared" si="23"/>
        <v>3.876994600360284E-9</v>
      </c>
      <c r="DU51" s="36">
        <f t="shared" si="23"/>
        <v>-23810.111111107202</v>
      </c>
      <c r="DV51" s="36">
        <f t="shared" si="23"/>
        <v>-47849.010997823723</v>
      </c>
      <c r="DW51" s="36">
        <f t="shared" si="23"/>
        <v>-72118.898066679729</v>
      </c>
      <c r="DX51" s="36">
        <f t="shared" si="23"/>
        <v>-96621.991848459249</v>
      </c>
      <c r="DY51" s="36">
        <f t="shared" si="23"/>
        <v>-121360.53320117692</v>
      </c>
      <c r="DZ51" s="36">
        <f t="shared" si="23"/>
        <v>-146336.78451500903</v>
      </c>
      <c r="EA51" s="36">
        <f t="shared" si="23"/>
        <v>-171553.02991919374</v>
      </c>
      <c r="EB51" s="36">
        <f t="shared" si="23"/>
        <v>-197011.57549091935</v>
      </c>
      <c r="EC51" s="36">
        <f t="shared" si="23"/>
        <v>-222714.7494662198</v>
      </c>
      <c r="ED51" s="36">
        <f t="shared" si="23"/>
        <v>-248664.90245289658</v>
      </c>
      <c r="EE51" s="36">
        <f t="shared" si="23"/>
        <v>-274864.40764548664</v>
      </c>
      <c r="EF51" s="36">
        <f t="shared" si="23"/>
        <v>-301315.66104229586</v>
      </c>
      <c r="EG51" s="36">
        <f t="shared" si="23"/>
        <v>-328021.08166451805</v>
      </c>
      <c r="EH51" s="36">
        <f t="shared" si="23"/>
        <v>-354983.11177745927</v>
      </c>
    </row>
    <row r="52" spans="1:138" s="40" customFormat="1" hidden="1" x14ac:dyDescent="0.35">
      <c r="A52" s="37" t="s">
        <v>40</v>
      </c>
      <c r="B52" s="37"/>
      <c r="C52" s="38"/>
      <c r="D52" s="38"/>
      <c r="E52" s="38"/>
      <c r="F52" s="38"/>
      <c r="G52" s="38">
        <f t="shared" ref="G52:BR52" si="24">(G49*$E$10)</f>
        <v>11399.829999816895</v>
      </c>
      <c r="H52" s="38">
        <f t="shared" si="24"/>
        <v>11080.169370906677</v>
      </c>
      <c r="I52" s="38">
        <f t="shared" si="24"/>
        <v>11043.571798090772</v>
      </c>
      <c r="J52" s="38">
        <f t="shared" si="24"/>
        <v>11006.62256316646</v>
      </c>
      <c r="K52" s="38">
        <f t="shared" si="24"/>
        <v>10969.318287050681</v>
      </c>
      <c r="L52" s="38">
        <f t="shared" si="24"/>
        <v>10931.655558191127</v>
      </c>
      <c r="M52" s="38">
        <f t="shared" si="24"/>
        <v>10893.630932254255</v>
      </c>
      <c r="N52" s="38">
        <f t="shared" si="24"/>
        <v>10855.240931810293</v>
      </c>
      <c r="O52" s="38">
        <f t="shared" si="24"/>
        <v>10816.482046015226</v>
      </c>
      <c r="P52" s="38">
        <f t="shared" si="24"/>
        <v>10777.350730289718</v>
      </c>
      <c r="Q52" s="38">
        <f t="shared" si="24"/>
        <v>10737.84340599496</v>
      </c>
      <c r="R52" s="38">
        <f t="shared" si="24"/>
        <v>10697.956460105377</v>
      </c>
      <c r="S52" s="38">
        <f t="shared" si="24"/>
        <v>10657.686244878239</v>
      </c>
      <c r="T52" s="38">
        <f t="shared" si="24"/>
        <v>10617.029077520045</v>
      </c>
      <c r="U52" s="38">
        <f t="shared" si="24"/>
        <v>10575.981239849725</v>
      </c>
      <c r="V52" s="38">
        <f t="shared" si="24"/>
        <v>10534.538977958618</v>
      </c>
      <c r="W52" s="38">
        <f t="shared" si="24"/>
        <v>10492.698501867162</v>
      </c>
      <c r="X52" s="38">
        <f t="shared" si="24"/>
        <v>10450.455985178285</v>
      </c>
      <c r="Y52" s="38">
        <f t="shared" si="24"/>
        <v>10407.807564727489</v>
      </c>
      <c r="Z52" s="38">
        <f t="shared" si="24"/>
        <v>10364.74934022954</v>
      </c>
      <c r="AA52" s="38">
        <f t="shared" si="24"/>
        <v>10321.277373921796</v>
      </c>
      <c r="AB52" s="38">
        <f t="shared" si="24"/>
        <v>10277.387690204067</v>
      </c>
      <c r="AC52" s="38">
        <f t="shared" si="24"/>
        <v>10233.076275275063</v>
      </c>
      <c r="AD52" s="38">
        <f t="shared" si="24"/>
        <v>10188.339076765307</v>
      </c>
      <c r="AE52" s="38">
        <f t="shared" si="24"/>
        <v>10143.17200336655</v>
      </c>
      <c r="AF52" s="38">
        <f t="shared" si="24"/>
        <v>10097.570924457597</v>
      </c>
      <c r="AG52" s="38">
        <f t="shared" si="24"/>
        <v>10051.531669726568</v>
      </c>
      <c r="AH52" s="38">
        <f t="shared" si="24"/>
        <v>10005.050028789503</v>
      </c>
      <c r="AI52" s="38">
        <f t="shared" si="24"/>
        <v>9958.1217508053232</v>
      </c>
      <c r="AJ52" s="38">
        <f t="shared" si="24"/>
        <v>9910.7425440870793</v>
      </c>
      <c r="AK52" s="38">
        <f t="shared" si="24"/>
        <v>9862.9080757094671</v>
      </c>
      <c r="AL52" s="38">
        <f t="shared" si="24"/>
        <v>9814.6139711125688</v>
      </c>
      <c r="AM52" s="38">
        <f t="shared" si="24"/>
        <v>9765.8558137018008</v>
      </c>
      <c r="AN52" s="39">
        <f t="shared" si="24"/>
        <v>9716.6291444439958</v>
      </c>
      <c r="AO52" s="39">
        <f t="shared" si="24"/>
        <v>9666.9294614596256</v>
      </c>
      <c r="AP52" s="39">
        <f t="shared" si="24"/>
        <v>9599.5629802718358</v>
      </c>
      <c r="AQ52" s="39">
        <f t="shared" si="24"/>
        <v>9531.5491818717928</v>
      </c>
      <c r="AR52" s="39">
        <f t="shared" si="24"/>
        <v>9462.8818462586078</v>
      </c>
      <c r="AS52" s="39">
        <f t="shared" si="24"/>
        <v>9393.5546936640676</v>
      </c>
      <c r="AT52" s="39">
        <f t="shared" si="24"/>
        <v>9323.5613839783546</v>
      </c>
      <c r="AU52" s="39">
        <f t="shared" si="24"/>
        <v>9252.8955161702179</v>
      </c>
      <c r="AV52" s="39">
        <f t="shared" si="24"/>
        <v>9181.5506277015938</v>
      </c>
      <c r="AW52" s="39">
        <f t="shared" si="24"/>
        <v>9109.5201939365925</v>
      </c>
      <c r="AX52" s="39">
        <f t="shared" si="24"/>
        <v>9036.7976275448054</v>
      </c>
      <c r="AY52" s="39">
        <f t="shared" si="24"/>
        <v>8963.3762778988767</v>
      </c>
      <c r="AZ52" s="39">
        <f t="shared" si="24"/>
        <v>8889.2494304662996</v>
      </c>
      <c r="BA52" s="39">
        <f t="shared" si="24"/>
        <v>8814.4103061953465</v>
      </c>
      <c r="BB52" s="39">
        <f t="shared" si="24"/>
        <v>8738.8520608951203</v>
      </c>
      <c r="BC52" s="39">
        <f t="shared" si="24"/>
        <v>8662.5677846096332</v>
      </c>
      <c r="BD52" s="39">
        <f t="shared" si="24"/>
        <v>8585.5505009858844</v>
      </c>
      <c r="BE52" s="39">
        <f t="shared" si="24"/>
        <v>8507.793166635849</v>
      </c>
      <c r="BF52" s="39">
        <f t="shared" si="24"/>
        <v>8429.2886704923512</v>
      </c>
      <c r="BG52" s="39">
        <f t="shared" si="24"/>
        <v>8350.0298331587455</v>
      </c>
      <c r="BH52" s="39">
        <f t="shared" si="24"/>
        <v>8270.0094062523385</v>
      </c>
      <c r="BI52" s="39">
        <f t="shared" si="24"/>
        <v>8189.2200717415135</v>
      </c>
      <c r="BJ52" s="39">
        <f t="shared" si="24"/>
        <v>8107.6544412764842</v>
      </c>
      <c r="BK52" s="39">
        <f t="shared" si="24"/>
        <v>8025.3050555136124</v>
      </c>
      <c r="BL52" s="39">
        <f t="shared" si="24"/>
        <v>7942.1643834332326</v>
      </c>
      <c r="BM52" s="39">
        <f t="shared" si="24"/>
        <v>7858.2248216509306</v>
      </c>
      <c r="BN52" s="39">
        <f t="shared" si="24"/>
        <v>7773.4786937221961</v>
      </c>
      <c r="BO52" s="39">
        <f t="shared" si="24"/>
        <v>7687.9182494403949</v>
      </c>
      <c r="BP52" s="39">
        <f t="shared" si="24"/>
        <v>7601.5356641279977</v>
      </c>
      <c r="BQ52" s="39">
        <f t="shared" si="24"/>
        <v>7514.3230379209981</v>
      </c>
      <c r="BR52" s="39">
        <f t="shared" si="24"/>
        <v>7426.2723950464524</v>
      </c>
      <c r="BS52" s="39">
        <f t="shared" ref="BS52:ED52" si="25">(BS49*$E$10)</f>
        <v>7337.3756830930797</v>
      </c>
      <c r="BT52" s="39">
        <f t="shared" si="25"/>
        <v>7247.624772274854</v>
      </c>
      <c r="BU52" s="39">
        <f t="shared" si="25"/>
        <v>7157.0114546875138</v>
      </c>
      <c r="BV52" s="39">
        <f t="shared" si="25"/>
        <v>7065.5274435579367</v>
      </c>
      <c r="BW52" s="39">
        <f t="shared" si="25"/>
        <v>6973.1643724862988</v>
      </c>
      <c r="BX52" s="39">
        <f t="shared" si="25"/>
        <v>6879.9137946809451</v>
      </c>
      <c r="BY52" s="39">
        <f t="shared" si="25"/>
        <v>6785.7671821859167</v>
      </c>
      <c r="BZ52" s="39">
        <f t="shared" si="25"/>
        <v>6671.8077618278712</v>
      </c>
      <c r="CA52" s="39">
        <f t="shared" si="25"/>
        <v>6556.7533177578098</v>
      </c>
      <c r="CB52" s="39">
        <f t="shared" si="25"/>
        <v>6440.5933280116296</v>
      </c>
      <c r="CC52" s="39">
        <f t="shared" si="25"/>
        <v>6323.3171695208221</v>
      </c>
      <c r="CD52" s="39">
        <f t="shared" si="25"/>
        <v>6204.9141171409583</v>
      </c>
      <c r="CE52" s="39">
        <f t="shared" si="25"/>
        <v>6085.3733426708659</v>
      </c>
      <c r="CF52" s="39">
        <f t="shared" si="25"/>
        <v>5964.6839138623582</v>
      </c>
      <c r="CG52" s="39">
        <f t="shared" si="25"/>
        <v>5842.8347934204612</v>
      </c>
      <c r="CH52" s="39">
        <f t="shared" si="25"/>
        <v>5719.8148379940303</v>
      </c>
      <c r="CI52" s="39">
        <f t="shared" si="25"/>
        <v>5595.6127971566702</v>
      </c>
      <c r="CJ52" s="39">
        <f t="shared" si="25"/>
        <v>5470.2173123778575</v>
      </c>
      <c r="CK52" s="39">
        <f t="shared" si="25"/>
        <v>5343.6169159841802</v>
      </c>
      <c r="CL52" s="39">
        <f t="shared" si="25"/>
        <v>5215.8000301105958</v>
      </c>
      <c r="CM52" s="39">
        <f t="shared" si="25"/>
        <v>5086.754965641614</v>
      </c>
      <c r="CN52" s="39">
        <f t="shared" si="25"/>
        <v>4956.4699211422994</v>
      </c>
      <c r="CO52" s="39">
        <f t="shared" si="25"/>
        <v>4824.9329817790094</v>
      </c>
      <c r="CP52" s="39">
        <f t="shared" si="25"/>
        <v>4692.1321182297543</v>
      </c>
      <c r="CQ52" s="39">
        <f t="shared" si="25"/>
        <v>4558.0551855840986</v>
      </c>
      <c r="CR52" s="39">
        <f t="shared" si="25"/>
        <v>4422.6899222324755</v>
      </c>
      <c r="CS52" s="39">
        <f t="shared" si="25"/>
        <v>4286.0239487448434</v>
      </c>
      <c r="CT52" s="39">
        <f t="shared" si="25"/>
        <v>4148.0447667385597</v>
      </c>
      <c r="CU52" s="39">
        <f t="shared" si="25"/>
        <v>4008.7397577353772</v>
      </c>
      <c r="CV52" s="39">
        <f t="shared" si="25"/>
        <v>3868.0961820074617</v>
      </c>
      <c r="CW52" s="39">
        <f t="shared" si="25"/>
        <v>3726.1011774123135</v>
      </c>
      <c r="CX52" s="39">
        <f t="shared" si="25"/>
        <v>3582.7417582165021</v>
      </c>
      <c r="CY52" s="39">
        <f t="shared" si="25"/>
        <v>3438.0048139080927</v>
      </c>
      <c r="CZ52" s="39">
        <f t="shared" si="25"/>
        <v>3291.8771079976614</v>
      </c>
      <c r="DA52" s="39">
        <f t="shared" si="25"/>
        <v>3144.3452768077946</v>
      </c>
      <c r="DB52" s="39">
        <f t="shared" si="25"/>
        <v>2995.3958282509511</v>
      </c>
      <c r="DC52" s="39">
        <f t="shared" si="25"/>
        <v>2845.0151405955835</v>
      </c>
      <c r="DD52" s="39">
        <f t="shared" si="25"/>
        <v>2693.1894612204037</v>
      </c>
      <c r="DE52" s="39">
        <f t="shared" si="25"/>
        <v>2539.9049053566755</v>
      </c>
      <c r="DF52" s="39">
        <f t="shared" si="25"/>
        <v>2385.1474548184274</v>
      </c>
      <c r="DG52" s="39">
        <f t="shared" si="25"/>
        <v>2228.9029567204584</v>
      </c>
      <c r="DH52" s="39">
        <f t="shared" si="25"/>
        <v>2071.1571221840281</v>
      </c>
      <c r="DI52" s="39">
        <f t="shared" si="25"/>
        <v>1911.8955250301101</v>
      </c>
      <c r="DJ52" s="39">
        <f t="shared" si="25"/>
        <v>1730.3046208595938</v>
      </c>
      <c r="DK52" s="39">
        <f t="shared" si="25"/>
        <v>1546.9688293833281</v>
      </c>
      <c r="DL52" s="39">
        <f t="shared" si="25"/>
        <v>1361.8713841684146</v>
      </c>
      <c r="DM52" s="39">
        <f t="shared" si="25"/>
        <v>1174.9953576751193</v>
      </c>
      <c r="DN52" s="39">
        <f t="shared" si="25"/>
        <v>986.32365970881426</v>
      </c>
      <c r="DO52" s="39">
        <f t="shared" si="25"/>
        <v>795.83903585704525</v>
      </c>
      <c r="DP52" s="39">
        <f t="shared" si="25"/>
        <v>603.52406591157933</v>
      </c>
      <c r="DQ52" s="39">
        <f t="shared" si="25"/>
        <v>409.36116227529214</v>
      </c>
      <c r="DR52" s="39">
        <f t="shared" si="25"/>
        <v>213.3325683537457</v>
      </c>
      <c r="DS52" s="39">
        <f t="shared" si="25"/>
        <v>15.420356931311662</v>
      </c>
      <c r="DT52" s="39">
        <f t="shared" si="25"/>
        <v>1.0574933160575248E-3</v>
      </c>
      <c r="DU52" s="39">
        <f t="shared" si="25"/>
        <v>3.7253620678460598E-11</v>
      </c>
      <c r="DV52" s="39">
        <f t="shared" si="25"/>
        <v>-228.78877560540292</v>
      </c>
      <c r="DW52" s="39">
        <f t="shared" si="25"/>
        <v>-459.77595774488947</v>
      </c>
      <c r="DX52" s="39">
        <f t="shared" si="25"/>
        <v>-692.98267066840424</v>
      </c>
      <c r="DY52" s="39">
        <f t="shared" si="25"/>
        <v>-928.43024160655636</v>
      </c>
      <c r="DZ52" s="39">
        <f t="shared" si="25"/>
        <v>-1166.1402027210013</v>
      </c>
      <c r="EA52" s="39">
        <f t="shared" si="25"/>
        <v>-1406.1342930736002</v>
      </c>
      <c r="EB52" s="39">
        <f t="shared" si="25"/>
        <v>-1648.4344606145032</v>
      </c>
      <c r="EC52" s="39">
        <f t="shared" si="25"/>
        <v>-1893.0628641893322</v>
      </c>
      <c r="ED52" s="39">
        <f t="shared" si="25"/>
        <v>-2140.0418755656547</v>
      </c>
      <c r="EE52" s="39">
        <f t="shared" ref="EE52:EH52" si="26">(EE49*$E$10)</f>
        <v>-2389.3940814789257</v>
      </c>
      <c r="EF52" s="39">
        <f t="shared" si="26"/>
        <v>-2641.142285698093</v>
      </c>
      <c r="EG52" s="39">
        <f t="shared" si="26"/>
        <v>-2895.3095111110456</v>
      </c>
      <c r="EH52" s="39">
        <f t="shared" si="26"/>
        <v>-3151.9190018301074</v>
      </c>
    </row>
    <row r="53" spans="1:138" s="31" customFormat="1" hidden="1" x14ac:dyDescent="0.35">
      <c r="A53" s="32"/>
      <c r="B53" s="32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2"/>
      <c r="AO53" s="42"/>
      <c r="AP53" s="42"/>
      <c r="AQ53" s="42"/>
      <c r="AR53" s="42"/>
      <c r="AS53" s="42"/>
    </row>
    <row r="54" spans="1:138" s="31" customFormat="1" hidden="1" x14ac:dyDescent="0.35">
      <c r="A54" s="32"/>
      <c r="B54" s="32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2"/>
      <c r="AO54" s="42"/>
      <c r="AP54" s="42"/>
      <c r="AQ54" s="42"/>
      <c r="AR54" s="42"/>
      <c r="AS54" s="42"/>
    </row>
    <row r="55" spans="1:138" s="31" customFormat="1" hidden="1" x14ac:dyDescent="0.35">
      <c r="A55" s="32"/>
      <c r="B55" s="32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2"/>
      <c r="AO55" s="42"/>
      <c r="AP55" s="42"/>
      <c r="AQ55" s="42"/>
      <c r="AR55" s="42"/>
      <c r="AS55" s="42"/>
    </row>
    <row r="56" spans="1:138" s="45" customFormat="1" hidden="1" x14ac:dyDescent="0.35">
      <c r="A56" s="116" t="s">
        <v>41</v>
      </c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</row>
    <row r="57" spans="1:138" s="31" customFormat="1" hidden="1" x14ac:dyDescent="0.35">
      <c r="A57" s="32" t="s">
        <v>42</v>
      </c>
      <c r="B57" s="32"/>
      <c r="C57" s="41"/>
      <c r="D57" s="41"/>
      <c r="E57" s="41"/>
      <c r="F57" s="41"/>
      <c r="G57" s="114">
        <f>E46</f>
        <v>1586383.4588263058</v>
      </c>
      <c r="H57" s="41">
        <f t="shared" ref="H57:BS57" si="27">G59</f>
        <v>1572939.5312091338</v>
      </c>
      <c r="I57" s="41">
        <f t="shared" si="27"/>
        <v>1559495.6035919618</v>
      </c>
      <c r="J57" s="41">
        <f t="shared" si="27"/>
        <v>1546051.6759747898</v>
      </c>
      <c r="K57" s="41">
        <f t="shared" si="27"/>
        <v>1532607.7483576178</v>
      </c>
      <c r="L57" s="41">
        <f t="shared" si="27"/>
        <v>1519163.8207404457</v>
      </c>
      <c r="M57" s="41">
        <f t="shared" si="27"/>
        <v>1505719.8931232737</v>
      </c>
      <c r="N57" s="41">
        <f t="shared" si="27"/>
        <v>1492275.9655061017</v>
      </c>
      <c r="O57" s="41">
        <f t="shared" si="27"/>
        <v>1478832.0378889297</v>
      </c>
      <c r="P57" s="41">
        <f t="shared" si="27"/>
        <v>1465388.1102717577</v>
      </c>
      <c r="Q57" s="41">
        <f t="shared" si="27"/>
        <v>1451944.1826545857</v>
      </c>
      <c r="R57" s="41">
        <f t="shared" si="27"/>
        <v>1438500.2550374137</v>
      </c>
      <c r="S57" s="41">
        <f t="shared" si="27"/>
        <v>1425056.3274202417</v>
      </c>
      <c r="T57" s="41">
        <f t="shared" si="27"/>
        <v>1411612.3998030697</v>
      </c>
      <c r="U57" s="41">
        <f t="shared" si="27"/>
        <v>1398168.4721858976</v>
      </c>
      <c r="V57" s="41">
        <f t="shared" si="27"/>
        <v>1384724.5445687256</v>
      </c>
      <c r="W57" s="41">
        <f t="shared" si="27"/>
        <v>1371280.6169515536</v>
      </c>
      <c r="X57" s="41">
        <f t="shared" si="27"/>
        <v>1357836.6893343816</v>
      </c>
      <c r="Y57" s="41">
        <f t="shared" si="27"/>
        <v>1344392.7617172096</v>
      </c>
      <c r="Z57" s="41">
        <f t="shared" si="27"/>
        <v>1330948.8341000376</v>
      </c>
      <c r="AA57" s="41">
        <f t="shared" si="27"/>
        <v>1317504.9064828656</v>
      </c>
      <c r="AB57" s="41">
        <f t="shared" si="27"/>
        <v>1304060.9788656936</v>
      </c>
      <c r="AC57" s="41">
        <f t="shared" si="27"/>
        <v>1290617.0512485215</v>
      </c>
      <c r="AD57" s="41">
        <f t="shared" si="27"/>
        <v>1277173.1236313495</v>
      </c>
      <c r="AE57" s="41">
        <f t="shared" si="27"/>
        <v>1263729.1960141775</v>
      </c>
      <c r="AF57" s="41">
        <f t="shared" si="27"/>
        <v>1250285.2683970055</v>
      </c>
      <c r="AG57" s="41">
        <f t="shared" si="27"/>
        <v>1236841.3407798335</v>
      </c>
      <c r="AH57" s="41">
        <f t="shared" si="27"/>
        <v>1223397.4131626615</v>
      </c>
      <c r="AI57" s="41">
        <f t="shared" si="27"/>
        <v>1209953.4855454895</v>
      </c>
      <c r="AJ57" s="41">
        <f t="shared" si="27"/>
        <v>1196509.5579283175</v>
      </c>
      <c r="AK57" s="41">
        <f t="shared" si="27"/>
        <v>1183065.6303111454</v>
      </c>
      <c r="AL57" s="41">
        <f t="shared" si="27"/>
        <v>1169621.7026939734</v>
      </c>
      <c r="AM57" s="41">
        <f t="shared" si="27"/>
        <v>1156177.7750768014</v>
      </c>
      <c r="AN57" s="42">
        <f t="shared" si="27"/>
        <v>1142733.8474596294</v>
      </c>
      <c r="AO57" s="42">
        <f t="shared" si="27"/>
        <v>1129289.9198424574</v>
      </c>
      <c r="AP57" s="42">
        <f t="shared" si="27"/>
        <v>1115845.9922252854</v>
      </c>
      <c r="AQ57" s="42">
        <f t="shared" si="27"/>
        <v>1102402.0646081134</v>
      </c>
      <c r="AR57" s="42">
        <f t="shared" si="27"/>
        <v>1088958.1369909414</v>
      </c>
      <c r="AS57" s="42">
        <f t="shared" si="27"/>
        <v>1075514.2093737694</v>
      </c>
      <c r="AT57" s="42">
        <f t="shared" si="27"/>
        <v>1062070.2817565973</v>
      </c>
      <c r="AU57" s="42">
        <f t="shared" si="27"/>
        <v>1048626.3541394253</v>
      </c>
      <c r="AV57" s="42">
        <f t="shared" si="27"/>
        <v>1035182.4265222532</v>
      </c>
      <c r="AW57" s="42">
        <f t="shared" si="27"/>
        <v>1021738.4989050811</v>
      </c>
      <c r="AX57" s="42">
        <f t="shared" si="27"/>
        <v>1008294.5712879089</v>
      </c>
      <c r="AY57" s="42">
        <f t="shared" si="27"/>
        <v>994850.64367073681</v>
      </c>
      <c r="AZ57" s="42">
        <f t="shared" si="27"/>
        <v>981406.71605356468</v>
      </c>
      <c r="BA57" s="42">
        <f t="shared" si="27"/>
        <v>967962.78843639256</v>
      </c>
      <c r="BB57" s="42">
        <f t="shared" si="27"/>
        <v>954518.86081922043</v>
      </c>
      <c r="BC57" s="42">
        <f t="shared" si="27"/>
        <v>941074.9332020483</v>
      </c>
      <c r="BD57" s="42">
        <f t="shared" si="27"/>
        <v>927631.00558487617</v>
      </c>
      <c r="BE57" s="42">
        <f t="shared" si="27"/>
        <v>914187.07796770404</v>
      </c>
      <c r="BF57" s="42">
        <f t="shared" si="27"/>
        <v>900743.15035053191</v>
      </c>
      <c r="BG57" s="42">
        <f t="shared" si="27"/>
        <v>887299.22273335978</v>
      </c>
      <c r="BH57" s="42">
        <f t="shared" si="27"/>
        <v>873855.29511618766</v>
      </c>
      <c r="BI57" s="42">
        <f t="shared" si="27"/>
        <v>860411.36749901553</v>
      </c>
      <c r="BJ57" s="42">
        <f t="shared" si="27"/>
        <v>846967.4398818434</v>
      </c>
      <c r="BK57" s="42">
        <f t="shared" si="27"/>
        <v>833523.51226467127</v>
      </c>
      <c r="BL57" s="42">
        <f t="shared" si="27"/>
        <v>820079.58464749914</v>
      </c>
      <c r="BM57" s="42">
        <f t="shared" si="27"/>
        <v>806635.65703032701</v>
      </c>
      <c r="BN57" s="42">
        <f t="shared" si="27"/>
        <v>793191.72941315488</v>
      </c>
      <c r="BO57" s="42">
        <f t="shared" si="27"/>
        <v>779747.80179598276</v>
      </c>
      <c r="BP57" s="42">
        <f t="shared" si="27"/>
        <v>766303.87417881063</v>
      </c>
      <c r="BQ57" s="42">
        <f t="shared" si="27"/>
        <v>752859.9465616385</v>
      </c>
      <c r="BR57" s="42">
        <f t="shared" si="27"/>
        <v>739416.01894446637</v>
      </c>
      <c r="BS57" s="42">
        <f t="shared" si="27"/>
        <v>725972.09132729424</v>
      </c>
      <c r="BT57" s="42">
        <f t="shared" ref="BT57:EE57" si="28">BS59</f>
        <v>712528.16371012211</v>
      </c>
      <c r="BU57" s="42">
        <f t="shared" si="28"/>
        <v>699084.23609294998</v>
      </c>
      <c r="BV57" s="42">
        <f t="shared" si="28"/>
        <v>685640.30847577786</v>
      </c>
      <c r="BW57" s="42">
        <f t="shared" si="28"/>
        <v>672196.38085860573</v>
      </c>
      <c r="BX57" s="42">
        <f t="shared" si="28"/>
        <v>658752.4532414336</v>
      </c>
      <c r="BY57" s="42">
        <f t="shared" si="28"/>
        <v>645308.52562426147</v>
      </c>
      <c r="BZ57" s="42">
        <f t="shared" si="28"/>
        <v>631864.59800708934</v>
      </c>
      <c r="CA57" s="42">
        <f t="shared" si="28"/>
        <v>618420.67038991721</v>
      </c>
      <c r="CB57" s="42">
        <f t="shared" si="28"/>
        <v>604976.74277274508</v>
      </c>
      <c r="CC57" s="42">
        <f t="shared" si="28"/>
        <v>591532.81515557296</v>
      </c>
      <c r="CD57" s="42">
        <f t="shared" si="28"/>
        <v>578088.88753840083</v>
      </c>
      <c r="CE57" s="42">
        <f t="shared" si="28"/>
        <v>564644.9599212287</v>
      </c>
      <c r="CF57" s="42">
        <f t="shared" si="28"/>
        <v>551201.03230405657</v>
      </c>
      <c r="CG57" s="42">
        <f t="shared" si="28"/>
        <v>537757.10468688444</v>
      </c>
      <c r="CH57" s="42">
        <f t="shared" si="28"/>
        <v>524313.17706971231</v>
      </c>
      <c r="CI57" s="42">
        <f t="shared" si="28"/>
        <v>510869.24945254024</v>
      </c>
      <c r="CJ57" s="42">
        <f t="shared" si="28"/>
        <v>497425.32183536817</v>
      </c>
      <c r="CK57" s="42">
        <f t="shared" si="28"/>
        <v>483981.3942181961</v>
      </c>
      <c r="CL57" s="42">
        <f t="shared" si="28"/>
        <v>470537.46660102403</v>
      </c>
      <c r="CM57" s="42">
        <f t="shared" si="28"/>
        <v>457093.53898385196</v>
      </c>
      <c r="CN57" s="42">
        <f t="shared" si="28"/>
        <v>443649.61136667989</v>
      </c>
      <c r="CO57" s="42">
        <f t="shared" si="28"/>
        <v>430205.68374950782</v>
      </c>
      <c r="CP57" s="42">
        <f t="shared" si="28"/>
        <v>416761.75613233575</v>
      </c>
      <c r="CQ57" s="42">
        <f t="shared" si="28"/>
        <v>403317.82851516368</v>
      </c>
      <c r="CR57" s="42">
        <f t="shared" si="28"/>
        <v>389873.90089799161</v>
      </c>
      <c r="CS57" s="42">
        <f t="shared" si="28"/>
        <v>376429.97328081954</v>
      </c>
      <c r="CT57" s="42">
        <f t="shared" si="28"/>
        <v>362986.04566364747</v>
      </c>
      <c r="CU57" s="42">
        <f t="shared" si="28"/>
        <v>349542.1180464754</v>
      </c>
      <c r="CV57" s="42">
        <f t="shared" si="28"/>
        <v>336098.19042930333</v>
      </c>
      <c r="CW57" s="42">
        <f t="shared" si="28"/>
        <v>322654.26281213126</v>
      </c>
      <c r="CX57" s="42">
        <f t="shared" si="28"/>
        <v>309210.33519495919</v>
      </c>
      <c r="CY57" s="42">
        <f t="shared" si="28"/>
        <v>295766.40757778712</v>
      </c>
      <c r="CZ57" s="42">
        <f t="shared" si="28"/>
        <v>282322.47996061505</v>
      </c>
      <c r="DA57" s="42">
        <f t="shared" si="28"/>
        <v>268878.55234344298</v>
      </c>
      <c r="DB57" s="42">
        <f t="shared" si="28"/>
        <v>255434.62472627091</v>
      </c>
      <c r="DC57" s="42">
        <f t="shared" si="28"/>
        <v>241990.69710909884</v>
      </c>
      <c r="DD57" s="42">
        <f t="shared" si="28"/>
        <v>228546.76949192677</v>
      </c>
      <c r="DE57" s="42">
        <f t="shared" si="28"/>
        <v>215102.8418747547</v>
      </c>
      <c r="DF57" s="42">
        <f t="shared" si="28"/>
        <v>201658.91425758263</v>
      </c>
      <c r="DG57" s="42">
        <f t="shared" si="28"/>
        <v>188214.98664041056</v>
      </c>
      <c r="DH57" s="42">
        <f t="shared" si="28"/>
        <v>174771.05902323849</v>
      </c>
      <c r="DI57" s="42">
        <f t="shared" si="28"/>
        <v>161327.13140606642</v>
      </c>
      <c r="DJ57" s="42">
        <f t="shared" si="28"/>
        <v>147883.20378889435</v>
      </c>
      <c r="DK57" s="42">
        <f t="shared" si="28"/>
        <v>134439.27617172227</v>
      </c>
      <c r="DL57" s="42">
        <f t="shared" si="28"/>
        <v>120995.34855455019</v>
      </c>
      <c r="DM57" s="42">
        <f t="shared" si="28"/>
        <v>107551.42093737811</v>
      </c>
      <c r="DN57" s="42">
        <f t="shared" si="28"/>
        <v>94107.49332020602</v>
      </c>
      <c r="DO57" s="42">
        <f t="shared" si="28"/>
        <v>80663.565703033935</v>
      </c>
      <c r="DP57" s="42">
        <f t="shared" si="28"/>
        <v>67219.63808586185</v>
      </c>
      <c r="DQ57" s="42">
        <f t="shared" si="28"/>
        <v>53775.710468689766</v>
      </c>
      <c r="DR57" s="42">
        <f t="shared" si="28"/>
        <v>40331.782851517681</v>
      </c>
      <c r="DS57" s="42">
        <f t="shared" si="28"/>
        <v>26887.855234345596</v>
      </c>
      <c r="DT57" s="42">
        <f t="shared" si="28"/>
        <v>13443.927617173513</v>
      </c>
      <c r="DU57" s="42">
        <f t="shared" si="28"/>
        <v>1.4297256711870432E-9</v>
      </c>
      <c r="DV57" s="42">
        <f t="shared" si="28"/>
        <v>-13443.927617170653</v>
      </c>
      <c r="DW57" s="42">
        <f t="shared" si="28"/>
        <v>-26887.855234342736</v>
      </c>
      <c r="DX57" s="42">
        <f t="shared" si="28"/>
        <v>-40331.782851514821</v>
      </c>
      <c r="DY57" s="42">
        <f t="shared" si="28"/>
        <v>-53775.710468686906</v>
      </c>
      <c r="DZ57" s="42">
        <f t="shared" si="28"/>
        <v>-67219.638085858984</v>
      </c>
      <c r="EA57" s="42">
        <f t="shared" si="28"/>
        <v>-80663.565703031069</v>
      </c>
      <c r="EB57" s="42">
        <f t="shared" si="28"/>
        <v>-94107.493320203153</v>
      </c>
      <c r="EC57" s="42">
        <f t="shared" si="28"/>
        <v>-107551.42093737524</v>
      </c>
      <c r="ED57" s="42">
        <f t="shared" si="28"/>
        <v>-120995.34855454732</v>
      </c>
      <c r="EE57" s="42">
        <f t="shared" si="28"/>
        <v>-134439.27617171939</v>
      </c>
      <c r="EF57" s="42">
        <f t="shared" ref="EF57:EH57" si="29">EE59</f>
        <v>-147883.20378889146</v>
      </c>
      <c r="EG57" s="42">
        <f t="shared" si="29"/>
        <v>-161327.13140606353</v>
      </c>
      <c r="EH57" s="42">
        <f t="shared" si="29"/>
        <v>-174771.0590232356</v>
      </c>
    </row>
    <row r="58" spans="1:138" s="42" customFormat="1" hidden="1" x14ac:dyDescent="0.35">
      <c r="A58" s="32" t="s">
        <v>43</v>
      </c>
      <c r="B58" s="32"/>
      <c r="C58" s="41"/>
      <c r="D58" s="41"/>
      <c r="E58" s="41"/>
      <c r="F58" s="41"/>
      <c r="G58" s="41">
        <f t="shared" ref="G58:BR58" si="30">$G$57/$E$8</f>
        <v>13443.927617172083</v>
      </c>
      <c r="H58" s="41">
        <f t="shared" si="30"/>
        <v>13443.927617172083</v>
      </c>
      <c r="I58" s="41">
        <f t="shared" si="30"/>
        <v>13443.927617172083</v>
      </c>
      <c r="J58" s="41">
        <f t="shared" si="30"/>
        <v>13443.927617172083</v>
      </c>
      <c r="K58" s="41">
        <f t="shared" si="30"/>
        <v>13443.927617172083</v>
      </c>
      <c r="L58" s="41">
        <f t="shared" si="30"/>
        <v>13443.927617172083</v>
      </c>
      <c r="M58" s="41">
        <f t="shared" si="30"/>
        <v>13443.927617172083</v>
      </c>
      <c r="N58" s="41">
        <f t="shared" si="30"/>
        <v>13443.927617172083</v>
      </c>
      <c r="O58" s="41">
        <f t="shared" si="30"/>
        <v>13443.927617172083</v>
      </c>
      <c r="P58" s="41">
        <f t="shared" si="30"/>
        <v>13443.927617172083</v>
      </c>
      <c r="Q58" s="41">
        <f t="shared" si="30"/>
        <v>13443.927617172083</v>
      </c>
      <c r="R58" s="41">
        <f t="shared" si="30"/>
        <v>13443.927617172083</v>
      </c>
      <c r="S58" s="41">
        <f t="shared" si="30"/>
        <v>13443.927617172083</v>
      </c>
      <c r="T58" s="41">
        <f t="shared" si="30"/>
        <v>13443.927617172083</v>
      </c>
      <c r="U58" s="41">
        <f t="shared" si="30"/>
        <v>13443.927617172083</v>
      </c>
      <c r="V58" s="41">
        <f t="shared" si="30"/>
        <v>13443.927617172083</v>
      </c>
      <c r="W58" s="41">
        <f t="shared" si="30"/>
        <v>13443.927617172083</v>
      </c>
      <c r="X58" s="41">
        <f t="shared" si="30"/>
        <v>13443.927617172083</v>
      </c>
      <c r="Y58" s="41">
        <f t="shared" si="30"/>
        <v>13443.927617172083</v>
      </c>
      <c r="Z58" s="41">
        <f t="shared" si="30"/>
        <v>13443.927617172083</v>
      </c>
      <c r="AA58" s="41">
        <f t="shared" si="30"/>
        <v>13443.927617172083</v>
      </c>
      <c r="AB58" s="41">
        <f t="shared" si="30"/>
        <v>13443.927617172083</v>
      </c>
      <c r="AC58" s="41">
        <f t="shared" si="30"/>
        <v>13443.927617172083</v>
      </c>
      <c r="AD58" s="41">
        <f t="shared" si="30"/>
        <v>13443.927617172083</v>
      </c>
      <c r="AE58" s="41">
        <f t="shared" si="30"/>
        <v>13443.927617172083</v>
      </c>
      <c r="AF58" s="41">
        <f t="shared" si="30"/>
        <v>13443.927617172083</v>
      </c>
      <c r="AG58" s="41">
        <f t="shared" si="30"/>
        <v>13443.927617172083</v>
      </c>
      <c r="AH58" s="41">
        <f t="shared" si="30"/>
        <v>13443.927617172083</v>
      </c>
      <c r="AI58" s="41">
        <f t="shared" si="30"/>
        <v>13443.927617172083</v>
      </c>
      <c r="AJ58" s="41">
        <f t="shared" si="30"/>
        <v>13443.927617172083</v>
      </c>
      <c r="AK58" s="41">
        <f t="shared" si="30"/>
        <v>13443.927617172083</v>
      </c>
      <c r="AL58" s="41">
        <f t="shared" si="30"/>
        <v>13443.927617172083</v>
      </c>
      <c r="AM58" s="41">
        <f t="shared" si="30"/>
        <v>13443.927617172083</v>
      </c>
      <c r="AN58" s="42">
        <f t="shared" si="30"/>
        <v>13443.927617172083</v>
      </c>
      <c r="AO58" s="42">
        <f t="shared" si="30"/>
        <v>13443.927617172083</v>
      </c>
      <c r="AP58" s="42">
        <f t="shared" si="30"/>
        <v>13443.927617172083</v>
      </c>
      <c r="AQ58" s="42">
        <f t="shared" si="30"/>
        <v>13443.927617172083</v>
      </c>
      <c r="AR58" s="42">
        <f t="shared" si="30"/>
        <v>13443.927617172083</v>
      </c>
      <c r="AS58" s="42">
        <f t="shared" si="30"/>
        <v>13443.927617172083</v>
      </c>
      <c r="AT58" s="42">
        <f t="shared" si="30"/>
        <v>13443.927617172083</v>
      </c>
      <c r="AU58" s="42">
        <f t="shared" si="30"/>
        <v>13443.927617172083</v>
      </c>
      <c r="AV58" s="42">
        <f t="shared" si="30"/>
        <v>13443.927617172083</v>
      </c>
      <c r="AW58" s="42">
        <f t="shared" si="30"/>
        <v>13443.927617172083</v>
      </c>
      <c r="AX58" s="42">
        <f t="shared" si="30"/>
        <v>13443.927617172083</v>
      </c>
      <c r="AY58" s="42">
        <f t="shared" si="30"/>
        <v>13443.927617172083</v>
      </c>
      <c r="AZ58" s="42">
        <f t="shared" si="30"/>
        <v>13443.927617172083</v>
      </c>
      <c r="BA58" s="42">
        <f t="shared" si="30"/>
        <v>13443.927617172083</v>
      </c>
      <c r="BB58" s="42">
        <f t="shared" si="30"/>
        <v>13443.927617172083</v>
      </c>
      <c r="BC58" s="42">
        <f t="shared" si="30"/>
        <v>13443.927617172083</v>
      </c>
      <c r="BD58" s="42">
        <f t="shared" si="30"/>
        <v>13443.927617172083</v>
      </c>
      <c r="BE58" s="42">
        <f t="shared" si="30"/>
        <v>13443.927617172083</v>
      </c>
      <c r="BF58" s="42">
        <f t="shared" si="30"/>
        <v>13443.927617172083</v>
      </c>
      <c r="BG58" s="42">
        <f t="shared" si="30"/>
        <v>13443.927617172083</v>
      </c>
      <c r="BH58" s="42">
        <f t="shared" si="30"/>
        <v>13443.927617172083</v>
      </c>
      <c r="BI58" s="42">
        <f t="shared" si="30"/>
        <v>13443.927617172083</v>
      </c>
      <c r="BJ58" s="42">
        <f t="shared" si="30"/>
        <v>13443.927617172083</v>
      </c>
      <c r="BK58" s="42">
        <f t="shared" si="30"/>
        <v>13443.927617172083</v>
      </c>
      <c r="BL58" s="42">
        <f t="shared" si="30"/>
        <v>13443.927617172083</v>
      </c>
      <c r="BM58" s="42">
        <f t="shared" si="30"/>
        <v>13443.927617172083</v>
      </c>
      <c r="BN58" s="42">
        <f t="shared" si="30"/>
        <v>13443.927617172083</v>
      </c>
      <c r="BO58" s="42">
        <f t="shared" si="30"/>
        <v>13443.927617172083</v>
      </c>
      <c r="BP58" s="42">
        <f t="shared" si="30"/>
        <v>13443.927617172083</v>
      </c>
      <c r="BQ58" s="42">
        <f t="shared" si="30"/>
        <v>13443.927617172083</v>
      </c>
      <c r="BR58" s="42">
        <f t="shared" si="30"/>
        <v>13443.927617172083</v>
      </c>
      <c r="BS58" s="42">
        <f t="shared" ref="BS58:ED58" si="31">$G$57/$E$8</f>
        <v>13443.927617172083</v>
      </c>
      <c r="BT58" s="42">
        <f t="shared" si="31"/>
        <v>13443.927617172083</v>
      </c>
      <c r="BU58" s="42">
        <f t="shared" si="31"/>
        <v>13443.927617172083</v>
      </c>
      <c r="BV58" s="42">
        <f t="shared" si="31"/>
        <v>13443.927617172083</v>
      </c>
      <c r="BW58" s="42">
        <f t="shared" si="31"/>
        <v>13443.927617172083</v>
      </c>
      <c r="BX58" s="42">
        <f t="shared" si="31"/>
        <v>13443.927617172083</v>
      </c>
      <c r="BY58" s="42">
        <f t="shared" si="31"/>
        <v>13443.927617172083</v>
      </c>
      <c r="BZ58" s="42">
        <f t="shared" si="31"/>
        <v>13443.927617172083</v>
      </c>
      <c r="CA58" s="42">
        <f t="shared" si="31"/>
        <v>13443.927617172083</v>
      </c>
      <c r="CB58" s="42">
        <f t="shared" si="31"/>
        <v>13443.927617172083</v>
      </c>
      <c r="CC58" s="42">
        <f t="shared" si="31"/>
        <v>13443.927617172083</v>
      </c>
      <c r="CD58" s="42">
        <f t="shared" si="31"/>
        <v>13443.927617172083</v>
      </c>
      <c r="CE58" s="42">
        <f t="shared" si="31"/>
        <v>13443.927617172083</v>
      </c>
      <c r="CF58" s="42">
        <f t="shared" si="31"/>
        <v>13443.927617172083</v>
      </c>
      <c r="CG58" s="42">
        <f t="shared" si="31"/>
        <v>13443.927617172083</v>
      </c>
      <c r="CH58" s="42">
        <f t="shared" si="31"/>
        <v>13443.927617172083</v>
      </c>
      <c r="CI58" s="42">
        <f t="shared" si="31"/>
        <v>13443.927617172083</v>
      </c>
      <c r="CJ58" s="42">
        <f t="shared" si="31"/>
        <v>13443.927617172083</v>
      </c>
      <c r="CK58" s="42">
        <f t="shared" si="31"/>
        <v>13443.927617172083</v>
      </c>
      <c r="CL58" s="42">
        <f t="shared" si="31"/>
        <v>13443.927617172083</v>
      </c>
      <c r="CM58" s="42">
        <f t="shared" si="31"/>
        <v>13443.927617172083</v>
      </c>
      <c r="CN58" s="42">
        <f t="shared" si="31"/>
        <v>13443.927617172083</v>
      </c>
      <c r="CO58" s="42">
        <f t="shared" si="31"/>
        <v>13443.927617172083</v>
      </c>
      <c r="CP58" s="42">
        <f t="shared" si="31"/>
        <v>13443.927617172083</v>
      </c>
      <c r="CQ58" s="42">
        <f t="shared" si="31"/>
        <v>13443.927617172083</v>
      </c>
      <c r="CR58" s="42">
        <f t="shared" si="31"/>
        <v>13443.927617172083</v>
      </c>
      <c r="CS58" s="42">
        <f t="shared" si="31"/>
        <v>13443.927617172083</v>
      </c>
      <c r="CT58" s="42">
        <f t="shared" si="31"/>
        <v>13443.927617172083</v>
      </c>
      <c r="CU58" s="42">
        <f t="shared" si="31"/>
        <v>13443.927617172083</v>
      </c>
      <c r="CV58" s="42">
        <f t="shared" si="31"/>
        <v>13443.927617172083</v>
      </c>
      <c r="CW58" s="42">
        <f t="shared" si="31"/>
        <v>13443.927617172083</v>
      </c>
      <c r="CX58" s="42">
        <f t="shared" si="31"/>
        <v>13443.927617172083</v>
      </c>
      <c r="CY58" s="42">
        <f t="shared" si="31"/>
        <v>13443.927617172083</v>
      </c>
      <c r="CZ58" s="42">
        <f t="shared" si="31"/>
        <v>13443.927617172083</v>
      </c>
      <c r="DA58" s="42">
        <f t="shared" si="31"/>
        <v>13443.927617172083</v>
      </c>
      <c r="DB58" s="42">
        <f t="shared" si="31"/>
        <v>13443.927617172083</v>
      </c>
      <c r="DC58" s="42">
        <f t="shared" si="31"/>
        <v>13443.927617172083</v>
      </c>
      <c r="DD58" s="42">
        <f t="shared" si="31"/>
        <v>13443.927617172083</v>
      </c>
      <c r="DE58" s="42">
        <f t="shared" si="31"/>
        <v>13443.927617172083</v>
      </c>
      <c r="DF58" s="42">
        <f t="shared" si="31"/>
        <v>13443.927617172083</v>
      </c>
      <c r="DG58" s="42">
        <f t="shared" si="31"/>
        <v>13443.927617172083</v>
      </c>
      <c r="DH58" s="42">
        <f t="shared" si="31"/>
        <v>13443.927617172083</v>
      </c>
      <c r="DI58" s="42">
        <f t="shared" si="31"/>
        <v>13443.927617172083</v>
      </c>
      <c r="DJ58" s="42">
        <f t="shared" si="31"/>
        <v>13443.927617172083</v>
      </c>
      <c r="DK58" s="42">
        <f t="shared" si="31"/>
        <v>13443.927617172083</v>
      </c>
      <c r="DL58" s="42">
        <f t="shared" si="31"/>
        <v>13443.927617172083</v>
      </c>
      <c r="DM58" s="42">
        <f t="shared" si="31"/>
        <v>13443.927617172083</v>
      </c>
      <c r="DN58" s="42">
        <f t="shared" si="31"/>
        <v>13443.927617172083</v>
      </c>
      <c r="DO58" s="42">
        <f t="shared" si="31"/>
        <v>13443.927617172083</v>
      </c>
      <c r="DP58" s="42">
        <f t="shared" si="31"/>
        <v>13443.927617172083</v>
      </c>
      <c r="DQ58" s="42">
        <f t="shared" si="31"/>
        <v>13443.927617172083</v>
      </c>
      <c r="DR58" s="42">
        <f t="shared" si="31"/>
        <v>13443.927617172083</v>
      </c>
      <c r="DS58" s="42">
        <f t="shared" si="31"/>
        <v>13443.927617172083</v>
      </c>
      <c r="DT58" s="42">
        <f t="shared" si="31"/>
        <v>13443.927617172083</v>
      </c>
      <c r="DU58" s="42">
        <f t="shared" si="31"/>
        <v>13443.927617172083</v>
      </c>
      <c r="DV58" s="42">
        <f t="shared" si="31"/>
        <v>13443.927617172083</v>
      </c>
      <c r="DW58" s="42">
        <f t="shared" si="31"/>
        <v>13443.927617172083</v>
      </c>
      <c r="DX58" s="42">
        <f t="shared" si="31"/>
        <v>13443.927617172083</v>
      </c>
      <c r="DY58" s="42">
        <f t="shared" si="31"/>
        <v>13443.927617172083</v>
      </c>
      <c r="DZ58" s="42">
        <f t="shared" si="31"/>
        <v>13443.927617172083</v>
      </c>
      <c r="EA58" s="42">
        <f t="shared" si="31"/>
        <v>13443.927617172083</v>
      </c>
      <c r="EB58" s="42">
        <f t="shared" si="31"/>
        <v>13443.927617172083</v>
      </c>
      <c r="EC58" s="42">
        <f t="shared" si="31"/>
        <v>13443.927617172083</v>
      </c>
      <c r="ED58" s="42">
        <f t="shared" si="31"/>
        <v>13443.927617172083</v>
      </c>
      <c r="EE58" s="42">
        <f t="shared" ref="EE58:EH58" si="32">$G$57/$E$8</f>
        <v>13443.927617172083</v>
      </c>
      <c r="EF58" s="42">
        <f t="shared" si="32"/>
        <v>13443.927617172083</v>
      </c>
      <c r="EG58" s="42">
        <f t="shared" si="32"/>
        <v>13443.927617172083</v>
      </c>
      <c r="EH58" s="42">
        <f t="shared" si="32"/>
        <v>13443.927617172083</v>
      </c>
    </row>
    <row r="59" spans="1:138" s="48" customFormat="1" hidden="1" x14ac:dyDescent="0.35">
      <c r="A59" s="46" t="s">
        <v>44</v>
      </c>
      <c r="B59" s="46"/>
      <c r="C59" s="47"/>
      <c r="D59" s="47"/>
      <c r="E59" s="47"/>
      <c r="F59" s="47"/>
      <c r="G59" s="47">
        <f t="shared" ref="G59:BR59" si="33">G57-G58</f>
        <v>1572939.5312091338</v>
      </c>
      <c r="H59" s="47">
        <f t="shared" si="33"/>
        <v>1559495.6035919618</v>
      </c>
      <c r="I59" s="47">
        <f t="shared" si="33"/>
        <v>1546051.6759747898</v>
      </c>
      <c r="J59" s="47">
        <f t="shared" si="33"/>
        <v>1532607.7483576178</v>
      </c>
      <c r="K59" s="47">
        <f t="shared" si="33"/>
        <v>1519163.8207404457</v>
      </c>
      <c r="L59" s="47">
        <f t="shared" si="33"/>
        <v>1505719.8931232737</v>
      </c>
      <c r="M59" s="47">
        <f t="shared" si="33"/>
        <v>1492275.9655061017</v>
      </c>
      <c r="N59" s="47">
        <f t="shared" si="33"/>
        <v>1478832.0378889297</v>
      </c>
      <c r="O59" s="47">
        <f t="shared" si="33"/>
        <v>1465388.1102717577</v>
      </c>
      <c r="P59" s="47">
        <f t="shared" si="33"/>
        <v>1451944.1826545857</v>
      </c>
      <c r="Q59" s="47">
        <f t="shared" si="33"/>
        <v>1438500.2550374137</v>
      </c>
      <c r="R59" s="47">
        <f t="shared" si="33"/>
        <v>1425056.3274202417</v>
      </c>
      <c r="S59" s="47">
        <f t="shared" si="33"/>
        <v>1411612.3998030697</v>
      </c>
      <c r="T59" s="47">
        <f t="shared" si="33"/>
        <v>1398168.4721858976</v>
      </c>
      <c r="U59" s="47">
        <f t="shared" si="33"/>
        <v>1384724.5445687256</v>
      </c>
      <c r="V59" s="47">
        <f t="shared" si="33"/>
        <v>1371280.6169515536</v>
      </c>
      <c r="W59" s="47">
        <f t="shared" si="33"/>
        <v>1357836.6893343816</v>
      </c>
      <c r="X59" s="47">
        <f t="shared" si="33"/>
        <v>1344392.7617172096</v>
      </c>
      <c r="Y59" s="47">
        <f t="shared" si="33"/>
        <v>1330948.8341000376</v>
      </c>
      <c r="Z59" s="47">
        <f t="shared" si="33"/>
        <v>1317504.9064828656</v>
      </c>
      <c r="AA59" s="47">
        <f t="shared" si="33"/>
        <v>1304060.9788656936</v>
      </c>
      <c r="AB59" s="47">
        <f t="shared" si="33"/>
        <v>1290617.0512485215</v>
      </c>
      <c r="AC59" s="47">
        <f t="shared" si="33"/>
        <v>1277173.1236313495</v>
      </c>
      <c r="AD59" s="47">
        <f t="shared" si="33"/>
        <v>1263729.1960141775</v>
      </c>
      <c r="AE59" s="47">
        <f t="shared" si="33"/>
        <v>1250285.2683970055</v>
      </c>
      <c r="AF59" s="47">
        <f t="shared" si="33"/>
        <v>1236841.3407798335</v>
      </c>
      <c r="AG59" s="47">
        <f t="shared" si="33"/>
        <v>1223397.4131626615</v>
      </c>
      <c r="AH59" s="47">
        <f t="shared" si="33"/>
        <v>1209953.4855454895</v>
      </c>
      <c r="AI59" s="47">
        <f t="shared" si="33"/>
        <v>1196509.5579283175</v>
      </c>
      <c r="AJ59" s="47">
        <f t="shared" si="33"/>
        <v>1183065.6303111454</v>
      </c>
      <c r="AK59" s="47">
        <f t="shared" si="33"/>
        <v>1169621.7026939734</v>
      </c>
      <c r="AL59" s="47">
        <f t="shared" si="33"/>
        <v>1156177.7750768014</v>
      </c>
      <c r="AM59" s="47">
        <f t="shared" si="33"/>
        <v>1142733.8474596294</v>
      </c>
      <c r="AN59" s="48">
        <f t="shared" si="33"/>
        <v>1129289.9198424574</v>
      </c>
      <c r="AO59" s="48">
        <f t="shared" si="33"/>
        <v>1115845.9922252854</v>
      </c>
      <c r="AP59" s="48">
        <f t="shared" si="33"/>
        <v>1102402.0646081134</v>
      </c>
      <c r="AQ59" s="48">
        <f t="shared" si="33"/>
        <v>1088958.1369909414</v>
      </c>
      <c r="AR59" s="48">
        <f t="shared" si="33"/>
        <v>1075514.2093737694</v>
      </c>
      <c r="AS59" s="48">
        <f t="shared" si="33"/>
        <v>1062070.2817565973</v>
      </c>
      <c r="AT59" s="48">
        <f t="shared" si="33"/>
        <v>1048626.3541394253</v>
      </c>
      <c r="AU59" s="48">
        <f t="shared" si="33"/>
        <v>1035182.4265222532</v>
      </c>
      <c r="AV59" s="48">
        <f t="shared" si="33"/>
        <v>1021738.4989050811</v>
      </c>
      <c r="AW59" s="48">
        <f t="shared" si="33"/>
        <v>1008294.5712879089</v>
      </c>
      <c r="AX59" s="48">
        <f t="shared" si="33"/>
        <v>994850.64367073681</v>
      </c>
      <c r="AY59" s="48">
        <f t="shared" si="33"/>
        <v>981406.71605356468</v>
      </c>
      <c r="AZ59" s="48">
        <f t="shared" si="33"/>
        <v>967962.78843639256</v>
      </c>
      <c r="BA59" s="48">
        <f t="shared" si="33"/>
        <v>954518.86081922043</v>
      </c>
      <c r="BB59" s="48">
        <f t="shared" si="33"/>
        <v>941074.9332020483</v>
      </c>
      <c r="BC59" s="48">
        <f t="shared" si="33"/>
        <v>927631.00558487617</v>
      </c>
      <c r="BD59" s="48">
        <f t="shared" si="33"/>
        <v>914187.07796770404</v>
      </c>
      <c r="BE59" s="48">
        <f t="shared" si="33"/>
        <v>900743.15035053191</v>
      </c>
      <c r="BF59" s="48">
        <f t="shared" si="33"/>
        <v>887299.22273335978</v>
      </c>
      <c r="BG59" s="48">
        <f t="shared" si="33"/>
        <v>873855.29511618766</v>
      </c>
      <c r="BH59" s="48">
        <f t="shared" si="33"/>
        <v>860411.36749901553</v>
      </c>
      <c r="BI59" s="48">
        <f t="shared" si="33"/>
        <v>846967.4398818434</v>
      </c>
      <c r="BJ59" s="48">
        <f t="shared" si="33"/>
        <v>833523.51226467127</v>
      </c>
      <c r="BK59" s="48">
        <f t="shared" si="33"/>
        <v>820079.58464749914</v>
      </c>
      <c r="BL59" s="48">
        <f t="shared" si="33"/>
        <v>806635.65703032701</v>
      </c>
      <c r="BM59" s="48">
        <f t="shared" si="33"/>
        <v>793191.72941315488</v>
      </c>
      <c r="BN59" s="48">
        <f t="shared" si="33"/>
        <v>779747.80179598276</v>
      </c>
      <c r="BO59" s="48">
        <f t="shared" si="33"/>
        <v>766303.87417881063</v>
      </c>
      <c r="BP59" s="48">
        <f t="shared" si="33"/>
        <v>752859.9465616385</v>
      </c>
      <c r="BQ59" s="48">
        <f t="shared" si="33"/>
        <v>739416.01894446637</v>
      </c>
      <c r="BR59" s="48">
        <f t="shared" si="33"/>
        <v>725972.09132729424</v>
      </c>
      <c r="BS59" s="48">
        <f t="shared" ref="BS59:ED59" si="34">BS57-BS58</f>
        <v>712528.16371012211</v>
      </c>
      <c r="BT59" s="48">
        <f t="shared" si="34"/>
        <v>699084.23609294998</v>
      </c>
      <c r="BU59" s="48">
        <f t="shared" si="34"/>
        <v>685640.30847577786</v>
      </c>
      <c r="BV59" s="48">
        <f t="shared" si="34"/>
        <v>672196.38085860573</v>
      </c>
      <c r="BW59" s="48">
        <f t="shared" si="34"/>
        <v>658752.4532414336</v>
      </c>
      <c r="BX59" s="48">
        <f t="shared" si="34"/>
        <v>645308.52562426147</v>
      </c>
      <c r="BY59" s="48">
        <f t="shared" si="34"/>
        <v>631864.59800708934</v>
      </c>
      <c r="BZ59" s="48">
        <f t="shared" si="34"/>
        <v>618420.67038991721</v>
      </c>
      <c r="CA59" s="48">
        <f t="shared" si="34"/>
        <v>604976.74277274508</v>
      </c>
      <c r="CB59" s="48">
        <f t="shared" si="34"/>
        <v>591532.81515557296</v>
      </c>
      <c r="CC59" s="48">
        <f t="shared" si="34"/>
        <v>578088.88753840083</v>
      </c>
      <c r="CD59" s="48">
        <f t="shared" si="34"/>
        <v>564644.9599212287</v>
      </c>
      <c r="CE59" s="48">
        <f t="shared" si="34"/>
        <v>551201.03230405657</v>
      </c>
      <c r="CF59" s="48">
        <f t="shared" si="34"/>
        <v>537757.10468688444</v>
      </c>
      <c r="CG59" s="48">
        <f t="shared" si="34"/>
        <v>524313.17706971231</v>
      </c>
      <c r="CH59" s="48">
        <f t="shared" si="34"/>
        <v>510869.24945254024</v>
      </c>
      <c r="CI59" s="48">
        <f t="shared" si="34"/>
        <v>497425.32183536817</v>
      </c>
      <c r="CJ59" s="48">
        <f t="shared" si="34"/>
        <v>483981.3942181961</v>
      </c>
      <c r="CK59" s="48">
        <f t="shared" si="34"/>
        <v>470537.46660102403</v>
      </c>
      <c r="CL59" s="48">
        <f t="shared" si="34"/>
        <v>457093.53898385196</v>
      </c>
      <c r="CM59" s="48">
        <f t="shared" si="34"/>
        <v>443649.61136667989</v>
      </c>
      <c r="CN59" s="48">
        <f t="shared" si="34"/>
        <v>430205.68374950782</v>
      </c>
      <c r="CO59" s="48">
        <f t="shared" si="34"/>
        <v>416761.75613233575</v>
      </c>
      <c r="CP59" s="48">
        <f t="shared" si="34"/>
        <v>403317.82851516368</v>
      </c>
      <c r="CQ59" s="48">
        <f t="shared" si="34"/>
        <v>389873.90089799161</v>
      </c>
      <c r="CR59" s="48">
        <f t="shared" si="34"/>
        <v>376429.97328081954</v>
      </c>
      <c r="CS59" s="48">
        <f t="shared" si="34"/>
        <v>362986.04566364747</v>
      </c>
      <c r="CT59" s="48">
        <f t="shared" si="34"/>
        <v>349542.1180464754</v>
      </c>
      <c r="CU59" s="48">
        <f t="shared" si="34"/>
        <v>336098.19042930333</v>
      </c>
      <c r="CV59" s="48">
        <f t="shared" si="34"/>
        <v>322654.26281213126</v>
      </c>
      <c r="CW59" s="48">
        <f t="shared" si="34"/>
        <v>309210.33519495919</v>
      </c>
      <c r="CX59" s="48">
        <f t="shared" si="34"/>
        <v>295766.40757778712</v>
      </c>
      <c r="CY59" s="48">
        <f t="shared" si="34"/>
        <v>282322.47996061505</v>
      </c>
      <c r="CZ59" s="48">
        <f t="shared" si="34"/>
        <v>268878.55234344298</v>
      </c>
      <c r="DA59" s="48">
        <f t="shared" si="34"/>
        <v>255434.62472627091</v>
      </c>
      <c r="DB59" s="48">
        <f t="shared" si="34"/>
        <v>241990.69710909884</v>
      </c>
      <c r="DC59" s="48">
        <f t="shared" si="34"/>
        <v>228546.76949192677</v>
      </c>
      <c r="DD59" s="48">
        <f t="shared" si="34"/>
        <v>215102.8418747547</v>
      </c>
      <c r="DE59" s="48">
        <f t="shared" si="34"/>
        <v>201658.91425758263</v>
      </c>
      <c r="DF59" s="48">
        <f t="shared" si="34"/>
        <v>188214.98664041056</v>
      </c>
      <c r="DG59" s="48">
        <f t="shared" si="34"/>
        <v>174771.05902323849</v>
      </c>
      <c r="DH59" s="48">
        <f t="shared" si="34"/>
        <v>161327.13140606642</v>
      </c>
      <c r="DI59" s="48">
        <f t="shared" si="34"/>
        <v>147883.20378889435</v>
      </c>
      <c r="DJ59" s="48">
        <f t="shared" si="34"/>
        <v>134439.27617172227</v>
      </c>
      <c r="DK59" s="48">
        <f t="shared" si="34"/>
        <v>120995.34855455019</v>
      </c>
      <c r="DL59" s="48">
        <f t="shared" si="34"/>
        <v>107551.42093737811</v>
      </c>
      <c r="DM59" s="48">
        <f t="shared" si="34"/>
        <v>94107.49332020602</v>
      </c>
      <c r="DN59" s="48">
        <f t="shared" si="34"/>
        <v>80663.565703033935</v>
      </c>
      <c r="DO59" s="48">
        <f t="shared" si="34"/>
        <v>67219.63808586185</v>
      </c>
      <c r="DP59" s="48">
        <f t="shared" si="34"/>
        <v>53775.710468689766</v>
      </c>
      <c r="DQ59" s="48">
        <f t="shared" si="34"/>
        <v>40331.782851517681</v>
      </c>
      <c r="DR59" s="48">
        <f t="shared" si="34"/>
        <v>26887.855234345596</v>
      </c>
      <c r="DS59" s="48">
        <f t="shared" si="34"/>
        <v>13443.927617173513</v>
      </c>
      <c r="DT59" s="48">
        <f t="shared" si="34"/>
        <v>1.4297256711870432E-9</v>
      </c>
      <c r="DU59" s="48">
        <f t="shared" si="34"/>
        <v>-13443.927617170653</v>
      </c>
      <c r="DV59" s="48">
        <f t="shared" si="34"/>
        <v>-26887.855234342736</v>
      </c>
      <c r="DW59" s="48">
        <f t="shared" si="34"/>
        <v>-40331.782851514821</v>
      </c>
      <c r="DX59" s="48">
        <f t="shared" si="34"/>
        <v>-53775.710468686906</v>
      </c>
      <c r="DY59" s="48">
        <f t="shared" si="34"/>
        <v>-67219.638085858984</v>
      </c>
      <c r="DZ59" s="48">
        <f t="shared" si="34"/>
        <v>-80663.565703031069</v>
      </c>
      <c r="EA59" s="48">
        <f t="shared" si="34"/>
        <v>-94107.493320203153</v>
      </c>
      <c r="EB59" s="48">
        <f t="shared" si="34"/>
        <v>-107551.42093737524</v>
      </c>
      <c r="EC59" s="48">
        <f t="shared" si="34"/>
        <v>-120995.34855454732</v>
      </c>
      <c r="ED59" s="48">
        <f t="shared" si="34"/>
        <v>-134439.27617171939</v>
      </c>
      <c r="EE59" s="48">
        <f t="shared" ref="EE59:EH59" si="35">EE57-EE58</f>
        <v>-147883.20378889146</v>
      </c>
      <c r="EF59" s="48">
        <f t="shared" si="35"/>
        <v>-161327.13140606353</v>
      </c>
      <c r="EG59" s="48">
        <f t="shared" si="35"/>
        <v>-174771.0590232356</v>
      </c>
      <c r="EH59" s="48">
        <f t="shared" si="35"/>
        <v>-188214.98664040767</v>
      </c>
    </row>
    <row r="60" spans="1:138" ht="14.5" hidden="1" customHeight="1" x14ac:dyDescent="0.35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</row>
    <row r="61" spans="1:138" s="45" customFormat="1" hidden="1" x14ac:dyDescent="0.35">
      <c r="A61" s="28" t="s">
        <v>42</v>
      </c>
      <c r="B61" s="28"/>
      <c r="C61" s="44"/>
      <c r="D61" s="44"/>
      <c r="E61" s="44"/>
      <c r="F61" s="44"/>
      <c r="G61" s="44">
        <f>F44</f>
        <v>400000</v>
      </c>
      <c r="H61" s="44">
        <f t="shared" ref="H61:BS61" si="36">G63</f>
        <v>391000</v>
      </c>
      <c r="I61" s="44">
        <f t="shared" si="36"/>
        <v>388000</v>
      </c>
      <c r="J61" s="44">
        <f t="shared" si="36"/>
        <v>385000</v>
      </c>
      <c r="K61" s="44">
        <f t="shared" si="36"/>
        <v>382000</v>
      </c>
      <c r="L61" s="44">
        <f t="shared" si="36"/>
        <v>379000</v>
      </c>
      <c r="M61" s="44">
        <f t="shared" si="36"/>
        <v>376000</v>
      </c>
      <c r="N61" s="44">
        <f t="shared" si="36"/>
        <v>373000</v>
      </c>
      <c r="O61" s="44">
        <f t="shared" si="36"/>
        <v>370000</v>
      </c>
      <c r="P61" s="44">
        <f t="shared" si="36"/>
        <v>367000</v>
      </c>
      <c r="Q61" s="44">
        <f t="shared" si="36"/>
        <v>364000</v>
      </c>
      <c r="R61" s="44">
        <f t="shared" si="36"/>
        <v>361000</v>
      </c>
      <c r="S61" s="44">
        <f t="shared" si="36"/>
        <v>358000</v>
      </c>
      <c r="T61" s="44">
        <f t="shared" si="36"/>
        <v>355000</v>
      </c>
      <c r="U61" s="44">
        <f t="shared" si="36"/>
        <v>352000</v>
      </c>
      <c r="V61" s="44">
        <f t="shared" si="36"/>
        <v>349000</v>
      </c>
      <c r="W61" s="44">
        <f t="shared" si="36"/>
        <v>346000</v>
      </c>
      <c r="X61" s="44">
        <f t="shared" si="36"/>
        <v>343000</v>
      </c>
      <c r="Y61" s="44">
        <f t="shared" si="36"/>
        <v>340000</v>
      </c>
      <c r="Z61" s="44">
        <f t="shared" si="36"/>
        <v>337000</v>
      </c>
      <c r="AA61" s="44">
        <f t="shared" si="36"/>
        <v>334000</v>
      </c>
      <c r="AB61" s="44">
        <f t="shared" si="36"/>
        <v>331000</v>
      </c>
      <c r="AC61" s="44">
        <f t="shared" si="36"/>
        <v>328000</v>
      </c>
      <c r="AD61" s="44">
        <f t="shared" si="36"/>
        <v>325000</v>
      </c>
      <c r="AE61" s="44">
        <f t="shared" si="36"/>
        <v>322000</v>
      </c>
      <c r="AF61" s="44">
        <f t="shared" si="36"/>
        <v>319000</v>
      </c>
      <c r="AG61" s="44">
        <f t="shared" si="36"/>
        <v>316000</v>
      </c>
      <c r="AH61" s="44">
        <f t="shared" si="36"/>
        <v>313000</v>
      </c>
      <c r="AI61" s="44">
        <f t="shared" si="36"/>
        <v>310000</v>
      </c>
      <c r="AJ61" s="44">
        <f t="shared" si="36"/>
        <v>307000</v>
      </c>
      <c r="AK61" s="44">
        <f t="shared" si="36"/>
        <v>304000</v>
      </c>
      <c r="AL61" s="44">
        <f t="shared" si="36"/>
        <v>301000</v>
      </c>
      <c r="AM61" s="44">
        <f t="shared" si="36"/>
        <v>298000</v>
      </c>
      <c r="AN61" s="45">
        <f t="shared" si="36"/>
        <v>295000</v>
      </c>
      <c r="AO61" s="45">
        <f t="shared" si="36"/>
        <v>292000</v>
      </c>
      <c r="AP61" s="45">
        <f t="shared" si="36"/>
        <v>289000</v>
      </c>
      <c r="AQ61" s="45">
        <f t="shared" si="36"/>
        <v>286000</v>
      </c>
      <c r="AR61" s="45">
        <f t="shared" si="36"/>
        <v>283000</v>
      </c>
      <c r="AS61" s="45">
        <f t="shared" si="36"/>
        <v>280000</v>
      </c>
      <c r="AT61" s="45">
        <f t="shared" si="36"/>
        <v>277000</v>
      </c>
      <c r="AU61" s="45">
        <f t="shared" si="36"/>
        <v>274000</v>
      </c>
      <c r="AV61" s="45">
        <f t="shared" si="36"/>
        <v>271000</v>
      </c>
      <c r="AW61" s="45">
        <f t="shared" si="36"/>
        <v>268000</v>
      </c>
      <c r="AX61" s="45">
        <f t="shared" si="36"/>
        <v>265000</v>
      </c>
      <c r="AY61" s="45">
        <f t="shared" si="36"/>
        <v>262000</v>
      </c>
      <c r="AZ61" s="45">
        <f t="shared" si="36"/>
        <v>259000</v>
      </c>
      <c r="BA61" s="45">
        <f t="shared" si="36"/>
        <v>256000</v>
      </c>
      <c r="BB61" s="45">
        <f t="shared" si="36"/>
        <v>253000</v>
      </c>
      <c r="BC61" s="45">
        <f t="shared" si="36"/>
        <v>250000</v>
      </c>
      <c r="BD61" s="45">
        <f t="shared" si="36"/>
        <v>247000</v>
      </c>
      <c r="BE61" s="45">
        <f t="shared" si="36"/>
        <v>244000</v>
      </c>
      <c r="BF61" s="45">
        <f t="shared" si="36"/>
        <v>241000</v>
      </c>
      <c r="BG61" s="45">
        <f t="shared" si="36"/>
        <v>238000</v>
      </c>
      <c r="BH61" s="45">
        <f t="shared" si="36"/>
        <v>235000</v>
      </c>
      <c r="BI61" s="45">
        <f t="shared" si="36"/>
        <v>232000</v>
      </c>
      <c r="BJ61" s="45">
        <f t="shared" si="36"/>
        <v>229000</v>
      </c>
      <c r="BK61" s="45">
        <f t="shared" si="36"/>
        <v>226000</v>
      </c>
      <c r="BL61" s="45">
        <f t="shared" si="36"/>
        <v>223000</v>
      </c>
      <c r="BM61" s="45">
        <f t="shared" si="36"/>
        <v>220000</v>
      </c>
      <c r="BN61" s="45">
        <f t="shared" si="36"/>
        <v>217000</v>
      </c>
      <c r="BO61" s="45">
        <f t="shared" si="36"/>
        <v>214000</v>
      </c>
      <c r="BP61" s="45">
        <f t="shared" si="36"/>
        <v>211000</v>
      </c>
      <c r="BQ61" s="45">
        <f t="shared" si="36"/>
        <v>208000</v>
      </c>
      <c r="BR61" s="45">
        <f t="shared" si="36"/>
        <v>205000</v>
      </c>
      <c r="BS61" s="45">
        <f t="shared" si="36"/>
        <v>202000</v>
      </c>
      <c r="BT61" s="45">
        <f t="shared" ref="BT61:EE61" si="37">BS63</f>
        <v>199000</v>
      </c>
      <c r="BU61" s="45">
        <f t="shared" si="37"/>
        <v>196000</v>
      </c>
      <c r="BV61" s="45">
        <f t="shared" si="37"/>
        <v>193000</v>
      </c>
      <c r="BW61" s="45">
        <f t="shared" si="37"/>
        <v>190000</v>
      </c>
      <c r="BX61" s="45">
        <f t="shared" si="37"/>
        <v>187000</v>
      </c>
      <c r="BY61" s="45">
        <f t="shared" si="37"/>
        <v>184000</v>
      </c>
      <c r="BZ61" s="45">
        <f t="shared" si="37"/>
        <v>181000</v>
      </c>
      <c r="CA61" s="45">
        <f t="shared" si="37"/>
        <v>178000</v>
      </c>
      <c r="CB61" s="45">
        <f t="shared" si="37"/>
        <v>175000</v>
      </c>
      <c r="CC61" s="45">
        <f t="shared" si="37"/>
        <v>172000</v>
      </c>
      <c r="CD61" s="45">
        <f t="shared" si="37"/>
        <v>169000</v>
      </c>
      <c r="CE61" s="45">
        <f t="shared" si="37"/>
        <v>166000</v>
      </c>
      <c r="CF61" s="45">
        <f t="shared" si="37"/>
        <v>163000</v>
      </c>
      <c r="CG61" s="45">
        <f t="shared" si="37"/>
        <v>160000</v>
      </c>
      <c r="CH61" s="45">
        <f t="shared" si="37"/>
        <v>157000</v>
      </c>
      <c r="CI61" s="45">
        <f t="shared" si="37"/>
        <v>154000</v>
      </c>
      <c r="CJ61" s="45">
        <f t="shared" si="37"/>
        <v>151000</v>
      </c>
      <c r="CK61" s="45">
        <f t="shared" si="37"/>
        <v>148000</v>
      </c>
      <c r="CL61" s="45">
        <f t="shared" si="37"/>
        <v>145000</v>
      </c>
      <c r="CM61" s="45">
        <f t="shared" si="37"/>
        <v>142000</v>
      </c>
      <c r="CN61" s="45">
        <f t="shared" si="37"/>
        <v>139000</v>
      </c>
      <c r="CO61" s="45">
        <f t="shared" si="37"/>
        <v>136000</v>
      </c>
      <c r="CP61" s="45">
        <f t="shared" si="37"/>
        <v>133000</v>
      </c>
      <c r="CQ61" s="45">
        <f t="shared" si="37"/>
        <v>130000</v>
      </c>
      <c r="CR61" s="45">
        <f t="shared" si="37"/>
        <v>127000</v>
      </c>
      <c r="CS61" s="45">
        <f t="shared" si="37"/>
        <v>124000</v>
      </c>
      <c r="CT61" s="45">
        <f t="shared" si="37"/>
        <v>121000</v>
      </c>
      <c r="CU61" s="45">
        <f t="shared" si="37"/>
        <v>118000</v>
      </c>
      <c r="CV61" s="45">
        <f t="shared" si="37"/>
        <v>115000</v>
      </c>
      <c r="CW61" s="45">
        <f t="shared" si="37"/>
        <v>112000</v>
      </c>
      <c r="CX61" s="45">
        <f t="shared" si="37"/>
        <v>109000</v>
      </c>
      <c r="CY61" s="45">
        <f t="shared" si="37"/>
        <v>106000</v>
      </c>
      <c r="CZ61" s="45">
        <f t="shared" si="37"/>
        <v>103000</v>
      </c>
      <c r="DA61" s="45">
        <f t="shared" si="37"/>
        <v>100000</v>
      </c>
      <c r="DB61" s="45">
        <f t="shared" si="37"/>
        <v>97000</v>
      </c>
      <c r="DC61" s="45">
        <f t="shared" si="37"/>
        <v>94000</v>
      </c>
      <c r="DD61" s="45">
        <f t="shared" si="37"/>
        <v>91000</v>
      </c>
      <c r="DE61" s="45">
        <f t="shared" si="37"/>
        <v>88000</v>
      </c>
      <c r="DF61" s="45">
        <f t="shared" si="37"/>
        <v>85000</v>
      </c>
      <c r="DG61" s="45">
        <f t="shared" si="37"/>
        <v>82000</v>
      </c>
      <c r="DH61" s="45">
        <f t="shared" si="37"/>
        <v>79000</v>
      </c>
      <c r="DI61" s="45">
        <f t="shared" si="37"/>
        <v>76000</v>
      </c>
      <c r="DJ61" s="45">
        <f t="shared" si="37"/>
        <v>73000</v>
      </c>
      <c r="DK61" s="45">
        <f t="shared" si="37"/>
        <v>70000</v>
      </c>
      <c r="DL61" s="45">
        <f t="shared" si="37"/>
        <v>67000</v>
      </c>
      <c r="DM61" s="45">
        <f t="shared" si="37"/>
        <v>64000</v>
      </c>
      <c r="DN61" s="45">
        <f t="shared" si="37"/>
        <v>61000</v>
      </c>
      <c r="DO61" s="45">
        <f t="shared" si="37"/>
        <v>58000</v>
      </c>
      <c r="DP61" s="45">
        <f t="shared" si="37"/>
        <v>55000</v>
      </c>
      <c r="DQ61" s="45">
        <f t="shared" si="37"/>
        <v>52000</v>
      </c>
      <c r="DR61" s="45">
        <f t="shared" si="37"/>
        <v>49000</v>
      </c>
      <c r="DS61" s="45">
        <f t="shared" si="37"/>
        <v>46000</v>
      </c>
      <c r="DT61" s="45">
        <f t="shared" si="37"/>
        <v>23810</v>
      </c>
      <c r="DU61" s="45">
        <f t="shared" si="37"/>
        <v>0</v>
      </c>
      <c r="DV61" s="45">
        <f t="shared" si="37"/>
        <v>0</v>
      </c>
      <c r="DW61" s="45">
        <f t="shared" si="37"/>
        <v>0</v>
      </c>
      <c r="DX61" s="45">
        <f t="shared" si="37"/>
        <v>0</v>
      </c>
      <c r="DY61" s="45">
        <f t="shared" si="37"/>
        <v>0</v>
      </c>
      <c r="DZ61" s="45">
        <f t="shared" si="37"/>
        <v>0</v>
      </c>
      <c r="EA61" s="45">
        <f t="shared" si="37"/>
        <v>0</v>
      </c>
      <c r="EB61" s="45">
        <f t="shared" si="37"/>
        <v>0</v>
      </c>
      <c r="EC61" s="45">
        <f t="shared" si="37"/>
        <v>0</v>
      </c>
      <c r="ED61" s="45">
        <f t="shared" si="37"/>
        <v>0</v>
      </c>
      <c r="EE61" s="45">
        <f t="shared" si="37"/>
        <v>0</v>
      </c>
      <c r="EF61" s="45">
        <f t="shared" ref="EF61:EH61" si="38">EE63</f>
        <v>0</v>
      </c>
      <c r="EG61" s="45">
        <f t="shared" si="38"/>
        <v>0</v>
      </c>
      <c r="EH61" s="45">
        <f t="shared" si="38"/>
        <v>0</v>
      </c>
    </row>
    <row r="62" spans="1:138" s="2" customFormat="1" hidden="1" x14ac:dyDescent="0.35">
      <c r="A62" s="32" t="s">
        <v>45</v>
      </c>
      <c r="B62" s="32"/>
      <c r="C62" s="3"/>
      <c r="D62" s="3"/>
      <c r="E62" s="3"/>
      <c r="F62" s="49"/>
      <c r="G62" s="49">
        <f>-3000*3</f>
        <v>-9000</v>
      </c>
      <c r="H62" s="49">
        <f t="shared" ref="H62:BS62" si="39">-IF(H42&gt;$E$8,0,IF(H40&gt;$E$34,0,IF(H40&lt;$E$32,0,$E$31/$E$33)))-IF($C$29=TRUE,IF(H41=$E$5,$E$29,0),0)</f>
        <v>-3000</v>
      </c>
      <c r="I62" s="49">
        <f t="shared" si="39"/>
        <v>-3000</v>
      </c>
      <c r="J62" s="49">
        <f t="shared" si="39"/>
        <v>-3000</v>
      </c>
      <c r="K62" s="49">
        <f t="shared" si="39"/>
        <v>-3000</v>
      </c>
      <c r="L62" s="49">
        <f t="shared" si="39"/>
        <v>-3000</v>
      </c>
      <c r="M62" s="49">
        <f t="shared" si="39"/>
        <v>-3000</v>
      </c>
      <c r="N62" s="49">
        <f t="shared" si="39"/>
        <v>-3000</v>
      </c>
      <c r="O62" s="49">
        <f t="shared" si="39"/>
        <v>-3000</v>
      </c>
      <c r="P62" s="49">
        <f t="shared" si="39"/>
        <v>-3000</v>
      </c>
      <c r="Q62" s="49">
        <f t="shared" si="39"/>
        <v>-3000</v>
      </c>
      <c r="R62" s="49">
        <f t="shared" si="39"/>
        <v>-3000</v>
      </c>
      <c r="S62" s="49">
        <f t="shared" si="39"/>
        <v>-3000</v>
      </c>
      <c r="T62" s="49">
        <f t="shared" si="39"/>
        <v>-3000</v>
      </c>
      <c r="U62" s="49">
        <f t="shared" si="39"/>
        <v>-3000</v>
      </c>
      <c r="V62" s="49">
        <f t="shared" si="39"/>
        <v>-3000</v>
      </c>
      <c r="W62" s="49">
        <f t="shared" si="39"/>
        <v>-3000</v>
      </c>
      <c r="X62" s="49">
        <f t="shared" si="39"/>
        <v>-3000</v>
      </c>
      <c r="Y62" s="49">
        <f t="shared" si="39"/>
        <v>-3000</v>
      </c>
      <c r="Z62" s="49">
        <f t="shared" si="39"/>
        <v>-3000</v>
      </c>
      <c r="AA62" s="49">
        <f t="shared" si="39"/>
        <v>-3000</v>
      </c>
      <c r="AB62" s="49">
        <f t="shared" si="39"/>
        <v>-3000</v>
      </c>
      <c r="AC62" s="49">
        <f t="shared" si="39"/>
        <v>-3000</v>
      </c>
      <c r="AD62" s="49">
        <f t="shared" si="39"/>
        <v>-3000</v>
      </c>
      <c r="AE62" s="49">
        <f t="shared" si="39"/>
        <v>-3000</v>
      </c>
      <c r="AF62" s="49">
        <f t="shared" si="39"/>
        <v>-3000</v>
      </c>
      <c r="AG62" s="49">
        <f t="shared" si="39"/>
        <v>-3000</v>
      </c>
      <c r="AH62" s="49">
        <f t="shared" si="39"/>
        <v>-3000</v>
      </c>
      <c r="AI62" s="49">
        <f t="shared" si="39"/>
        <v>-3000</v>
      </c>
      <c r="AJ62" s="49">
        <f t="shared" si="39"/>
        <v>-3000</v>
      </c>
      <c r="AK62" s="49">
        <f t="shared" si="39"/>
        <v>-3000</v>
      </c>
      <c r="AL62" s="49">
        <f t="shared" si="39"/>
        <v>-3000</v>
      </c>
      <c r="AM62" s="49">
        <f t="shared" si="39"/>
        <v>-3000</v>
      </c>
      <c r="AN62" s="49">
        <f t="shared" si="39"/>
        <v>-3000</v>
      </c>
      <c r="AO62" s="49">
        <f t="shared" si="39"/>
        <v>-3000</v>
      </c>
      <c r="AP62" s="49">
        <f t="shared" si="39"/>
        <v>-3000</v>
      </c>
      <c r="AQ62" s="49">
        <f t="shared" si="39"/>
        <v>-3000</v>
      </c>
      <c r="AR62" s="49">
        <f t="shared" si="39"/>
        <v>-3000</v>
      </c>
      <c r="AS62" s="49">
        <f t="shared" si="39"/>
        <v>-3000</v>
      </c>
      <c r="AT62" s="49">
        <f t="shared" si="39"/>
        <v>-3000</v>
      </c>
      <c r="AU62" s="49">
        <f t="shared" si="39"/>
        <v>-3000</v>
      </c>
      <c r="AV62" s="49">
        <f t="shared" si="39"/>
        <v>-3000</v>
      </c>
      <c r="AW62" s="49">
        <f t="shared" si="39"/>
        <v>-3000</v>
      </c>
      <c r="AX62" s="49">
        <f t="shared" si="39"/>
        <v>-3000</v>
      </c>
      <c r="AY62" s="49">
        <f t="shared" si="39"/>
        <v>-3000</v>
      </c>
      <c r="AZ62" s="49">
        <f t="shared" si="39"/>
        <v>-3000</v>
      </c>
      <c r="BA62" s="49">
        <f t="shared" si="39"/>
        <v>-3000</v>
      </c>
      <c r="BB62" s="49">
        <f t="shared" si="39"/>
        <v>-3000</v>
      </c>
      <c r="BC62" s="49">
        <f t="shared" si="39"/>
        <v>-3000</v>
      </c>
      <c r="BD62" s="49">
        <f t="shared" si="39"/>
        <v>-3000</v>
      </c>
      <c r="BE62" s="49">
        <f t="shared" si="39"/>
        <v>-3000</v>
      </c>
      <c r="BF62" s="49">
        <f t="shared" si="39"/>
        <v>-3000</v>
      </c>
      <c r="BG62" s="49">
        <f t="shared" si="39"/>
        <v>-3000</v>
      </c>
      <c r="BH62" s="49">
        <f t="shared" si="39"/>
        <v>-3000</v>
      </c>
      <c r="BI62" s="49">
        <f t="shared" si="39"/>
        <v>-3000</v>
      </c>
      <c r="BJ62" s="49">
        <f t="shared" si="39"/>
        <v>-3000</v>
      </c>
      <c r="BK62" s="49">
        <f t="shared" si="39"/>
        <v>-3000</v>
      </c>
      <c r="BL62" s="49">
        <f t="shared" si="39"/>
        <v>-3000</v>
      </c>
      <c r="BM62" s="49">
        <f t="shared" si="39"/>
        <v>-3000</v>
      </c>
      <c r="BN62" s="49">
        <f t="shared" si="39"/>
        <v>-3000</v>
      </c>
      <c r="BO62" s="49">
        <f t="shared" si="39"/>
        <v>-3000</v>
      </c>
      <c r="BP62" s="49">
        <f t="shared" si="39"/>
        <v>-3000</v>
      </c>
      <c r="BQ62" s="49">
        <f t="shared" si="39"/>
        <v>-3000</v>
      </c>
      <c r="BR62" s="49">
        <f t="shared" si="39"/>
        <v>-3000</v>
      </c>
      <c r="BS62" s="49">
        <f t="shared" si="39"/>
        <v>-3000</v>
      </c>
      <c r="BT62" s="49">
        <f t="shared" ref="BT62:EE62" si="40">-IF(BT42&gt;$E$8,0,IF(BT40&gt;$E$34,0,IF(BT40&lt;$E$32,0,$E$31/$E$33)))-IF($C$29=TRUE,IF(BT41=$E$5,$E$29,0),0)</f>
        <v>-3000</v>
      </c>
      <c r="BU62" s="49">
        <f t="shared" si="40"/>
        <v>-3000</v>
      </c>
      <c r="BV62" s="49">
        <f t="shared" si="40"/>
        <v>-3000</v>
      </c>
      <c r="BW62" s="49">
        <f t="shared" si="40"/>
        <v>-3000</v>
      </c>
      <c r="BX62" s="49">
        <f t="shared" si="40"/>
        <v>-3000</v>
      </c>
      <c r="BY62" s="49">
        <f t="shared" si="40"/>
        <v>-3000</v>
      </c>
      <c r="BZ62" s="49">
        <f t="shared" si="40"/>
        <v>-3000</v>
      </c>
      <c r="CA62" s="49">
        <f t="shared" si="40"/>
        <v>-3000</v>
      </c>
      <c r="CB62" s="49">
        <f t="shared" si="40"/>
        <v>-3000</v>
      </c>
      <c r="CC62" s="49">
        <f t="shared" si="40"/>
        <v>-3000</v>
      </c>
      <c r="CD62" s="49">
        <f t="shared" si="40"/>
        <v>-3000</v>
      </c>
      <c r="CE62" s="49">
        <f t="shared" si="40"/>
        <v>-3000</v>
      </c>
      <c r="CF62" s="49">
        <f t="shared" si="40"/>
        <v>-3000</v>
      </c>
      <c r="CG62" s="49">
        <f t="shared" si="40"/>
        <v>-3000</v>
      </c>
      <c r="CH62" s="49">
        <f t="shared" si="40"/>
        <v>-3000</v>
      </c>
      <c r="CI62" s="49">
        <f t="shared" si="40"/>
        <v>-3000</v>
      </c>
      <c r="CJ62" s="49">
        <f t="shared" si="40"/>
        <v>-3000</v>
      </c>
      <c r="CK62" s="49">
        <f t="shared" si="40"/>
        <v>-3000</v>
      </c>
      <c r="CL62" s="49">
        <f t="shared" si="40"/>
        <v>-3000</v>
      </c>
      <c r="CM62" s="49">
        <f t="shared" si="40"/>
        <v>-3000</v>
      </c>
      <c r="CN62" s="49">
        <f t="shared" si="40"/>
        <v>-3000</v>
      </c>
      <c r="CO62" s="49">
        <f t="shared" si="40"/>
        <v>-3000</v>
      </c>
      <c r="CP62" s="49">
        <f t="shared" si="40"/>
        <v>-3000</v>
      </c>
      <c r="CQ62" s="49">
        <f t="shared" si="40"/>
        <v>-3000</v>
      </c>
      <c r="CR62" s="49">
        <f t="shared" si="40"/>
        <v>-3000</v>
      </c>
      <c r="CS62" s="49">
        <f t="shared" si="40"/>
        <v>-3000</v>
      </c>
      <c r="CT62" s="49">
        <f t="shared" si="40"/>
        <v>-3000</v>
      </c>
      <c r="CU62" s="49">
        <f t="shared" si="40"/>
        <v>-3000</v>
      </c>
      <c r="CV62" s="49">
        <f t="shared" si="40"/>
        <v>-3000</v>
      </c>
      <c r="CW62" s="49">
        <f t="shared" si="40"/>
        <v>-3000</v>
      </c>
      <c r="CX62" s="49">
        <f t="shared" si="40"/>
        <v>-3000</v>
      </c>
      <c r="CY62" s="49">
        <f t="shared" si="40"/>
        <v>-3000</v>
      </c>
      <c r="CZ62" s="49">
        <f t="shared" si="40"/>
        <v>-3000</v>
      </c>
      <c r="DA62" s="49">
        <f t="shared" si="40"/>
        <v>-3000</v>
      </c>
      <c r="DB62" s="49">
        <f t="shared" si="40"/>
        <v>-3000</v>
      </c>
      <c r="DC62" s="49">
        <f t="shared" si="40"/>
        <v>-3000</v>
      </c>
      <c r="DD62" s="49">
        <f t="shared" si="40"/>
        <v>-3000</v>
      </c>
      <c r="DE62" s="49">
        <f t="shared" si="40"/>
        <v>-3000</v>
      </c>
      <c r="DF62" s="49">
        <f t="shared" si="40"/>
        <v>-3000</v>
      </c>
      <c r="DG62" s="49">
        <f t="shared" si="40"/>
        <v>-3000</v>
      </c>
      <c r="DH62" s="49">
        <f t="shared" si="40"/>
        <v>-3000</v>
      </c>
      <c r="DI62" s="49">
        <f t="shared" si="40"/>
        <v>-3000</v>
      </c>
      <c r="DJ62" s="49">
        <f t="shared" si="40"/>
        <v>-3000</v>
      </c>
      <c r="DK62" s="49">
        <f t="shared" si="40"/>
        <v>-3000</v>
      </c>
      <c r="DL62" s="49">
        <f t="shared" si="40"/>
        <v>-3000</v>
      </c>
      <c r="DM62" s="49">
        <f t="shared" si="40"/>
        <v>-3000</v>
      </c>
      <c r="DN62" s="49">
        <f t="shared" si="40"/>
        <v>-3000</v>
      </c>
      <c r="DO62" s="49">
        <f t="shared" si="40"/>
        <v>-3000</v>
      </c>
      <c r="DP62" s="49">
        <f t="shared" si="40"/>
        <v>-3000</v>
      </c>
      <c r="DQ62" s="49">
        <f t="shared" si="40"/>
        <v>-3000</v>
      </c>
      <c r="DR62" s="49">
        <f t="shared" si="40"/>
        <v>-3000</v>
      </c>
      <c r="DS62" s="49">
        <f>-IF(DS42&gt;$E$8,0,IF(DS40&gt;$E$34,0,IF(DS40&lt;$E$32,0,$E$31/$E$33)))-IF($C$29=TRUE,IF(DS41=$E$5,$E$29,0),0)-19190</f>
        <v>-22190</v>
      </c>
      <c r="DT62" s="49">
        <f>-3000-20810</f>
        <v>-23810</v>
      </c>
      <c r="DU62" s="49">
        <f t="shared" si="40"/>
        <v>0</v>
      </c>
      <c r="DV62" s="49">
        <f t="shared" si="40"/>
        <v>0</v>
      </c>
      <c r="DW62" s="49">
        <f t="shared" si="40"/>
        <v>0</v>
      </c>
      <c r="DX62" s="49">
        <f t="shared" si="40"/>
        <v>0</v>
      </c>
      <c r="DY62" s="49">
        <f t="shared" si="40"/>
        <v>0</v>
      </c>
      <c r="DZ62" s="49">
        <f t="shared" si="40"/>
        <v>0</v>
      </c>
      <c r="EA62" s="49">
        <f t="shared" si="40"/>
        <v>0</v>
      </c>
      <c r="EB62" s="49">
        <f t="shared" si="40"/>
        <v>0</v>
      </c>
      <c r="EC62" s="49">
        <f t="shared" si="40"/>
        <v>0</v>
      </c>
      <c r="ED62" s="49">
        <f t="shared" si="40"/>
        <v>0</v>
      </c>
      <c r="EE62" s="49">
        <f t="shared" si="40"/>
        <v>0</v>
      </c>
      <c r="EF62" s="49">
        <f t="shared" ref="EF62:EH62" si="41">-IF(EF42&gt;$E$8,0,IF(EF40&gt;$E$34,0,IF(EF40&lt;$E$32,0,$E$31/$E$33)))-IF($C$29=TRUE,IF(EF41=$E$5,$E$29,0),0)</f>
        <v>0</v>
      </c>
      <c r="EG62" s="49">
        <f t="shared" si="41"/>
        <v>0</v>
      </c>
      <c r="EH62" s="49">
        <f t="shared" si="41"/>
        <v>0</v>
      </c>
    </row>
    <row r="63" spans="1:138" s="40" customFormat="1" hidden="1" x14ac:dyDescent="0.35">
      <c r="A63" s="37" t="s">
        <v>46</v>
      </c>
      <c r="B63" s="37"/>
      <c r="C63" s="50"/>
      <c r="D63" s="50"/>
      <c r="E63" s="50"/>
      <c r="F63" s="50"/>
      <c r="G63" s="50">
        <f t="shared" ref="G63:AO63" si="42">SUM(G61:G62)</f>
        <v>391000</v>
      </c>
      <c r="H63" s="50">
        <f t="shared" si="42"/>
        <v>388000</v>
      </c>
      <c r="I63" s="50">
        <f t="shared" si="42"/>
        <v>385000</v>
      </c>
      <c r="J63" s="50">
        <f t="shared" si="42"/>
        <v>382000</v>
      </c>
      <c r="K63" s="50">
        <f t="shared" si="42"/>
        <v>379000</v>
      </c>
      <c r="L63" s="50">
        <f t="shared" si="42"/>
        <v>376000</v>
      </c>
      <c r="M63" s="50">
        <f t="shared" si="42"/>
        <v>373000</v>
      </c>
      <c r="N63" s="50">
        <f t="shared" si="42"/>
        <v>370000</v>
      </c>
      <c r="O63" s="50">
        <f t="shared" si="42"/>
        <v>367000</v>
      </c>
      <c r="P63" s="50">
        <f t="shared" si="42"/>
        <v>364000</v>
      </c>
      <c r="Q63" s="50">
        <f t="shared" si="42"/>
        <v>361000</v>
      </c>
      <c r="R63" s="50">
        <f t="shared" si="42"/>
        <v>358000</v>
      </c>
      <c r="S63" s="50">
        <f t="shared" si="42"/>
        <v>355000</v>
      </c>
      <c r="T63" s="50">
        <f t="shared" si="42"/>
        <v>352000</v>
      </c>
      <c r="U63" s="50">
        <f t="shared" si="42"/>
        <v>349000</v>
      </c>
      <c r="V63" s="50">
        <f t="shared" si="42"/>
        <v>346000</v>
      </c>
      <c r="W63" s="50">
        <f t="shared" si="42"/>
        <v>343000</v>
      </c>
      <c r="X63" s="50">
        <f t="shared" si="42"/>
        <v>340000</v>
      </c>
      <c r="Y63" s="50">
        <f t="shared" si="42"/>
        <v>337000</v>
      </c>
      <c r="Z63" s="50">
        <f t="shared" si="42"/>
        <v>334000</v>
      </c>
      <c r="AA63" s="50">
        <f t="shared" si="42"/>
        <v>331000</v>
      </c>
      <c r="AB63" s="50">
        <f t="shared" si="42"/>
        <v>328000</v>
      </c>
      <c r="AC63" s="50">
        <f t="shared" si="42"/>
        <v>325000</v>
      </c>
      <c r="AD63" s="50">
        <f t="shared" si="42"/>
        <v>322000</v>
      </c>
      <c r="AE63" s="50">
        <f t="shared" si="42"/>
        <v>319000</v>
      </c>
      <c r="AF63" s="50">
        <f t="shared" si="42"/>
        <v>316000</v>
      </c>
      <c r="AG63" s="50">
        <f t="shared" si="42"/>
        <v>313000</v>
      </c>
      <c r="AH63" s="50">
        <f t="shared" si="42"/>
        <v>310000</v>
      </c>
      <c r="AI63" s="50">
        <f t="shared" si="42"/>
        <v>307000</v>
      </c>
      <c r="AJ63" s="50">
        <f t="shared" si="42"/>
        <v>304000</v>
      </c>
      <c r="AK63" s="50">
        <f t="shared" si="42"/>
        <v>301000</v>
      </c>
      <c r="AL63" s="50">
        <f t="shared" si="42"/>
        <v>298000</v>
      </c>
      <c r="AM63" s="50">
        <f t="shared" si="42"/>
        <v>295000</v>
      </c>
      <c r="AN63" s="40">
        <f t="shared" si="42"/>
        <v>292000</v>
      </c>
      <c r="AO63" s="40">
        <f t="shared" si="42"/>
        <v>289000</v>
      </c>
      <c r="AP63" s="40">
        <f t="shared" ref="AP63:DA63" si="43">SUM(AP61:AP62)</f>
        <v>286000</v>
      </c>
      <c r="AQ63" s="40">
        <f t="shared" si="43"/>
        <v>283000</v>
      </c>
      <c r="AR63" s="40">
        <f t="shared" si="43"/>
        <v>280000</v>
      </c>
      <c r="AS63" s="40">
        <f t="shared" si="43"/>
        <v>277000</v>
      </c>
      <c r="AT63" s="40">
        <f t="shared" si="43"/>
        <v>274000</v>
      </c>
      <c r="AU63" s="40">
        <f t="shared" si="43"/>
        <v>271000</v>
      </c>
      <c r="AV63" s="40">
        <f t="shared" si="43"/>
        <v>268000</v>
      </c>
      <c r="AW63" s="40">
        <f t="shared" si="43"/>
        <v>265000</v>
      </c>
      <c r="AX63" s="40">
        <f t="shared" si="43"/>
        <v>262000</v>
      </c>
      <c r="AY63" s="40">
        <f t="shared" si="43"/>
        <v>259000</v>
      </c>
      <c r="AZ63" s="40">
        <f t="shared" si="43"/>
        <v>256000</v>
      </c>
      <c r="BA63" s="40">
        <f t="shared" si="43"/>
        <v>253000</v>
      </c>
      <c r="BB63" s="40">
        <f t="shared" si="43"/>
        <v>250000</v>
      </c>
      <c r="BC63" s="40">
        <f t="shared" si="43"/>
        <v>247000</v>
      </c>
      <c r="BD63" s="40">
        <f t="shared" si="43"/>
        <v>244000</v>
      </c>
      <c r="BE63" s="40">
        <f t="shared" si="43"/>
        <v>241000</v>
      </c>
      <c r="BF63" s="40">
        <f t="shared" si="43"/>
        <v>238000</v>
      </c>
      <c r="BG63" s="40">
        <f t="shared" si="43"/>
        <v>235000</v>
      </c>
      <c r="BH63" s="40">
        <f t="shared" si="43"/>
        <v>232000</v>
      </c>
      <c r="BI63" s="40">
        <f t="shared" si="43"/>
        <v>229000</v>
      </c>
      <c r="BJ63" s="40">
        <f t="shared" si="43"/>
        <v>226000</v>
      </c>
      <c r="BK63" s="40">
        <f t="shared" si="43"/>
        <v>223000</v>
      </c>
      <c r="BL63" s="40">
        <f t="shared" si="43"/>
        <v>220000</v>
      </c>
      <c r="BM63" s="40">
        <f t="shared" si="43"/>
        <v>217000</v>
      </c>
      <c r="BN63" s="40">
        <f t="shared" si="43"/>
        <v>214000</v>
      </c>
      <c r="BO63" s="40">
        <f t="shared" si="43"/>
        <v>211000</v>
      </c>
      <c r="BP63" s="40">
        <f t="shared" si="43"/>
        <v>208000</v>
      </c>
      <c r="BQ63" s="40">
        <f t="shared" si="43"/>
        <v>205000</v>
      </c>
      <c r="BR63" s="40">
        <f t="shared" si="43"/>
        <v>202000</v>
      </c>
      <c r="BS63" s="40">
        <f t="shared" si="43"/>
        <v>199000</v>
      </c>
      <c r="BT63" s="40">
        <f t="shared" si="43"/>
        <v>196000</v>
      </c>
      <c r="BU63" s="40">
        <f t="shared" si="43"/>
        <v>193000</v>
      </c>
      <c r="BV63" s="40">
        <f t="shared" si="43"/>
        <v>190000</v>
      </c>
      <c r="BW63" s="40">
        <f t="shared" si="43"/>
        <v>187000</v>
      </c>
      <c r="BX63" s="40">
        <f t="shared" si="43"/>
        <v>184000</v>
      </c>
      <c r="BY63" s="40">
        <f t="shared" si="43"/>
        <v>181000</v>
      </c>
      <c r="BZ63" s="40">
        <f t="shared" si="43"/>
        <v>178000</v>
      </c>
      <c r="CA63" s="40">
        <f t="shared" si="43"/>
        <v>175000</v>
      </c>
      <c r="CB63" s="40">
        <f t="shared" si="43"/>
        <v>172000</v>
      </c>
      <c r="CC63" s="40">
        <f t="shared" si="43"/>
        <v>169000</v>
      </c>
      <c r="CD63" s="40">
        <f t="shared" si="43"/>
        <v>166000</v>
      </c>
      <c r="CE63" s="40">
        <f t="shared" si="43"/>
        <v>163000</v>
      </c>
      <c r="CF63" s="40">
        <f t="shared" si="43"/>
        <v>160000</v>
      </c>
      <c r="CG63" s="40">
        <f t="shared" si="43"/>
        <v>157000</v>
      </c>
      <c r="CH63" s="40">
        <f t="shared" si="43"/>
        <v>154000</v>
      </c>
      <c r="CI63" s="40">
        <f t="shared" si="43"/>
        <v>151000</v>
      </c>
      <c r="CJ63" s="40">
        <f t="shared" si="43"/>
        <v>148000</v>
      </c>
      <c r="CK63" s="40">
        <f t="shared" si="43"/>
        <v>145000</v>
      </c>
      <c r="CL63" s="40">
        <f t="shared" si="43"/>
        <v>142000</v>
      </c>
      <c r="CM63" s="40">
        <f t="shared" si="43"/>
        <v>139000</v>
      </c>
      <c r="CN63" s="40">
        <f t="shared" si="43"/>
        <v>136000</v>
      </c>
      <c r="CO63" s="40">
        <f t="shared" si="43"/>
        <v>133000</v>
      </c>
      <c r="CP63" s="40">
        <f t="shared" si="43"/>
        <v>130000</v>
      </c>
      <c r="CQ63" s="40">
        <f t="shared" si="43"/>
        <v>127000</v>
      </c>
      <c r="CR63" s="40">
        <f t="shared" si="43"/>
        <v>124000</v>
      </c>
      <c r="CS63" s="40">
        <f t="shared" si="43"/>
        <v>121000</v>
      </c>
      <c r="CT63" s="40">
        <f t="shared" si="43"/>
        <v>118000</v>
      </c>
      <c r="CU63" s="40">
        <f t="shared" si="43"/>
        <v>115000</v>
      </c>
      <c r="CV63" s="40">
        <f t="shared" si="43"/>
        <v>112000</v>
      </c>
      <c r="CW63" s="40">
        <f t="shared" si="43"/>
        <v>109000</v>
      </c>
      <c r="CX63" s="40">
        <f t="shared" si="43"/>
        <v>106000</v>
      </c>
      <c r="CY63" s="40">
        <f t="shared" si="43"/>
        <v>103000</v>
      </c>
      <c r="CZ63" s="40">
        <f t="shared" si="43"/>
        <v>100000</v>
      </c>
      <c r="DA63" s="40">
        <f t="shared" si="43"/>
        <v>97000</v>
      </c>
      <c r="DB63" s="40">
        <f t="shared" ref="DB63:EH63" si="44">SUM(DB61:DB62)</f>
        <v>94000</v>
      </c>
      <c r="DC63" s="40">
        <f t="shared" si="44"/>
        <v>91000</v>
      </c>
      <c r="DD63" s="40">
        <f t="shared" si="44"/>
        <v>88000</v>
      </c>
      <c r="DE63" s="40">
        <f t="shared" si="44"/>
        <v>85000</v>
      </c>
      <c r="DF63" s="40">
        <f t="shared" si="44"/>
        <v>82000</v>
      </c>
      <c r="DG63" s="40">
        <f t="shared" si="44"/>
        <v>79000</v>
      </c>
      <c r="DH63" s="40">
        <f t="shared" si="44"/>
        <v>76000</v>
      </c>
      <c r="DI63" s="40">
        <f t="shared" si="44"/>
        <v>73000</v>
      </c>
      <c r="DJ63" s="40">
        <f t="shared" si="44"/>
        <v>70000</v>
      </c>
      <c r="DK63" s="40">
        <f t="shared" si="44"/>
        <v>67000</v>
      </c>
      <c r="DL63" s="40">
        <f t="shared" si="44"/>
        <v>64000</v>
      </c>
      <c r="DM63" s="40">
        <f t="shared" si="44"/>
        <v>61000</v>
      </c>
      <c r="DN63" s="40">
        <f t="shared" si="44"/>
        <v>58000</v>
      </c>
      <c r="DO63" s="40">
        <f t="shared" si="44"/>
        <v>55000</v>
      </c>
      <c r="DP63" s="40">
        <f t="shared" si="44"/>
        <v>52000</v>
      </c>
      <c r="DQ63" s="40">
        <f t="shared" si="44"/>
        <v>49000</v>
      </c>
      <c r="DR63" s="40">
        <f t="shared" si="44"/>
        <v>46000</v>
      </c>
      <c r="DS63" s="40">
        <f t="shared" si="44"/>
        <v>23810</v>
      </c>
      <c r="DT63" s="40">
        <f t="shared" si="44"/>
        <v>0</v>
      </c>
      <c r="DU63" s="40">
        <f t="shared" si="44"/>
        <v>0</v>
      </c>
      <c r="DV63" s="40">
        <f t="shared" si="44"/>
        <v>0</v>
      </c>
      <c r="DW63" s="40">
        <f t="shared" si="44"/>
        <v>0</v>
      </c>
      <c r="DX63" s="40">
        <f t="shared" si="44"/>
        <v>0</v>
      </c>
      <c r="DY63" s="40">
        <f t="shared" si="44"/>
        <v>0</v>
      </c>
      <c r="DZ63" s="40">
        <f t="shared" si="44"/>
        <v>0</v>
      </c>
      <c r="EA63" s="40">
        <f t="shared" si="44"/>
        <v>0</v>
      </c>
      <c r="EB63" s="40">
        <f t="shared" si="44"/>
        <v>0</v>
      </c>
      <c r="EC63" s="40">
        <f t="shared" si="44"/>
        <v>0</v>
      </c>
      <c r="ED63" s="40">
        <f t="shared" si="44"/>
        <v>0</v>
      </c>
      <c r="EE63" s="40">
        <f t="shared" si="44"/>
        <v>0</v>
      </c>
      <c r="EF63" s="40">
        <f t="shared" si="44"/>
        <v>0</v>
      </c>
      <c r="EG63" s="40">
        <f t="shared" si="44"/>
        <v>0</v>
      </c>
      <c r="EH63" s="40">
        <f t="shared" si="44"/>
        <v>0</v>
      </c>
    </row>
    <row r="64" spans="1:138" s="31" customFormat="1" hidden="1" x14ac:dyDescent="0.35">
      <c r="A64" s="25"/>
      <c r="B64" s="25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2"/>
      <c r="AO64" s="2"/>
      <c r="AP64" s="2"/>
      <c r="AQ64" s="2"/>
      <c r="AR64" s="2"/>
      <c r="AS64" s="2"/>
    </row>
    <row r="65" hidden="1" x14ac:dyDescent="0.35"/>
    <row r="66" hidden="1" x14ac:dyDescent="0.35"/>
  </sheetData>
  <protectedRanges>
    <protectedRange algorithmName="SHA-512" hashValue="EwhG4btRSD/7hKtZ5SWXAqVWCBjIj9HwmwFQM7rISvXcwEAZTQz67NojzVOmYkQzXNtnRazPVfCF2txgwjMNnA==" saltValue="EM82X8U0J4OBlmiLyyBUIg==" spinCount="100000" sqref="E15 E30:E35 E18:E21 C12:D14 E4:E10" name="INPUT"/>
  </protectedRanges>
  <dataValidations count="10">
    <dataValidation type="custom" allowBlank="1" showInputMessage="1" showErrorMessage="1" sqref="E37" xr:uid="{FCA04699-AAF2-400D-9FFB-04E7113B92B1}">
      <formula1>SUMIFS($G$50:$AS$50,$G$41:$AS$41,E35)</formula1>
    </dataValidation>
    <dataValidation type="custom" allowBlank="1" showInputMessage="1" showErrorMessage="1" sqref="E38" xr:uid="{F2E42817-E234-46FB-AF95-519A63671F2E}">
      <formula1>SUMIFS($G$52:$AS$52,$G$41:$AS$41,E35)</formula1>
    </dataValidation>
    <dataValidation type="custom" allowBlank="1" showInputMessage="1" showErrorMessage="1" sqref="C16:E17" xr:uid="{05CCA2EF-904E-4B7F-8AD9-FD748AECB314}">
      <formula1>IF($D$15=TRUE,C12*(1/(1-$E$18))*(1+$E$19),C12*(1+$E$18)+(C12*$E$19))</formula1>
    </dataValidation>
    <dataValidation type="custom" allowBlank="1" showInputMessage="1" showErrorMessage="1" sqref="E22:E29" xr:uid="{C06B4B97-EF3D-4B5B-88B8-7085778780C7}">
      <formula1>EDATE(E21,$E$20*12)</formula1>
    </dataValidation>
    <dataValidation type="custom" allowBlank="1" showInputMessage="1" showErrorMessage="1" sqref="E30" xr:uid="{5533846D-0488-4D10-83F4-A66290C6B959}">
      <formula1>EDATE(E28,$E$20*12)</formula1>
    </dataValidation>
    <dataValidation type="custom" allowBlank="1" showInputMessage="1" showErrorMessage="1" sqref="E12:E14" xr:uid="{11A0D2D0-F4A6-479B-814B-E6E46D29DB14}">
      <formula1>C12+D12</formula1>
    </dataValidation>
    <dataValidation type="list" allowBlank="1" showInputMessage="1" showErrorMessage="1" sqref="E35" xr:uid="{B0E4C8B1-856C-4864-8C95-D6C68E5BDD44}">
      <formula1>$G$41:$AS$41</formula1>
    </dataValidation>
    <dataValidation type="custom" allowBlank="1" showInputMessage="1" showErrorMessage="1" sqref="D22" xr:uid="{A1D35FC2-C30B-4889-BD64-CA9F5302BF1E}">
      <formula1>COUNT(E22)</formula1>
    </dataValidation>
    <dataValidation type="custom" allowBlank="1" showInputMessage="1" showErrorMessage="1" sqref="D23:D29" xr:uid="{53E6F9AD-2451-4B66-89EF-F1AD209AF959}">
      <formula1>D22+1</formula1>
    </dataValidation>
    <dataValidation type="custom" allowBlank="1" showInputMessage="1" showErrorMessage="1" sqref="D30" xr:uid="{E9370581-2AB7-4621-8D94-15EB4766D5BD}">
      <formula1>D28+1</formula1>
    </dataValidation>
  </dataValidations>
  <pageMargins left="0.25" right="0.25" top="0.75" bottom="0.75" header="0.3" footer="0.3"/>
  <pageSetup paperSize="9" scale="50" orientation="landscape" r:id="rId1"/>
  <headerFooter>
    <oddFooter>&amp;C&amp;P &amp; of 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50800</xdr:colOff>
                    <xdr:row>13</xdr:row>
                    <xdr:rowOff>165100</xdr:rowOff>
                  </from>
                  <to>
                    <xdr:col>1</xdr:col>
                    <xdr:colOff>260350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</xdr:col>
                    <xdr:colOff>12700</xdr:colOff>
                    <xdr:row>27</xdr:row>
                    <xdr:rowOff>133350</xdr:rowOff>
                  </from>
                  <to>
                    <xdr:col>1</xdr:col>
                    <xdr:colOff>450850</xdr:colOff>
                    <xdr:row>29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2284</vt:lpstr>
      <vt:lpstr>'2284'!Print_Area</vt:lpstr>
      <vt:lpstr>'2284'!Print_Titles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Zahed Ibrahim/Finance SComm</dc:creator>
  <cp:lastModifiedBy>Md. Zahed Ibrahim/Finance SComm</cp:lastModifiedBy>
  <dcterms:created xsi:type="dcterms:W3CDTF">2026-07-28T05:01:52Z</dcterms:created>
  <dcterms:modified xsi:type="dcterms:W3CDTF">2026-07-28T05:19:27Z</dcterms:modified>
</cp:coreProperties>
</file>