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 Sarkar Electricity Bill\"/>
    </mc:Choice>
  </mc:AlternateContent>
  <xr:revisionPtr revIDLastSave="0" documentId="13_ncr:1_{8745EB6C-9D4E-4195-91E5-4FF29D3E7BCB}" xr6:coauthVersionLast="47" xr6:coauthVersionMax="47" xr10:uidLastSave="{00000000-0000-0000-0000-000000000000}"/>
  <bookViews>
    <workbookView xWindow="-110" yWindow="-110" windowWidth="19420" windowHeight="10300" firstSheet="4" activeTab="12" xr2:uid="{00000000-000D-0000-FFFF-FFFF00000000}"/>
  </bookViews>
  <sheets>
    <sheet name="Table 1" sheetId="1" r:id="rId1"/>
    <sheet name="Sheet1" sheetId="3" r:id="rId2"/>
    <sheet name="Sheet4" sheetId="6" r:id="rId3"/>
    <sheet name="Sheet3" sheetId="5" r:id="rId4"/>
    <sheet name="Sheet2" sheetId="4" r:id="rId5"/>
    <sheet name="Sheet5" sheetId="7" r:id="rId6"/>
    <sheet name="Sheet6" sheetId="8" r:id="rId7"/>
    <sheet name="Sheet7" sheetId="9" r:id="rId8"/>
    <sheet name="Sheet8" sheetId="10" r:id="rId9"/>
    <sheet name="Sheet9" sheetId="11" r:id="rId10"/>
    <sheet name="Sheet10" sheetId="12" r:id="rId11"/>
    <sheet name="Sheet11" sheetId="13" r:id="rId12"/>
    <sheet name="Sheet12" sheetId="14" r:id="rId13"/>
    <sheet name="Sheet13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4" l="1"/>
  <c r="K5" i="14"/>
  <c r="J6" i="14" l="1"/>
  <c r="J5" i="14" l="1"/>
  <c r="K6" i="13"/>
  <c r="K5" i="13"/>
  <c r="J6" i="13"/>
  <c r="J5" i="13"/>
  <c r="L6" i="14" l="1"/>
  <c r="L5" i="14"/>
  <c r="L6" i="13"/>
  <c r="K6" i="12"/>
  <c r="K5" i="12"/>
  <c r="J6" i="12"/>
  <c r="J5" i="12"/>
  <c r="K6" i="11"/>
  <c r="J6" i="11"/>
  <c r="K5" i="11"/>
  <c r="J5" i="11"/>
  <c r="K5" i="10"/>
  <c r="J6" i="10"/>
  <c r="K6" i="10" s="1"/>
  <c r="J5" i="10"/>
  <c r="K5" i="9"/>
  <c r="J5" i="9"/>
  <c r="L5" i="11" l="1"/>
  <c r="L6" i="11"/>
  <c r="L6" i="12"/>
  <c r="L5" i="12"/>
  <c r="L5" i="10"/>
  <c r="J6" i="9"/>
  <c r="K6" i="9" s="1"/>
  <c r="L5" i="9"/>
  <c r="K5" i="8"/>
  <c r="L6" i="8"/>
  <c r="J5" i="8"/>
  <c r="K5" i="7"/>
  <c r="J5" i="7"/>
  <c r="L6" i="7"/>
  <c r="L6" i="4"/>
  <c r="L5" i="7" l="1"/>
  <c r="L6" i="6"/>
  <c r="L5" i="6"/>
  <c r="L8" i="3"/>
  <c r="L6" i="3"/>
  <c r="L6" i="5"/>
  <c r="L5" i="5"/>
  <c r="L5" i="4"/>
  <c r="L5" i="3"/>
  <c r="L7" i="3"/>
  <c r="L5" i="1"/>
</calcChain>
</file>

<file path=xl/sharedStrings.xml><?xml version="1.0" encoding="utf-8"?>
<sst xmlns="http://schemas.openxmlformats.org/spreadsheetml/2006/main" count="758" uniqueCount="100">
  <si>
    <r>
      <rPr>
        <b/>
        <sz val="11"/>
        <rFont val="Arial"/>
        <family val="2"/>
      </rPr>
      <t xml:space="preserve">Summit Communications Limited
</t>
    </r>
    <r>
      <rPr>
        <sz val="8"/>
        <rFont val="Arial MT"/>
        <family val="2"/>
      </rPr>
      <t>18, Karwan Bazar Commercial Area Dhaka-1205, Bangladesh</t>
    </r>
  </si>
  <si>
    <r>
      <rPr>
        <b/>
        <sz val="7"/>
        <rFont val="Arial"/>
        <family val="2"/>
      </rPr>
      <t>S/L</t>
    </r>
  </si>
  <si>
    <r>
      <rPr>
        <b/>
        <sz val="7"/>
        <rFont val="Arial"/>
        <family val="2"/>
      </rPr>
      <t>Office/POP Code &amp; Name</t>
    </r>
  </si>
  <si>
    <r>
      <rPr>
        <b/>
        <sz val="7"/>
        <rFont val="Arial"/>
        <family val="2"/>
      </rPr>
      <t>Maintain From</t>
    </r>
  </si>
  <si>
    <r>
      <rPr>
        <b/>
        <sz val="7"/>
        <rFont val="Arial"/>
        <family val="2"/>
      </rPr>
      <t>Land owner Name</t>
    </r>
  </si>
  <si>
    <r>
      <rPr>
        <b/>
        <sz val="7"/>
        <rFont val="Arial"/>
        <family val="2"/>
      </rPr>
      <t>Account/Cheque Name</t>
    </r>
  </si>
  <si>
    <r>
      <rPr>
        <b/>
        <sz val="7"/>
        <rFont val="Arial"/>
        <family val="2"/>
      </rPr>
      <t>Line Owner Name</t>
    </r>
  </si>
  <si>
    <r>
      <rPr>
        <b/>
        <sz val="7"/>
        <rFont val="Arial"/>
        <family val="2"/>
      </rPr>
      <t>Month Name</t>
    </r>
  </si>
  <si>
    <r>
      <rPr>
        <b/>
        <sz val="7"/>
        <rFont val="Arial"/>
        <family val="2"/>
      </rPr>
      <t>Consumed</t>
    </r>
  </si>
  <si>
    <r>
      <rPr>
        <b/>
        <sz val="7"/>
        <rFont val="Arial"/>
        <family val="2"/>
      </rPr>
      <t>Branch Name</t>
    </r>
  </si>
  <si>
    <r>
      <rPr>
        <b/>
        <sz val="7"/>
        <rFont val="Arial"/>
        <family val="2"/>
      </rPr>
      <t>Admin Concern Name</t>
    </r>
  </si>
  <si>
    <r>
      <rPr>
        <b/>
        <sz val="7"/>
        <rFont val="Arial"/>
        <family val="2"/>
      </rPr>
      <t>HR ID</t>
    </r>
  </si>
  <si>
    <r>
      <rPr>
        <b/>
        <sz val="7"/>
        <rFont val="Arial"/>
        <family val="2"/>
      </rPr>
      <t>NID</t>
    </r>
  </si>
  <si>
    <r>
      <rPr>
        <b/>
        <sz val="7"/>
        <rFont val="Arial"/>
        <family val="2"/>
      </rPr>
      <t>Contact</t>
    </r>
  </si>
  <si>
    <r>
      <rPr>
        <b/>
        <sz val="7"/>
        <rFont val="Arial"/>
        <family val="2"/>
      </rPr>
      <t>Total Cons.</t>
    </r>
  </si>
  <si>
    <r>
      <rPr>
        <b/>
        <sz val="7"/>
        <rFont val="Arial"/>
        <family val="2"/>
      </rPr>
      <t>Unit Price</t>
    </r>
  </si>
  <si>
    <r>
      <rPr>
        <b/>
        <sz val="7"/>
        <rFont val="Arial"/>
        <family val="2"/>
      </rPr>
      <t xml:space="preserve">Total Elec.
</t>
    </r>
    <r>
      <rPr>
        <b/>
        <sz val="7"/>
        <rFont val="Arial"/>
        <family val="2"/>
      </rPr>
      <t>Bill</t>
    </r>
  </si>
  <si>
    <r>
      <rPr>
        <b/>
        <sz val="7"/>
        <rFont val="Arial"/>
        <family val="2"/>
      </rPr>
      <t>Others</t>
    </r>
  </si>
  <si>
    <r>
      <rPr>
        <b/>
        <sz val="7"/>
        <rFont val="Arial"/>
        <family val="2"/>
      </rPr>
      <t>Total Bill Amount</t>
    </r>
  </si>
  <si>
    <r>
      <rPr>
        <b/>
        <sz val="7"/>
        <rFont val="Arial"/>
        <family val="2"/>
      </rPr>
      <t>Bill Received</t>
    </r>
  </si>
  <si>
    <r>
      <rPr>
        <b/>
        <sz val="7"/>
        <rFont val="Arial"/>
        <family val="2"/>
      </rPr>
      <t>Last Payment Date</t>
    </r>
  </si>
  <si>
    <r>
      <rPr>
        <b/>
        <sz val="7"/>
        <rFont val="Arial"/>
        <family val="2"/>
      </rPr>
      <t>Last M. Bill</t>
    </r>
  </si>
  <si>
    <r>
      <rPr>
        <b/>
        <sz val="7"/>
        <rFont val="Arial"/>
        <family val="2"/>
      </rPr>
      <t>Remarks</t>
    </r>
  </si>
  <si>
    <r>
      <rPr>
        <b/>
        <sz val="8"/>
        <rFont val="Arial"/>
        <family val="2"/>
      </rPr>
      <t xml:space="preserve">Kazi Shawon
</t>
    </r>
    <r>
      <rPr>
        <sz val="8"/>
        <rFont val="Arial MT"/>
        <family val="2"/>
      </rPr>
      <t>Deputy Manager Administration</t>
    </r>
  </si>
  <si>
    <r>
      <rPr>
        <b/>
        <sz val="8"/>
        <rFont val="Arial"/>
        <family val="2"/>
      </rPr>
      <t xml:space="preserve">Md. Abdur Rashed
</t>
    </r>
    <r>
      <rPr>
        <sz val="8"/>
        <rFont val="Arial MT"/>
        <family val="2"/>
      </rPr>
      <t>Senior Manager Administration</t>
    </r>
  </si>
  <si>
    <t xml:space="preserve">Prepared By                                                                                                   </t>
  </si>
  <si>
    <t>Checked &amp; Verified by</t>
  </si>
  <si>
    <t>Recommended By</t>
  </si>
  <si>
    <r>
      <t xml:space="preserve">Kh Nafiz Rahman
</t>
    </r>
    <r>
      <rPr>
        <sz val="8"/>
        <rFont val="Arial"/>
        <family val="2"/>
      </rPr>
      <t>Senior Execitive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Administration</t>
    </r>
  </si>
  <si>
    <t>Approved By</t>
  </si>
  <si>
    <r>
      <rPr>
        <b/>
        <sz val="10"/>
        <color rgb="FF000000"/>
        <rFont val="Times New Roman"/>
        <family val="1"/>
      </rPr>
      <t>Brig Gen Ali Murtoza Khan</t>
    </r>
    <r>
      <rPr>
        <sz val="10"/>
        <color rgb="FF000000"/>
        <rFont val="Times New Roman"/>
        <family val="1"/>
      </rPr>
      <t xml:space="preserve"> (Retd.)
Cheif Corporate Affairs Officer</t>
    </r>
  </si>
  <si>
    <t>Building Owner</t>
  </si>
  <si>
    <r>
      <rPr>
        <b/>
        <sz val="9"/>
        <rFont val="Arial"/>
        <family val="2"/>
      </rPr>
      <t xml:space="preserve">Project Name : PoP
</t>
    </r>
    <r>
      <rPr>
        <b/>
        <sz val="8"/>
        <rFont val="Arial"/>
        <family val="2"/>
      </rPr>
      <t xml:space="preserve">Electricity Bill Summary (BEFTN) </t>
    </r>
  </si>
  <si>
    <t>( 0618 ) Dupchachia Info Sarkar PoP</t>
  </si>
  <si>
    <t>Bogura Office</t>
  </si>
  <si>
    <t>Md. Abdur Rasid Monzoo</t>
  </si>
  <si>
    <t>TK 200/- provided by House Owner</t>
  </si>
  <si>
    <t>Checked By</t>
  </si>
  <si>
    <t>Name:
Des:
Central Power</t>
  </si>
  <si>
    <r>
      <t xml:space="preserve">Md Tahmidur Rahman
Manager
</t>
    </r>
    <r>
      <rPr>
        <b/>
        <sz val="8"/>
        <rFont val="Arial"/>
        <family val="2"/>
      </rPr>
      <t>CIG</t>
    </r>
  </si>
  <si>
    <t xml:space="preserve">ACknowleged By                                                                                                   </t>
  </si>
  <si>
    <t>Amount In Words : Taka Three Thousand Five Hundred  and Ninty FIve Only                                                                                                                               Total (BDT)        3595</t>
  </si>
  <si>
    <r>
      <rPr>
        <sz val="8"/>
        <rFont val="Arial MT"/>
        <family val="2"/>
      </rPr>
      <t>( 0802 ) Nandail_Mymensingh Info Sarkar</t>
    </r>
  </si>
  <si>
    <r>
      <rPr>
        <sz val="8"/>
        <rFont val="Arial MT"/>
        <family val="2"/>
      </rPr>
      <t>Mymensingh Office</t>
    </r>
  </si>
  <si>
    <r>
      <rPr>
        <sz val="8"/>
        <rFont val="Arial MT"/>
        <family val="2"/>
      </rPr>
      <t>Md. Abdul Mannan Sarkar</t>
    </r>
  </si>
  <si>
    <r>
      <rPr>
        <sz val="8"/>
        <rFont val="Arial MT"/>
        <family val="2"/>
      </rPr>
      <t>Abdul Mannan Sarker</t>
    </r>
  </si>
  <si>
    <r>
      <rPr>
        <sz val="8"/>
        <rFont val="Arial MT"/>
        <family val="2"/>
      </rPr>
      <t>Building Owner</t>
    </r>
  </si>
  <si>
    <r>
      <rPr>
        <sz val="8"/>
        <rFont val="Arial MT"/>
        <family val="2"/>
      </rPr>
      <t>-</t>
    </r>
  </si>
  <si>
    <r>
      <rPr>
        <sz val="8"/>
        <rFont val="Arial MT"/>
        <family val="2"/>
      </rPr>
      <t>( 0706 ) Muktagacha_Mymensingh Info Sarkar</t>
    </r>
  </si>
  <si>
    <r>
      <rPr>
        <sz val="8"/>
        <rFont val="Arial MT"/>
        <family val="2"/>
      </rPr>
      <t>Md. Julhas Miah</t>
    </r>
  </si>
  <si>
    <t>Rangpur Office</t>
  </si>
  <si>
    <t>PoP Name</t>
  </si>
  <si>
    <r>
      <rPr>
        <sz val="8"/>
        <rFont val="Arial MT"/>
        <family val="2"/>
      </rPr>
      <t>( 0765 ) Saidpur_Nilphamari Info Sarkar</t>
    </r>
  </si>
  <si>
    <r>
      <rPr>
        <sz val="8"/>
        <rFont val="Arial MT"/>
        <family val="2"/>
      </rPr>
      <t>Rifat Naz</t>
    </r>
  </si>
  <si>
    <r>
      <rPr>
        <sz val="8"/>
        <rFont val="Arial MT"/>
        <family val="2"/>
      </rPr>
      <t>S.R Trading</t>
    </r>
  </si>
  <si>
    <r>
      <rPr>
        <sz val="8"/>
        <rFont val="Arial MT"/>
        <family val="2"/>
      </rPr>
      <t xml:space="preserve">160730799
</t>
    </r>
    <r>
      <rPr>
        <sz val="8"/>
        <rFont val="Arial MT"/>
        <family val="2"/>
      </rPr>
      <t>(Routing Code)</t>
    </r>
  </si>
  <si>
    <r>
      <rPr>
        <sz val="8"/>
        <rFont val="Arial MT"/>
        <family val="2"/>
      </rPr>
      <t xml:space="preserve">0036-
</t>
    </r>
    <r>
      <rPr>
        <sz val="8"/>
        <rFont val="Arial MT"/>
        <family val="2"/>
      </rPr>
      <t xml:space="preserve">0210013277
</t>
    </r>
    <r>
      <rPr>
        <sz val="8"/>
        <rFont val="Arial MT"/>
        <family val="2"/>
      </rPr>
      <t>(Account No)</t>
    </r>
  </si>
  <si>
    <r>
      <rPr>
        <sz val="8"/>
        <rFont val="Arial"/>
        <family val="2"/>
      </rPr>
      <t>( 0618 ) Dupchachia Info Sarkar PoP</t>
    </r>
  </si>
  <si>
    <r>
      <rPr>
        <sz val="8"/>
        <rFont val="Arial"/>
        <family val="2"/>
      </rPr>
      <t>Bogra Office</t>
    </r>
  </si>
  <si>
    <r>
      <rPr>
        <sz val="8"/>
        <rFont val="Arial"/>
        <family val="2"/>
      </rPr>
      <t>Md. Abdur Rasid Monzoo</t>
    </r>
  </si>
  <si>
    <r>
      <rPr>
        <sz val="8"/>
        <rFont val="Arial"/>
        <family val="2"/>
      </rPr>
      <t>Building Owner</t>
    </r>
  </si>
  <si>
    <r>
      <rPr>
        <sz val="8"/>
        <rFont val="Arial"/>
        <family val="2"/>
      </rPr>
      <t xml:space="preserve">Kazi Shawon
</t>
    </r>
    <r>
      <rPr>
        <sz val="8"/>
        <rFont val="Arial MT"/>
        <family val="2"/>
      </rPr>
      <t>Deputy Manager Administration</t>
    </r>
  </si>
  <si>
    <r>
      <rPr>
        <sz val="8"/>
        <rFont val="Arial"/>
        <family val="2"/>
      </rPr>
      <t xml:space="preserve">Md. Abdur Rashed
</t>
    </r>
    <r>
      <rPr>
        <sz val="8"/>
        <rFont val="Arial MT"/>
        <family val="2"/>
      </rPr>
      <t>Senior Manager Administration</t>
    </r>
  </si>
  <si>
    <t>( 0765 ) Saidpur_Nilphamari Info Sarkar</t>
  </si>
  <si>
    <t>Rifat Naz</t>
  </si>
  <si>
    <t>S.R Trading</t>
  </si>
  <si>
    <t>-</t>
  </si>
  <si>
    <r>
      <rPr>
        <sz val="10"/>
        <rFont val="Times New Roman"/>
        <family val="1"/>
      </rPr>
      <t>160730799
(Routing Code)</t>
    </r>
  </si>
  <si>
    <r>
      <rPr>
        <sz val="10"/>
        <rFont val="Times New Roman"/>
        <family val="1"/>
      </rPr>
      <t>0036-
0210013277
(Account No)</t>
    </r>
  </si>
  <si>
    <t>20-1-25</t>
  </si>
  <si>
    <t>Acknowleged By</t>
  </si>
  <si>
    <t>Amount In Words : Taka Eight Thousand Three Hundred  and Fifty Eight Only                                                                                                                               Total (BDT)        8358</t>
  </si>
  <si>
    <t xml:space="preserve">Acknowleged By                                                                                                   </t>
  </si>
  <si>
    <t>20-2-24</t>
  </si>
  <si>
    <t>Amount In Words : Taka One Lac Six Thousand Five Hundred  and Eighty Three Only                                                                                                                               Total (BDT)        106583</t>
  </si>
  <si>
    <t>20-3-24</t>
  </si>
  <si>
    <t>Amount In Words : Taka Nine Thousand One Hundred  and Forty Two Only                                                                                                                               Total (BDT)        9142</t>
  </si>
  <si>
    <t>( 0802 ) Nandail_Mymensingh Info Sarkar</t>
  </si>
  <si>
    <t>Mymensingh Office</t>
  </si>
  <si>
    <t>Md. Abdul Mannan Sarkar</t>
  </si>
  <si>
    <t>Abdul Mannan Sarker</t>
  </si>
  <si>
    <t>20-4-24</t>
  </si>
  <si>
    <t>20-4-25</t>
  </si>
  <si>
    <t>Amount In Words : Taka One Lac Seventeen Thousand Eight Hundred  and Thirty Two Only                                                                                                                               Total (BDT)        117832</t>
  </si>
  <si>
    <t>Vat</t>
  </si>
  <si>
    <t>25-5-25</t>
  </si>
  <si>
    <t>Amount In Words : Taka Ninty Eight Thousand Nine Hundred  and Twelve Only                                                                                                                               Total (BDT)        98912</t>
  </si>
  <si>
    <t>25-6-25</t>
  </si>
  <si>
    <t>Amount In Words : Taka Ninty Nine Thousand Two Hundred  and Sixty Eight Only                                                                                                                               Total (BDT)        99268</t>
  </si>
  <si>
    <r>
      <rPr>
        <sz val="8"/>
        <rFont val="Arial"/>
        <family val="2"/>
      </rPr>
      <t xml:space="preserve">Md. Abdur Rashed
</t>
    </r>
    <r>
      <rPr>
        <sz val="8"/>
        <rFont val="Arial MT"/>
        <family val="2"/>
      </rPr>
      <t>DGM 
Administration</t>
    </r>
  </si>
  <si>
    <r>
      <rPr>
        <sz val="8"/>
        <rFont val="Arial"/>
        <family val="2"/>
      </rPr>
      <t xml:space="preserve">Kazi Shawon
</t>
    </r>
    <r>
      <rPr>
        <sz val="8"/>
        <rFont val="Arial MT"/>
        <family val="2"/>
      </rPr>
      <t>Deputy Manager
Administration</t>
    </r>
  </si>
  <si>
    <t>Others</t>
  </si>
  <si>
    <t>25-9-25</t>
  </si>
  <si>
    <t>Amount In Words : Taka One Lac Ninteen Thousand Four Hundred  and Eighty One Only                                                                                                                               Total (BDT)        1,19,481</t>
  </si>
  <si>
    <t>25-10-25</t>
  </si>
  <si>
    <t>Amount In Words : Taka One Lac Eleven Thousand Nine Hundred  and Fifty Three Only                                                                                                                               Total (BDT)        1,11,953</t>
  </si>
  <si>
    <t>Amount In Words : Taka One Lac Fifteen Thousand Eight Hundred  and Five Only                                                                                                                               Total (BDT)        1,15,805</t>
  </si>
  <si>
    <t>Amount In Words : Taka One Lac One Thousand Six Hundred  and Forty  Only                                                                                                                               Total (BDT)        101640</t>
  </si>
  <si>
    <t>Amount In Words : Taka Ninty Four Thousand Seven Hundred  and Twenty Seven  Only                                                                                                                               Total (BDT)        94727</t>
  </si>
  <si>
    <t>Amount In Words : Taka One Lac Twelve Thousand Four Hundred and Eighty Six  Only                                                                                                                               Total (BDT)        112486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</si>
</sst>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;@"/>
    <numFmt numFmtId="165" formatCode="[$-409]mmm\-yy;@"/>
    <numFmt numFmtId="166" formatCode="[$-409]d\-mmm\-yyyy;@"/>
    <numFmt numFmtId="167" formatCode="0.0"/>
  </numFmts>
  <fonts count="19">
    <font>
      <sz val="10"/>
      <color rgb="FF000000"/>
      <name val="Times New Roman"/>
      <charset val="204"/>
    </font>
    <font>
      <b/>
      <sz val="7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b/>
      <sz val="8"/>
      <name val="Arial"/>
      <family val="2"/>
    </font>
    <font>
      <b/>
      <sz val="11"/>
      <name val="Arial"/>
      <family val="2"/>
    </font>
    <font>
      <sz val="8"/>
      <name val="Arial MT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8"/>
      <name val="Arial"/>
      <family val="2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Arial"/>
      <family val="2"/>
    </font>
    <font>
      <sz val="10"/>
      <name val="Times New Roman"/>
      <family val="1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16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center" vertical="top" wrapText="1"/>
    </xf>
    <xf numFmtId="16" fontId="3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1" fontId="2" fillId="0" borderId="0" xfId="0" applyNumberFormat="1" applyFont="1" applyAlignment="1">
      <alignment horizontal="left" vertical="top" indent="1" shrinkToFit="1"/>
    </xf>
    <xf numFmtId="0" fontId="6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6" fontId="3" fillId="0" borderId="0" xfId="0" applyNumberFormat="1" applyFont="1" applyAlignment="1">
      <alignment horizontal="left" vertical="top" wrapText="1"/>
    </xf>
    <xf numFmtId="2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0" fontId="14" fillId="0" borderId="9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left" vertical="top" shrinkToFit="1"/>
    </xf>
    <xf numFmtId="0" fontId="1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1" fontId="2" fillId="0" borderId="11" xfId="0" applyNumberFormat="1" applyFont="1" applyBorder="1" applyAlignment="1">
      <alignment horizontal="center" vertical="center" shrinkToFit="1"/>
    </xf>
    <xf numFmtId="2" fontId="2" fillId="0" borderId="11" xfId="0" applyNumberFormat="1" applyFont="1" applyBorder="1" applyAlignment="1">
      <alignment horizontal="left" vertical="top" indent="1" shrinkToFit="1"/>
    </xf>
    <xf numFmtId="2" fontId="2" fillId="0" borderId="11" xfId="0" applyNumberFormat="1" applyFont="1" applyBorder="1" applyAlignment="1">
      <alignment horizontal="left" vertical="top" indent="2" shrinkToFit="1"/>
    </xf>
    <xf numFmtId="0" fontId="0" fillId="0" borderId="11" xfId="0" applyBorder="1" applyAlignment="1">
      <alignment horizontal="left" vertical="center" wrapText="1"/>
    </xf>
    <xf numFmtId="0" fontId="11" fillId="0" borderId="11" xfId="1" applyBorder="1" applyAlignment="1">
      <alignment horizontal="left" vertical="top" wrapText="1"/>
    </xf>
    <xf numFmtId="2" fontId="2" fillId="0" borderId="11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left" vertical="top" wrapText="1"/>
    </xf>
    <xf numFmtId="1" fontId="2" fillId="0" borderId="13" xfId="0" applyNumberFormat="1" applyFont="1" applyBorder="1" applyAlignment="1">
      <alignment horizontal="center" vertical="top" shrinkToFit="1"/>
    </xf>
    <xf numFmtId="0" fontId="3" fillId="0" borderId="13" xfId="0" applyFont="1" applyBorder="1" applyAlignment="1">
      <alignment horizontal="left" vertical="top" wrapText="1"/>
    </xf>
    <xf numFmtId="2" fontId="2" fillId="0" borderId="14" xfId="0" applyNumberFormat="1" applyFont="1" applyBorder="1" applyAlignment="1">
      <alignment horizontal="left" vertical="top" indent="1" shrinkToFit="1"/>
    </xf>
    <xf numFmtId="2" fontId="2" fillId="0" borderId="13" xfId="0" applyNumberFormat="1" applyFont="1" applyBorder="1" applyAlignment="1">
      <alignment horizontal="left" vertical="top" indent="2" shrinkToFit="1"/>
    </xf>
    <xf numFmtId="0" fontId="0" fillId="0" borderId="13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165" fontId="3" fillId="0" borderId="11" xfId="0" applyNumberFormat="1" applyFont="1" applyBorder="1" applyAlignment="1">
      <alignment horizontal="left" vertical="top" wrapText="1"/>
    </xf>
    <xf numFmtId="1" fontId="2" fillId="0" borderId="11" xfId="0" applyNumberFormat="1" applyFont="1" applyBorder="1" applyAlignment="1">
      <alignment horizontal="center" vertical="top" shrinkToFit="1"/>
    </xf>
    <xf numFmtId="0" fontId="12" fillId="0" borderId="11" xfId="0" applyFont="1" applyBorder="1" applyAlignment="1">
      <alignment vertical="top" wrapText="1"/>
    </xf>
    <xf numFmtId="0" fontId="12" fillId="0" borderId="11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left" vertical="top" wrapText="1"/>
    </xf>
    <xf numFmtId="2" fontId="16" fillId="0" borderId="11" xfId="0" applyNumberFormat="1" applyFont="1" applyBorder="1" applyAlignment="1">
      <alignment horizontal="right" vertical="top" shrinkToFit="1"/>
    </xf>
    <xf numFmtId="2" fontId="16" fillId="0" borderId="11" xfId="0" applyNumberFormat="1" applyFont="1" applyBorder="1" applyAlignment="1">
      <alignment horizontal="center" vertical="top" shrinkToFit="1"/>
    </xf>
    <xf numFmtId="164" fontId="16" fillId="0" borderId="11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top"/>
    </xf>
    <xf numFmtId="0" fontId="4" fillId="0" borderId="7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1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top"/>
    </xf>
    <xf numFmtId="0" fontId="11" fillId="0" borderId="0" xfId="0" applyFont="1" applyAlignment="1">
      <alignment horizontal="left" vertical="center" wrapText="1"/>
    </xf>
    <xf numFmtId="1" fontId="11" fillId="0" borderId="11" xfId="0" applyNumberFormat="1" applyFont="1" applyBorder="1" applyAlignment="1">
      <alignment horizontal="center" vertical="center" shrinkToFit="1"/>
    </xf>
    <xf numFmtId="0" fontId="17" fillId="0" borderId="11" xfId="0" applyFont="1" applyBorder="1" applyAlignment="1">
      <alignment horizontal="left" vertical="top" wrapText="1"/>
    </xf>
    <xf numFmtId="164" fontId="11" fillId="0" borderId="11" xfId="0" applyNumberFormat="1" applyFont="1" applyBorder="1" applyAlignment="1">
      <alignment horizontal="left" vertical="top" shrinkToFit="1"/>
    </xf>
    <xf numFmtId="164" fontId="11" fillId="0" borderId="11" xfId="0" applyNumberFormat="1" applyFont="1" applyBorder="1" applyAlignment="1">
      <alignment horizontal="left" vertical="center" shrinkToFit="1"/>
    </xf>
    <xf numFmtId="2" fontId="11" fillId="0" borderId="11" xfId="0" applyNumberFormat="1" applyFont="1" applyBorder="1" applyAlignment="1">
      <alignment horizontal="center" vertical="center" shrinkToFit="1"/>
    </xf>
    <xf numFmtId="0" fontId="17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5" fontId="17" fillId="0" borderId="11" xfId="0" applyNumberFormat="1" applyFont="1" applyBorder="1" applyAlignment="1">
      <alignment horizontal="center" vertical="center" wrapText="1"/>
    </xf>
    <xf numFmtId="0" fontId="11" fillId="0" borderId="11" xfId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1" fontId="11" fillId="0" borderId="13" xfId="0" applyNumberFormat="1" applyFont="1" applyBorder="1" applyAlignment="1">
      <alignment horizontal="center" vertical="center" shrinkToFit="1"/>
    </xf>
    <xf numFmtId="164" fontId="11" fillId="0" borderId="13" xfId="0" applyNumberFormat="1" applyFont="1" applyBorder="1" applyAlignment="1">
      <alignment horizontal="left" vertical="center" shrinkToFit="1"/>
    </xf>
    <xf numFmtId="0" fontId="17" fillId="0" borderId="12" xfId="0" applyFont="1" applyBorder="1" applyAlignment="1">
      <alignment horizontal="left" vertical="top" wrapText="1"/>
    </xf>
    <xf numFmtId="2" fontId="11" fillId="0" borderId="14" xfId="0" applyNumberFormat="1" applyFont="1" applyBorder="1" applyAlignment="1">
      <alignment horizontal="center" vertical="center" shrinkToFit="1"/>
    </xf>
    <xf numFmtId="2" fontId="11" fillId="0" borderId="13" xfId="0" applyNumberFormat="1" applyFont="1" applyBorder="1" applyAlignment="1">
      <alignment horizontal="center" vertical="center" shrinkToFit="1"/>
    </xf>
    <xf numFmtId="1" fontId="0" fillId="0" borderId="0" xfId="0" applyNumberFormat="1" applyAlignment="1">
      <alignment horizontal="left" vertical="top"/>
    </xf>
    <xf numFmtId="167" fontId="11" fillId="0" borderId="13" xfId="0" applyNumberFormat="1" applyFont="1" applyBorder="1" applyAlignment="1">
      <alignment horizontal="center" vertical="center" shrinkToFit="1"/>
    </xf>
    <xf numFmtId="1" fontId="0" fillId="0" borderId="0" xfId="0" applyNumberFormat="1" applyAlignment="1">
      <alignment vertical="top" wrapText="1"/>
    </xf>
    <xf numFmtId="1" fontId="13" fillId="0" borderId="13" xfId="0" applyNumberFormat="1" applyFont="1" applyBorder="1" applyAlignment="1">
      <alignment horizontal="center" vertical="center" shrinkToFit="1"/>
    </xf>
    <xf numFmtId="1" fontId="13" fillId="0" borderId="11" xfId="0" applyNumberFormat="1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4" fillId="0" borderId="0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1" fontId="11" fillId="0" borderId="0" xfId="0" applyNumberFormat="1" applyFont="1" applyBorder="1" applyAlignment="1">
      <alignment horizontal="center" vertical="center" shrinkToFit="1"/>
    </xf>
    <xf numFmtId="0" fontId="17" fillId="0" borderId="0" xfId="0" applyFont="1" applyBorder="1" applyAlignment="1">
      <alignment horizontal="center" vertical="center" wrapText="1"/>
    </xf>
    <xf numFmtId="0" fontId="11" fillId="0" borderId="0" xfId="1" applyBorder="1" applyAlignment="1">
      <alignment horizontal="center" vertical="center" wrapText="1"/>
    </xf>
    <xf numFmtId="165" fontId="17" fillId="0" borderId="0" xfId="0" applyNumberFormat="1" applyFont="1" applyBorder="1" applyAlignment="1">
      <alignment horizontal="center" vertical="center" wrapText="1"/>
    </xf>
    <xf numFmtId="2" fontId="11" fillId="0" borderId="0" xfId="0" applyNumberFormat="1" applyFont="1" applyBorder="1" applyAlignment="1">
      <alignment horizontal="center" vertical="center" shrinkToFit="1"/>
    </xf>
    <xf numFmtId="167" fontId="11" fillId="0" borderId="0" xfId="0" applyNumberFormat="1" applyFont="1" applyBorder="1" applyAlignment="1">
      <alignment horizontal="center" vertical="center" shrinkToFit="1"/>
    </xf>
    <xf numFmtId="1" fontId="13" fillId="0" borderId="0" xfId="0" applyNumberFormat="1" applyFont="1" applyBorder="1" applyAlignment="1">
      <alignment horizontal="center" vertical="center" shrinkToFit="1"/>
    </xf>
    <xf numFmtId="164" fontId="11" fillId="0" borderId="0" xfId="0" applyNumberFormat="1" applyFont="1" applyBorder="1" applyAlignment="1">
      <alignment horizontal="left" vertical="center" shrinkToFit="1"/>
    </xf>
    <xf numFmtId="0" fontId="11" fillId="0" borderId="0" xfId="0" applyFont="1" applyBorder="1" applyAlignment="1">
      <alignment horizontal="left" vertical="top" wrapText="1"/>
    </xf>
    <xf numFmtId="0" fontId="17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/>
    </xf>
    <xf numFmtId="0" fontId="11" fillId="0" borderId="0" xfId="0" applyFont="1" applyBorder="1" applyAlignment="1">
      <alignment horizontal="center" vertical="center" wrapText="1"/>
    </xf>
    <xf numFmtId="164" fontId="11" fillId="0" borderId="0" xfId="0" applyNumberFormat="1" applyFont="1" applyBorder="1" applyAlignment="1">
      <alignment horizontal="left" vertical="top" shrinkToFit="1"/>
    </xf>
    <xf numFmtId="0" fontId="11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left" vertical="top"/>
    </xf>
    <xf numFmtId="0" fontId="0" fillId="0" borderId="0" xfId="0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3"/>
    </xf>
    <xf numFmtId="0" fontId="1" fillId="0" borderId="3" xfId="0" applyFont="1" applyBorder="1" applyAlignment="1">
      <alignment horizontal="left" vertical="center" wrapText="1" indent="3"/>
    </xf>
    <xf numFmtId="0" fontId="1" fillId="0" borderId="1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top" wrapText="1" indent="5"/>
    </xf>
    <xf numFmtId="0" fontId="1" fillId="0" borderId="5" xfId="0" applyFont="1" applyBorder="1" applyAlignment="1">
      <alignment horizontal="left" vertical="top" wrapText="1" indent="5"/>
    </xf>
    <xf numFmtId="0" fontId="1" fillId="0" borderId="6" xfId="0" applyFont="1" applyBorder="1" applyAlignment="1">
      <alignment horizontal="left" vertical="top" wrapText="1" indent="5"/>
    </xf>
    <xf numFmtId="14" fontId="9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 indent="1"/>
    </xf>
    <xf numFmtId="0" fontId="11" fillId="0" borderId="7" xfId="0" applyFont="1" applyBorder="1" applyAlignment="1">
      <alignment horizontal="center" vertical="top"/>
    </xf>
    <xf numFmtId="0" fontId="1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14" fontId="9" fillId="0" borderId="11" xfId="0" applyNumberFormat="1" applyFont="1" applyBorder="1" applyAlignment="1">
      <alignment horizontal="center" vertical="top" wrapText="1"/>
    </xf>
    <xf numFmtId="166" fontId="9" fillId="0" borderId="11" xfId="0" applyNumberFormat="1" applyFont="1" applyBorder="1" applyAlignment="1">
      <alignment horizontal="center" vertical="top" wrapText="1"/>
    </xf>
    <xf numFmtId="166" fontId="1" fillId="0" borderId="1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 indent="1"/>
    </xf>
    <xf numFmtId="0" fontId="18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166" fontId="9" fillId="0" borderId="0" xfId="0" applyNumberFormat="1" applyFont="1" applyBorder="1" applyAlignment="1">
      <alignment horizontal="center" vertical="top" wrapText="1"/>
    </xf>
    <xf numFmtId="166" fontId="1" fillId="0" borderId="0" xfId="0" applyNumberFormat="1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</cellXfs>
  <cellStyles count="2">
    <cellStyle name="Normal" xfId="0" builtinId="0"/>
    <cellStyle name="Normal 2" xfId="1" xr:uid="{6CC9EA26-4C6D-4F09-BE33-2094BE6AFA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92363</xdr:colOff>
      <xdr:row>0</xdr:row>
      <xdr:rowOff>0</xdr:rowOff>
    </xdr:from>
    <xdr:ext cx="1091045" cy="520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1045" cy="520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1045" cy="520700"/>
    <xdr:pic>
      <xdr:nvPicPr>
        <xdr:cNvPr id="2" name="image1.png">
          <a:extLst>
            <a:ext uri="{FF2B5EF4-FFF2-40B4-BE49-F238E27FC236}">
              <a16:creationId xmlns:a16="http://schemas.microsoft.com/office/drawing/2014/main" id="{21CF9B8B-0A8A-47CB-A708-5F2B5FA28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1045" cy="520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0</xdr:rowOff>
    </xdr:from>
    <xdr:ext cx="1091045" cy="520700"/>
    <xdr:pic>
      <xdr:nvPicPr>
        <xdr:cNvPr id="3" name="image1.png">
          <a:extLst>
            <a:ext uri="{FF2B5EF4-FFF2-40B4-BE49-F238E27FC236}">
              <a16:creationId xmlns:a16="http://schemas.microsoft.com/office/drawing/2014/main" id="{8F5605F1-957A-4612-B164-F105E4FAA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1091045" cy="520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1045" cy="520700"/>
    <xdr:pic>
      <xdr:nvPicPr>
        <xdr:cNvPr id="3" name="image1.png">
          <a:extLst>
            <a:ext uri="{FF2B5EF4-FFF2-40B4-BE49-F238E27FC236}">
              <a16:creationId xmlns:a16="http://schemas.microsoft.com/office/drawing/2014/main" id="{DC57C6E6-0068-4156-B41E-99586DA82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1045" cy="5207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1045" cy="520700"/>
    <xdr:pic>
      <xdr:nvPicPr>
        <xdr:cNvPr id="3" name="image1.png">
          <a:extLst>
            <a:ext uri="{FF2B5EF4-FFF2-40B4-BE49-F238E27FC236}">
              <a16:creationId xmlns:a16="http://schemas.microsoft.com/office/drawing/2014/main" id="{03574B64-6337-444E-A019-48CEA372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1045" cy="5207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1045" cy="520700"/>
    <xdr:pic>
      <xdr:nvPicPr>
        <xdr:cNvPr id="3" name="image1.png">
          <a:extLst>
            <a:ext uri="{FF2B5EF4-FFF2-40B4-BE49-F238E27FC236}">
              <a16:creationId xmlns:a16="http://schemas.microsoft.com/office/drawing/2014/main" id="{B121910C-645C-4ED7-BB96-ACC5DE56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1045" cy="520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1045" cy="520700"/>
    <xdr:pic>
      <xdr:nvPicPr>
        <xdr:cNvPr id="3" name="image1.png">
          <a:extLst>
            <a:ext uri="{FF2B5EF4-FFF2-40B4-BE49-F238E27FC236}">
              <a16:creationId xmlns:a16="http://schemas.microsoft.com/office/drawing/2014/main" id="{191E5C19-9D2B-45B4-93F5-2AD88B20E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1045" cy="5207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1418418</xdr:colOff>
      <xdr:row>1</xdr:row>
      <xdr:rowOff>311150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33FD86-3BBE-D321-4DF4-08A3A5F9F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2268" cy="7239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1</xdr:row>
      <xdr:rowOff>295070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2B66A4-E115-4EFE-B13E-6BACB6E14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00" cy="6443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184150</xdr:rowOff>
    </xdr:from>
    <xdr:to>
      <xdr:col>1</xdr:col>
      <xdr:colOff>539750</xdr:colOff>
      <xdr:row>1</xdr:row>
      <xdr:rowOff>277817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8D9D9-31B4-4E6F-87E7-7313DE679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84150"/>
          <a:ext cx="857250" cy="4619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19050</xdr:rowOff>
    </xdr:from>
    <xdr:to>
      <xdr:col>1</xdr:col>
      <xdr:colOff>980860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94C855-6A4A-407C-BED1-AB14D16B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19050"/>
          <a:ext cx="1272961" cy="704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19050</xdr:rowOff>
    </xdr:from>
    <xdr:to>
      <xdr:col>1</xdr:col>
      <xdr:colOff>501650</xdr:colOff>
      <xdr:row>1</xdr:row>
      <xdr:rowOff>41552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DE6666-E54B-4387-97D0-D3986BC5F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19050"/>
          <a:ext cx="793751" cy="5622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42048</xdr:rowOff>
    </xdr:from>
    <xdr:to>
      <xdr:col>1</xdr:col>
      <xdr:colOff>1022350</xdr:colOff>
      <xdr:row>1</xdr:row>
      <xdr:rowOff>272350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CA2C81-DB30-436A-90D6-7C46629FD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42048"/>
          <a:ext cx="1314451" cy="579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5"/>
  <sheetViews>
    <sheetView workbookViewId="0">
      <selection activeCell="B5" sqref="A1:XFD1048576"/>
    </sheetView>
  </sheetViews>
  <sheetFormatPr defaultRowHeight="13"/>
  <cols>
    <col min="1" max="1" width="5.09765625" customWidth="1"/>
    <col min="2" max="2" width="30" customWidth="1"/>
    <col min="3" max="3" width="14" customWidth="1"/>
    <col min="4" max="4" width="17" customWidth="1"/>
    <col min="5" max="5" width="19.3984375" customWidth="1"/>
    <col min="6" max="6" width="12.8984375" customWidth="1"/>
    <col min="7" max="7" width="6.8984375" customWidth="1"/>
    <col min="8" max="8" width="12" customWidth="1"/>
    <col min="9" max="9" width="6.8984375" customWidth="1"/>
    <col min="10" max="10" width="9.796875" customWidth="1"/>
    <col min="11" max="11" width="8.8984375" customWidth="1"/>
    <col min="12" max="12" width="9.59765625" customWidth="1"/>
    <col min="13" max="13" width="8.8984375" customWidth="1"/>
    <col min="14" max="14" width="8.69921875" customWidth="1"/>
    <col min="15" max="15" width="12.796875" customWidth="1"/>
    <col min="16" max="16" width="10.19921875" customWidth="1"/>
    <col min="17" max="20" width="11.59765625" customWidth="1"/>
    <col min="21" max="21" width="13.296875" customWidth="1"/>
    <col min="22" max="22" width="2.69921875" customWidth="1"/>
  </cols>
  <sheetData>
    <row r="1" spans="1:22" ht="38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7" customHeigh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24" customHeight="1">
      <c r="A3" s="127" t="s">
        <v>1</v>
      </c>
      <c r="B3" s="129" t="s">
        <v>2</v>
      </c>
      <c r="C3" s="127" t="s">
        <v>3</v>
      </c>
      <c r="D3" s="127" t="s">
        <v>4</v>
      </c>
      <c r="E3" s="132" t="s">
        <v>5</v>
      </c>
      <c r="F3" s="132" t="s">
        <v>6</v>
      </c>
      <c r="G3" s="127" t="s">
        <v>7</v>
      </c>
      <c r="H3" s="134" t="s">
        <v>8</v>
      </c>
      <c r="I3" s="135"/>
      <c r="J3" s="136"/>
      <c r="K3" s="137">
        <v>45585</v>
      </c>
      <c r="L3" s="138"/>
      <c r="M3" s="138"/>
      <c r="N3" s="138"/>
      <c r="O3" s="138"/>
      <c r="P3" s="139"/>
      <c r="Q3" s="127" t="s">
        <v>9</v>
      </c>
      <c r="R3" s="140" t="s">
        <v>10</v>
      </c>
      <c r="S3" s="127" t="s">
        <v>11</v>
      </c>
      <c r="T3" s="140" t="s">
        <v>12</v>
      </c>
      <c r="U3" s="127" t="s">
        <v>13</v>
      </c>
    </row>
    <row r="4" spans="1:22" ht="29" customHeight="1">
      <c r="A4" s="128"/>
      <c r="B4" s="130"/>
      <c r="C4" s="128"/>
      <c r="D4" s="131"/>
      <c r="E4" s="133"/>
      <c r="F4" s="133"/>
      <c r="G4" s="128"/>
      <c r="H4" s="4" t="s">
        <v>14</v>
      </c>
      <c r="I4" s="5" t="s">
        <v>15</v>
      </c>
      <c r="J4" s="6" t="s">
        <v>16</v>
      </c>
      <c r="K4" s="1" t="s">
        <v>17</v>
      </c>
      <c r="L4" s="5" t="s">
        <v>18</v>
      </c>
      <c r="M4" s="5" t="s">
        <v>19</v>
      </c>
      <c r="N4" s="3" t="s">
        <v>20</v>
      </c>
      <c r="O4" s="2" t="s">
        <v>21</v>
      </c>
      <c r="P4" s="2" t="s">
        <v>22</v>
      </c>
      <c r="Q4" s="128"/>
      <c r="R4" s="141"/>
      <c r="S4" s="128"/>
      <c r="T4" s="141"/>
      <c r="U4" s="128"/>
    </row>
    <row r="5" spans="1:22" ht="46" customHeight="1">
      <c r="A5" s="7">
        <v>10</v>
      </c>
      <c r="B5" s="20" t="s">
        <v>33</v>
      </c>
      <c r="C5" s="32" t="s">
        <v>34</v>
      </c>
      <c r="D5" s="33" t="s">
        <v>35</v>
      </c>
      <c r="E5" s="21"/>
      <c r="F5" s="8" t="s">
        <v>31</v>
      </c>
      <c r="G5" s="14">
        <v>45589</v>
      </c>
      <c r="H5" s="10">
        <v>440</v>
      </c>
      <c r="I5" s="10">
        <v>0</v>
      </c>
      <c r="J5" s="10">
        <v>3795</v>
      </c>
      <c r="K5" s="10"/>
      <c r="L5" s="10">
        <f t="shared" ref="L5" si="0">J5-200</f>
        <v>3595</v>
      </c>
      <c r="M5" s="11"/>
      <c r="N5" s="12"/>
      <c r="O5" s="10">
        <v>644</v>
      </c>
      <c r="P5" s="34" t="s">
        <v>36</v>
      </c>
      <c r="Q5" s="9"/>
      <c r="R5" s="9"/>
      <c r="S5" s="9"/>
      <c r="T5" s="9"/>
      <c r="U5" s="9"/>
    </row>
    <row r="6" spans="1:22">
      <c r="A6" s="22"/>
      <c r="B6" s="23"/>
      <c r="C6" s="19"/>
      <c r="D6" s="24"/>
      <c r="E6" s="23"/>
      <c r="F6" s="25"/>
      <c r="G6" s="26"/>
      <c r="H6" s="27"/>
      <c r="I6" s="27"/>
      <c r="J6" s="27"/>
      <c r="K6" s="27"/>
      <c r="L6" s="27"/>
      <c r="M6" s="28"/>
      <c r="N6" s="29"/>
      <c r="O6" s="27"/>
      <c r="P6" s="30"/>
      <c r="Q6" s="31"/>
      <c r="R6" s="31"/>
      <c r="S6" s="31"/>
      <c r="T6" s="31"/>
      <c r="U6" s="31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22"/>
      <c r="B8" s="23"/>
      <c r="C8" s="19"/>
      <c r="D8" s="24"/>
      <c r="E8" s="23"/>
      <c r="F8" s="25"/>
      <c r="G8" s="26"/>
      <c r="H8" s="27"/>
      <c r="I8" s="27"/>
      <c r="J8" s="27"/>
      <c r="K8" s="27"/>
      <c r="L8" s="27"/>
      <c r="M8" s="28"/>
      <c r="N8" s="29"/>
      <c r="O8" s="27"/>
      <c r="P8" s="30"/>
      <c r="Q8" s="31"/>
      <c r="R8" s="31"/>
      <c r="S8" s="31"/>
      <c r="T8" s="31"/>
      <c r="U8" s="31"/>
    </row>
    <row r="9" spans="1:22">
      <c r="A9" s="22"/>
      <c r="B9" s="23"/>
      <c r="C9" s="19"/>
      <c r="D9" s="24"/>
      <c r="E9" s="23"/>
      <c r="F9" s="25"/>
      <c r="G9" s="26"/>
      <c r="H9" s="27"/>
      <c r="I9" s="27"/>
      <c r="J9" s="27"/>
      <c r="K9" s="27"/>
      <c r="L9" s="27"/>
      <c r="M9" s="28"/>
      <c r="N9" s="29"/>
      <c r="O9" s="27"/>
      <c r="P9" s="30"/>
      <c r="Q9" s="31"/>
      <c r="R9" s="31"/>
      <c r="S9" s="31"/>
      <c r="T9" s="31"/>
      <c r="U9" s="31"/>
    </row>
    <row r="10" spans="1:22" ht="9" customHeight="1">
      <c r="A10" s="142" t="s">
        <v>41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</row>
    <row r="11" spans="1:22" ht="13.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7" spans="2:20">
      <c r="B17" s="18" t="s">
        <v>25</v>
      </c>
      <c r="C17" s="16"/>
      <c r="D17" s="36" t="s">
        <v>37</v>
      </c>
      <c r="G17" s="146" t="s">
        <v>26</v>
      </c>
      <c r="H17" s="146"/>
      <c r="L17" s="143" t="s">
        <v>27</v>
      </c>
      <c r="M17" s="143"/>
      <c r="R17" s="143" t="s">
        <v>29</v>
      </c>
      <c r="S17" s="146"/>
      <c r="T17" s="146"/>
    </row>
    <row r="18" spans="2:20" ht="40" customHeight="1">
      <c r="B18" s="17" t="s">
        <v>28</v>
      </c>
      <c r="D18" s="35" t="s">
        <v>38</v>
      </c>
      <c r="G18" s="125" t="s">
        <v>23</v>
      </c>
      <c r="H18" s="125"/>
      <c r="L18" s="125" t="s">
        <v>24</v>
      </c>
      <c r="M18" s="125"/>
      <c r="R18" s="144" t="s">
        <v>30</v>
      </c>
      <c r="S18" s="145"/>
      <c r="T18" s="145"/>
    </row>
    <row r="24" spans="2:20">
      <c r="B24" s="18" t="s">
        <v>40</v>
      </c>
    </row>
    <row r="25" spans="2:20" ht="31.5">
      <c r="B25" s="13" t="s">
        <v>39</v>
      </c>
    </row>
  </sheetData>
  <mergeCells count="23">
    <mergeCell ref="A10:V10"/>
    <mergeCell ref="L18:M18"/>
    <mergeCell ref="L17:M17"/>
    <mergeCell ref="R18:T18"/>
    <mergeCell ref="R17:T17"/>
    <mergeCell ref="G18:H18"/>
    <mergeCell ref="G17:H17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  <mergeCell ref="U3:U4"/>
  </mergeCells>
  <pageMargins left="0.25" right="0.25" top="0.75" bottom="0.75" header="0.3" footer="0.3"/>
  <pageSetup paperSize="9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D770-2C9B-42AB-A0C4-76B177A97C83}">
  <sheetPr>
    <pageSetUpPr fitToPage="1"/>
  </sheetPr>
  <dimension ref="A1:Z29"/>
  <sheetViews>
    <sheetView workbookViewId="0">
      <selection sqref="A1:V29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6" ht="45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6" ht="27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6" ht="24" customHeight="1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0">
        <v>45631</v>
      </c>
      <c r="L3" s="149"/>
      <c r="M3" s="149"/>
      <c r="N3" s="149"/>
      <c r="O3" s="149"/>
      <c r="P3" s="149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6" ht="29" customHeight="1" thickBot="1">
      <c r="A4" s="148"/>
      <c r="B4" s="148"/>
      <c r="C4" s="148"/>
      <c r="D4" s="148"/>
      <c r="E4" s="148"/>
      <c r="F4" s="148"/>
      <c r="G4" s="148"/>
      <c r="H4" s="39" t="s">
        <v>14</v>
      </c>
      <c r="I4" s="39" t="s">
        <v>15</v>
      </c>
      <c r="J4" s="41" t="s">
        <v>16</v>
      </c>
      <c r="K4" s="40" t="s">
        <v>17</v>
      </c>
      <c r="L4" s="39" t="s">
        <v>18</v>
      </c>
      <c r="M4" s="39" t="s">
        <v>19</v>
      </c>
      <c r="N4" s="39" t="s">
        <v>20</v>
      </c>
      <c r="O4" s="40" t="s">
        <v>21</v>
      </c>
      <c r="P4" s="40" t="s">
        <v>22</v>
      </c>
      <c r="Q4" s="148"/>
      <c r="R4" s="148"/>
      <c r="S4" s="148"/>
      <c r="T4" s="148"/>
      <c r="U4" s="148"/>
    </row>
    <row r="5" spans="1:26" ht="46" customHeight="1" thickBot="1">
      <c r="A5" s="42">
        <v>1</v>
      </c>
      <c r="B5" s="37" t="s">
        <v>42</v>
      </c>
      <c r="C5" s="37" t="s">
        <v>43</v>
      </c>
      <c r="D5" s="37" t="s">
        <v>44</v>
      </c>
      <c r="E5" s="37" t="s">
        <v>45</v>
      </c>
      <c r="F5" s="37" t="s">
        <v>46</v>
      </c>
      <c r="G5" s="55">
        <v>45663</v>
      </c>
      <c r="H5" s="47">
        <v>325</v>
      </c>
      <c r="I5" s="43">
        <v>13.01</v>
      </c>
      <c r="J5" s="43">
        <v>4544</v>
      </c>
      <c r="K5" s="44">
        <v>0</v>
      </c>
      <c r="L5" s="43">
        <f>J5</f>
        <v>4544</v>
      </c>
      <c r="M5" s="38">
        <v>45694</v>
      </c>
      <c r="N5" s="38" t="s">
        <v>73</v>
      </c>
      <c r="O5" s="43">
        <v>5637</v>
      </c>
      <c r="P5" s="45"/>
      <c r="Q5" s="37" t="s">
        <v>47</v>
      </c>
      <c r="R5" s="37" t="s">
        <v>47</v>
      </c>
      <c r="S5" s="37" t="s">
        <v>47</v>
      </c>
      <c r="T5" s="37" t="s">
        <v>47</v>
      </c>
      <c r="U5" s="37" t="s">
        <v>47</v>
      </c>
    </row>
    <row r="6" spans="1:26" ht="39" customHeight="1" thickBot="1">
      <c r="A6" s="42">
        <v>2</v>
      </c>
      <c r="B6" s="37" t="s">
        <v>48</v>
      </c>
      <c r="C6" s="37" t="s">
        <v>43</v>
      </c>
      <c r="D6" s="37" t="s">
        <v>49</v>
      </c>
      <c r="E6" s="37" t="s">
        <v>49</v>
      </c>
      <c r="F6" s="37" t="s">
        <v>46</v>
      </c>
      <c r="G6" s="55">
        <v>45663</v>
      </c>
      <c r="H6" s="47">
        <v>365</v>
      </c>
      <c r="I6" s="43">
        <v>13.01</v>
      </c>
      <c r="J6" s="43">
        <v>2847</v>
      </c>
      <c r="K6" s="44">
        <v>0</v>
      </c>
      <c r="L6" s="43">
        <f>J6</f>
        <v>2847</v>
      </c>
      <c r="M6" s="38">
        <v>45694</v>
      </c>
      <c r="N6" s="38" t="s">
        <v>73</v>
      </c>
      <c r="O6" s="43">
        <v>2721</v>
      </c>
      <c r="P6" s="45"/>
      <c r="Q6" s="37" t="s">
        <v>47</v>
      </c>
      <c r="R6" s="37" t="s">
        <v>47</v>
      </c>
      <c r="S6" s="37" t="s">
        <v>47</v>
      </c>
      <c r="T6" s="37" t="s">
        <v>47</v>
      </c>
      <c r="U6" s="37" t="s">
        <v>47</v>
      </c>
    </row>
    <row r="7" spans="1:26" ht="30.5" thickBot="1">
      <c r="A7" s="42">
        <v>3</v>
      </c>
      <c r="B7" s="37" t="s">
        <v>52</v>
      </c>
      <c r="C7" s="46" t="s">
        <v>50</v>
      </c>
      <c r="D7" s="48" t="s">
        <v>53</v>
      </c>
      <c r="E7" s="37" t="s">
        <v>54</v>
      </c>
      <c r="F7" s="50" t="s">
        <v>46</v>
      </c>
      <c r="G7" s="55">
        <v>45663</v>
      </c>
      <c r="H7" s="47">
        <v>7017</v>
      </c>
      <c r="I7" s="51">
        <v>0</v>
      </c>
      <c r="J7" s="56">
        <v>97756</v>
      </c>
      <c r="K7" s="52">
        <v>0</v>
      </c>
      <c r="L7" s="49">
        <f>J7</f>
        <v>97756</v>
      </c>
      <c r="M7" s="38">
        <v>45694</v>
      </c>
      <c r="N7" s="38" t="s">
        <v>73</v>
      </c>
      <c r="O7" s="56">
        <v>93453</v>
      </c>
      <c r="P7" s="53"/>
      <c r="Q7" s="53" t="s">
        <v>55</v>
      </c>
      <c r="R7" s="54" t="s">
        <v>56</v>
      </c>
      <c r="S7" s="37" t="s">
        <v>47</v>
      </c>
      <c r="T7" s="37" t="s">
        <v>47</v>
      </c>
      <c r="U7" s="48" t="s">
        <v>47</v>
      </c>
    </row>
    <row r="8" spans="1:26" ht="29" customHeight="1" thickBot="1">
      <c r="A8" s="42">
        <v>4</v>
      </c>
      <c r="B8" s="57" t="s">
        <v>57</v>
      </c>
      <c r="C8" s="58" t="s">
        <v>58</v>
      </c>
      <c r="D8" s="59" t="s">
        <v>59</v>
      </c>
      <c r="E8" s="45"/>
      <c r="F8" s="59" t="s">
        <v>60</v>
      </c>
      <c r="G8" s="55">
        <v>45663</v>
      </c>
      <c r="H8" s="61">
        <v>175</v>
      </c>
      <c r="I8" s="61">
        <v>0</v>
      </c>
      <c r="J8" s="61">
        <v>1436</v>
      </c>
      <c r="K8" s="60">
        <v>0</v>
      </c>
      <c r="L8" s="61">
        <f>J8</f>
        <v>1436</v>
      </c>
      <c r="M8" s="38">
        <v>45694</v>
      </c>
      <c r="N8" s="38" t="s">
        <v>73</v>
      </c>
      <c r="O8" s="61">
        <v>999</v>
      </c>
      <c r="P8" s="62"/>
      <c r="Q8" s="63"/>
      <c r="R8" s="45"/>
      <c r="S8" s="63"/>
      <c r="T8" s="63"/>
      <c r="U8" s="63"/>
      <c r="V8" s="65"/>
      <c r="W8" s="65"/>
      <c r="X8" s="65"/>
      <c r="Y8" s="65"/>
      <c r="Z8" s="65"/>
    </row>
    <row r="9" spans="1:26">
      <c r="A9" s="22"/>
      <c r="B9" s="23"/>
      <c r="C9" s="19"/>
      <c r="D9" s="24"/>
      <c r="E9" s="23"/>
      <c r="F9" s="25"/>
      <c r="G9" s="26"/>
      <c r="H9" s="27"/>
      <c r="I9" s="27"/>
      <c r="J9" s="27"/>
      <c r="K9" s="27"/>
      <c r="L9" s="27"/>
      <c r="M9" s="28"/>
      <c r="N9" s="29"/>
      <c r="O9" s="27"/>
      <c r="P9" s="30"/>
      <c r="Q9" s="31"/>
      <c r="R9" s="31"/>
      <c r="S9" s="31"/>
      <c r="T9" s="31"/>
      <c r="U9" s="31"/>
    </row>
    <row r="10" spans="1:26" ht="9" customHeight="1">
      <c r="A10" s="142" t="s">
        <v>74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</row>
    <row r="11" spans="1:26" ht="13.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7" spans="2:20">
      <c r="B17" s="64" t="s">
        <v>25</v>
      </c>
      <c r="C17" s="16"/>
      <c r="D17" s="36" t="s">
        <v>37</v>
      </c>
      <c r="G17" s="147" t="s">
        <v>26</v>
      </c>
      <c r="H17" s="147"/>
      <c r="I17" s="66"/>
      <c r="J17" s="66"/>
      <c r="K17" s="66"/>
      <c r="L17" s="147" t="s">
        <v>27</v>
      </c>
      <c r="M17" s="147"/>
      <c r="R17" s="143" t="s">
        <v>29</v>
      </c>
      <c r="S17" s="146"/>
      <c r="T17" s="146"/>
    </row>
    <row r="18" spans="2:20" ht="40" customHeight="1">
      <c r="B18" s="17" t="s">
        <v>28</v>
      </c>
      <c r="D18" s="35" t="s">
        <v>38</v>
      </c>
      <c r="G18" s="144" t="s">
        <v>61</v>
      </c>
      <c r="H18" s="144"/>
      <c r="I18" s="67"/>
      <c r="J18" s="67"/>
      <c r="K18" s="67"/>
      <c r="L18" s="144" t="s">
        <v>62</v>
      </c>
      <c r="M18" s="144"/>
      <c r="R18" s="144" t="s">
        <v>30</v>
      </c>
      <c r="S18" s="145"/>
      <c r="T18" s="145"/>
    </row>
    <row r="28" spans="2:20">
      <c r="B28" s="18" t="s">
        <v>40</v>
      </c>
    </row>
    <row r="29" spans="2:20" ht="31.5">
      <c r="B29" s="13" t="s">
        <v>39</v>
      </c>
    </row>
  </sheetData>
  <mergeCells count="23"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  <mergeCell ref="A10:V10"/>
    <mergeCell ref="G17:H17"/>
    <mergeCell ref="L17:M17"/>
    <mergeCell ref="R17:T17"/>
    <mergeCell ref="G18:H18"/>
    <mergeCell ref="L18:M18"/>
    <mergeCell ref="R18:T18"/>
  </mergeCells>
  <pageMargins left="0.25" right="0.25" top="0.75" bottom="0.75" header="0.3" footer="0.3"/>
  <pageSetup scale="5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B766-7D96-4F9A-B063-B4D81712EF53}">
  <sheetPr>
    <pageSetUpPr fitToPage="1"/>
  </sheetPr>
  <dimension ref="A1:V27"/>
  <sheetViews>
    <sheetView workbookViewId="0">
      <selection activeCell="B5" sqref="B5:U5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37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9.5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0">
        <v>45631</v>
      </c>
      <c r="L3" s="149"/>
      <c r="M3" s="149"/>
      <c r="N3" s="149"/>
      <c r="O3" s="149"/>
      <c r="P3" s="149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39" t="s">
        <v>14</v>
      </c>
      <c r="I4" s="39" t="s">
        <v>15</v>
      </c>
      <c r="J4" s="41" t="s">
        <v>16</v>
      </c>
      <c r="K4" s="40" t="s">
        <v>17</v>
      </c>
      <c r="L4" s="39" t="s">
        <v>18</v>
      </c>
      <c r="M4" s="39" t="s">
        <v>19</v>
      </c>
      <c r="N4" s="39" t="s">
        <v>20</v>
      </c>
      <c r="O4" s="40" t="s">
        <v>21</v>
      </c>
      <c r="P4" s="40" t="s">
        <v>22</v>
      </c>
      <c r="Q4" s="148"/>
      <c r="R4" s="148"/>
      <c r="S4" s="148"/>
      <c r="T4" s="148"/>
      <c r="U4" s="148"/>
    </row>
    <row r="5" spans="1:22" ht="20.5" thickBot="1">
      <c r="A5" s="42">
        <v>1</v>
      </c>
      <c r="B5" s="37" t="s">
        <v>42</v>
      </c>
      <c r="C5" s="37" t="s">
        <v>43</v>
      </c>
      <c r="D5" s="37" t="s">
        <v>44</v>
      </c>
      <c r="E5" s="37" t="s">
        <v>45</v>
      </c>
      <c r="F5" s="37" t="s">
        <v>46</v>
      </c>
      <c r="G5" s="55">
        <v>45694</v>
      </c>
      <c r="H5" s="47">
        <v>450</v>
      </c>
      <c r="I5" s="43">
        <v>13.01</v>
      </c>
      <c r="J5" s="43">
        <v>6253</v>
      </c>
      <c r="K5" s="44">
        <v>0</v>
      </c>
      <c r="L5" s="43">
        <f>J5</f>
        <v>6253</v>
      </c>
      <c r="M5" s="38">
        <v>45721</v>
      </c>
      <c r="N5" s="38" t="s">
        <v>75</v>
      </c>
      <c r="O5" s="43">
        <v>4544</v>
      </c>
      <c r="P5" s="45"/>
      <c r="Q5" s="37" t="s">
        <v>47</v>
      </c>
      <c r="R5" s="37" t="s">
        <v>47</v>
      </c>
      <c r="S5" s="37" t="s">
        <v>47</v>
      </c>
      <c r="T5" s="37" t="s">
        <v>47</v>
      </c>
      <c r="U5" s="37" t="s">
        <v>47</v>
      </c>
    </row>
    <row r="6" spans="1:22" ht="20.5" thickBot="1">
      <c r="A6" s="42">
        <v>2</v>
      </c>
      <c r="B6" s="37" t="s">
        <v>48</v>
      </c>
      <c r="C6" s="37" t="s">
        <v>43</v>
      </c>
      <c r="D6" s="37" t="s">
        <v>49</v>
      </c>
      <c r="E6" s="37" t="s">
        <v>49</v>
      </c>
      <c r="F6" s="37" t="s">
        <v>46</v>
      </c>
      <c r="G6" s="55">
        <v>45694</v>
      </c>
      <c r="H6" s="47">
        <v>375</v>
      </c>
      <c r="I6" s="43">
        <v>13.01</v>
      </c>
      <c r="J6" s="43">
        <v>2889</v>
      </c>
      <c r="K6" s="44">
        <v>0</v>
      </c>
      <c r="L6" s="43">
        <f>J6</f>
        <v>2889</v>
      </c>
      <c r="M6" s="38">
        <v>45721</v>
      </c>
      <c r="N6" s="38" t="s">
        <v>75</v>
      </c>
      <c r="O6" s="43">
        <v>2847</v>
      </c>
      <c r="P6" s="45"/>
      <c r="Q6" s="37" t="s">
        <v>47</v>
      </c>
      <c r="R6" s="37" t="s">
        <v>47</v>
      </c>
      <c r="S6" s="37" t="s">
        <v>47</v>
      </c>
      <c r="T6" s="37" t="s">
        <v>47</v>
      </c>
      <c r="U6" s="37" t="s">
        <v>47</v>
      </c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42" t="s">
        <v>76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K10" s="89"/>
    </row>
    <row r="15" spans="1:22">
      <c r="B15" s="64" t="s">
        <v>25</v>
      </c>
      <c r="C15" s="16"/>
      <c r="G15" s="147" t="s">
        <v>26</v>
      </c>
      <c r="H15" s="147"/>
      <c r="I15" s="66"/>
      <c r="J15" s="66"/>
      <c r="K15" s="66"/>
      <c r="L15" s="147" t="s">
        <v>27</v>
      </c>
      <c r="M15" s="147"/>
      <c r="R15" s="143" t="s">
        <v>29</v>
      </c>
      <c r="S15" s="146"/>
      <c r="T15" s="146"/>
    </row>
    <row r="16" spans="1:22" ht="31">
      <c r="B16" s="17" t="s">
        <v>28</v>
      </c>
      <c r="G16" s="144" t="s">
        <v>61</v>
      </c>
      <c r="H16" s="144"/>
      <c r="I16" s="67"/>
      <c r="J16" s="67"/>
      <c r="K16" s="67"/>
      <c r="L16" s="144" t="s">
        <v>62</v>
      </c>
      <c r="M16" s="144"/>
      <c r="R16" s="144" t="s">
        <v>30</v>
      </c>
      <c r="S16" s="145"/>
      <c r="T16" s="145"/>
    </row>
    <row r="26" spans="2:4">
      <c r="B26" s="18" t="s">
        <v>40</v>
      </c>
      <c r="D26" s="36" t="s">
        <v>70</v>
      </c>
    </row>
    <row r="27" spans="2:4" ht="39">
      <c r="B27" s="13" t="s">
        <v>39</v>
      </c>
      <c r="D27" s="35" t="s">
        <v>38</v>
      </c>
    </row>
  </sheetData>
  <mergeCells count="23"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  <mergeCell ref="A8:V8"/>
    <mergeCell ref="G15:H15"/>
    <mergeCell ref="L15:M15"/>
    <mergeCell ref="R15:T15"/>
    <mergeCell ref="G16:H16"/>
    <mergeCell ref="L16:M16"/>
    <mergeCell ref="R16:T16"/>
  </mergeCells>
  <pageMargins left="0.25" right="0.25" top="0.75" bottom="0.75" header="0.3" footer="0.3"/>
  <pageSetup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8880-C871-4835-915E-35AF7574FE7F}">
  <sheetPr>
    <pageSetUpPr fitToPage="1"/>
  </sheetPr>
  <dimension ref="A1:V36"/>
  <sheetViews>
    <sheetView workbookViewId="0">
      <selection activeCell="E12" sqref="E12"/>
    </sheetView>
  </sheetViews>
  <sheetFormatPr defaultRowHeight="13"/>
  <cols>
    <col min="1" max="1" width="5.09765625" customWidth="1"/>
    <col min="2" max="2" width="31.29687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28.5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5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1">
        <v>45666</v>
      </c>
      <c r="L3" s="152"/>
      <c r="M3" s="152"/>
      <c r="N3" s="152"/>
      <c r="O3" s="152"/>
      <c r="P3" s="152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39" t="s">
        <v>14</v>
      </c>
      <c r="I4" s="39" t="s">
        <v>15</v>
      </c>
      <c r="J4" s="41" t="s">
        <v>16</v>
      </c>
      <c r="K4" s="40" t="s">
        <v>17</v>
      </c>
      <c r="L4" s="39" t="s">
        <v>18</v>
      </c>
      <c r="M4" s="39" t="s">
        <v>19</v>
      </c>
      <c r="N4" s="39" t="s">
        <v>20</v>
      </c>
      <c r="O4" s="40" t="s">
        <v>21</v>
      </c>
      <c r="P4" s="40" t="s">
        <v>22</v>
      </c>
      <c r="Q4" s="148"/>
      <c r="R4" s="148"/>
      <c r="S4" s="148"/>
      <c r="T4" s="148"/>
      <c r="U4" s="148"/>
    </row>
    <row r="5" spans="1:22" ht="20.5" thickBot="1">
      <c r="A5" s="42">
        <v>1</v>
      </c>
      <c r="B5" s="37" t="s">
        <v>42</v>
      </c>
      <c r="C5" s="37" t="s">
        <v>43</v>
      </c>
      <c r="D5" s="37" t="s">
        <v>44</v>
      </c>
      <c r="E5" s="37" t="s">
        <v>45</v>
      </c>
      <c r="F5" s="37" t="s">
        <v>46</v>
      </c>
      <c r="G5" s="55">
        <v>45650</v>
      </c>
      <c r="H5" s="47">
        <v>405</v>
      </c>
      <c r="I5" s="43">
        <v>13.01</v>
      </c>
      <c r="J5" s="43">
        <v>5637</v>
      </c>
      <c r="K5" s="44">
        <v>0</v>
      </c>
      <c r="L5" s="43">
        <f>J5</f>
        <v>5637</v>
      </c>
      <c r="M5" s="38">
        <v>45666</v>
      </c>
      <c r="N5" s="38" t="s">
        <v>69</v>
      </c>
      <c r="O5" s="43">
        <v>4203</v>
      </c>
      <c r="P5" s="45"/>
      <c r="Q5" s="37" t="s">
        <v>47</v>
      </c>
      <c r="R5" s="37" t="s">
        <v>47</v>
      </c>
      <c r="S5" s="37" t="s">
        <v>47</v>
      </c>
      <c r="T5" s="37" t="s">
        <v>47</v>
      </c>
      <c r="U5" s="37" t="s">
        <v>47</v>
      </c>
    </row>
    <row r="6" spans="1:22" ht="20.5" thickBot="1">
      <c r="A6" s="42">
        <v>2</v>
      </c>
      <c r="B6" s="37" t="s">
        <v>48</v>
      </c>
      <c r="C6" s="37" t="s">
        <v>43</v>
      </c>
      <c r="D6" s="37" t="s">
        <v>49</v>
      </c>
      <c r="E6" s="37" t="s">
        <v>49</v>
      </c>
      <c r="F6" s="37" t="s">
        <v>46</v>
      </c>
      <c r="G6" s="55">
        <v>45651</v>
      </c>
      <c r="H6" s="47">
        <v>350</v>
      </c>
      <c r="I6" s="43">
        <v>13.01</v>
      </c>
      <c r="J6" s="43">
        <v>2721</v>
      </c>
      <c r="K6" s="44">
        <v>0</v>
      </c>
      <c r="L6" s="43">
        <f>J6</f>
        <v>2721</v>
      </c>
      <c r="M6" s="38">
        <v>45666</v>
      </c>
      <c r="N6" s="38" t="s">
        <v>69</v>
      </c>
      <c r="O6" s="43">
        <v>2889</v>
      </c>
      <c r="P6" s="45"/>
      <c r="Q6" s="37" t="s">
        <v>47</v>
      </c>
      <c r="R6" s="37" t="s">
        <v>47</v>
      </c>
      <c r="S6" s="37" t="s">
        <v>47</v>
      </c>
      <c r="T6" s="37" t="s">
        <v>47</v>
      </c>
      <c r="U6" s="37" t="s">
        <v>47</v>
      </c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42" t="s">
        <v>71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24" spans="2:20">
      <c r="B24" s="64" t="s">
        <v>25</v>
      </c>
      <c r="C24" s="16"/>
      <c r="E24" s="147" t="s">
        <v>26</v>
      </c>
      <c r="F24" s="147"/>
      <c r="I24" s="66"/>
      <c r="J24" s="147" t="s">
        <v>27</v>
      </c>
      <c r="K24" s="147"/>
      <c r="R24" s="143" t="s">
        <v>29</v>
      </c>
      <c r="S24" s="146"/>
      <c r="T24" s="146"/>
    </row>
    <row r="25" spans="2:20" ht="31">
      <c r="B25" s="17" t="s">
        <v>28</v>
      </c>
      <c r="E25" s="144" t="s">
        <v>61</v>
      </c>
      <c r="F25" s="144"/>
      <c r="I25" s="67"/>
      <c r="J25" s="144" t="s">
        <v>62</v>
      </c>
      <c r="K25" s="144"/>
      <c r="R25" s="144" t="s">
        <v>30</v>
      </c>
      <c r="S25" s="145"/>
      <c r="T25" s="145"/>
    </row>
    <row r="35" spans="2:4">
      <c r="B35" s="18" t="s">
        <v>72</v>
      </c>
      <c r="D35" s="36" t="s">
        <v>70</v>
      </c>
    </row>
    <row r="36" spans="2:4" ht="39">
      <c r="B36" s="13" t="s">
        <v>39</v>
      </c>
      <c r="D36" s="35" t="s">
        <v>38</v>
      </c>
    </row>
  </sheetData>
  <mergeCells count="23">
    <mergeCell ref="A8:V8"/>
    <mergeCell ref="E24:F24"/>
    <mergeCell ref="J24:K24"/>
    <mergeCell ref="R24:T24"/>
    <mergeCell ref="E25:F25"/>
    <mergeCell ref="J25:K25"/>
    <mergeCell ref="R25:T25"/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</mergeCells>
  <pageMargins left="0.25" right="0.25" top="0.75" bottom="0.75" header="0.3" footer="0.3"/>
  <pageSetup paperSize="9" scale="6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4C79-6AF9-49BA-8B90-A761B35597FF}">
  <sheetPr>
    <pageSetUpPr fitToPage="1"/>
  </sheetPr>
  <dimension ref="A1:V35"/>
  <sheetViews>
    <sheetView topLeftCell="A26" workbookViewId="0">
      <selection sqref="A1:V35"/>
    </sheetView>
  </sheetViews>
  <sheetFormatPr defaultRowHeight="13"/>
  <cols>
    <col min="1" max="1" width="5.09765625" customWidth="1"/>
    <col min="2" max="2" width="34.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31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32.5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0">
        <v>45755</v>
      </c>
      <c r="L3" s="149"/>
      <c r="M3" s="149"/>
      <c r="N3" s="149"/>
      <c r="O3" s="149"/>
      <c r="P3" s="149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39" t="s">
        <v>14</v>
      </c>
      <c r="I4" s="39" t="s">
        <v>15</v>
      </c>
      <c r="J4" s="41" t="s">
        <v>16</v>
      </c>
      <c r="K4" s="40" t="s">
        <v>17</v>
      </c>
      <c r="L4" s="39" t="s">
        <v>18</v>
      </c>
      <c r="M4" s="39" t="s">
        <v>19</v>
      </c>
      <c r="N4" s="39" t="s">
        <v>20</v>
      </c>
      <c r="O4" s="40" t="s">
        <v>21</v>
      </c>
      <c r="P4" s="40" t="s">
        <v>22</v>
      </c>
      <c r="Q4" s="148"/>
      <c r="R4" s="148"/>
      <c r="S4" s="148"/>
      <c r="T4" s="148"/>
      <c r="U4" s="148"/>
    </row>
    <row r="5" spans="1:22" s="67" customFormat="1" ht="41.5" customHeight="1" thickBot="1">
      <c r="A5" s="71">
        <v>1</v>
      </c>
      <c r="B5" s="76" t="s">
        <v>63</v>
      </c>
      <c r="C5" s="79" t="s">
        <v>50</v>
      </c>
      <c r="D5" s="82" t="s">
        <v>64</v>
      </c>
      <c r="E5" s="76" t="s">
        <v>65</v>
      </c>
      <c r="F5" s="83" t="s">
        <v>31</v>
      </c>
      <c r="G5" s="78">
        <v>45741</v>
      </c>
      <c r="H5" s="75">
        <v>8139</v>
      </c>
      <c r="I5" s="87">
        <v>0</v>
      </c>
      <c r="J5" s="71">
        <v>113083</v>
      </c>
      <c r="K5" s="88">
        <v>0</v>
      </c>
      <c r="L5" s="84">
        <f>J5</f>
        <v>113083</v>
      </c>
      <c r="M5" s="85">
        <v>45755</v>
      </c>
      <c r="N5" s="74" t="s">
        <v>82</v>
      </c>
      <c r="O5" s="84">
        <v>106922</v>
      </c>
      <c r="P5" s="80"/>
      <c r="Q5" s="80" t="s">
        <v>67</v>
      </c>
      <c r="R5" s="81" t="s">
        <v>68</v>
      </c>
      <c r="S5" s="72" t="s">
        <v>66</v>
      </c>
      <c r="T5" s="72" t="s">
        <v>66</v>
      </c>
      <c r="U5" s="86" t="s">
        <v>66</v>
      </c>
    </row>
    <row r="6" spans="1:22" s="67" customFormat="1" ht="26.5" thickBot="1">
      <c r="A6" s="71">
        <v>2</v>
      </c>
      <c r="B6" s="76" t="s">
        <v>77</v>
      </c>
      <c r="C6" s="76" t="s">
        <v>78</v>
      </c>
      <c r="D6" s="76" t="s">
        <v>79</v>
      </c>
      <c r="E6" s="77" t="s">
        <v>80</v>
      </c>
      <c r="F6" s="76" t="s">
        <v>31</v>
      </c>
      <c r="G6" s="78">
        <v>45722</v>
      </c>
      <c r="H6" s="75">
        <v>340</v>
      </c>
      <c r="I6" s="75">
        <v>13.01</v>
      </c>
      <c r="J6" s="75">
        <v>4749</v>
      </c>
      <c r="K6" s="75">
        <v>0</v>
      </c>
      <c r="L6" s="75">
        <f>J6</f>
        <v>4749</v>
      </c>
      <c r="M6" s="85">
        <v>45755</v>
      </c>
      <c r="N6" s="74" t="s">
        <v>81</v>
      </c>
      <c r="O6" s="75">
        <v>6253</v>
      </c>
      <c r="P6" s="73"/>
      <c r="Q6" s="69" t="s">
        <v>66</v>
      </c>
      <c r="R6" s="68" t="s">
        <v>66</v>
      </c>
      <c r="S6" s="69" t="s">
        <v>66</v>
      </c>
      <c r="T6" s="69" t="s">
        <v>66</v>
      </c>
      <c r="U6" s="69" t="s">
        <v>66</v>
      </c>
      <c r="V6" s="70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42" t="s">
        <v>83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J10" s="89"/>
    </row>
    <row r="23" spans="2:20">
      <c r="B23" s="64" t="s">
        <v>25</v>
      </c>
      <c r="C23" s="16"/>
      <c r="E23" s="147" t="s">
        <v>26</v>
      </c>
      <c r="F23" s="147"/>
      <c r="I23" s="66"/>
      <c r="J23" s="66"/>
      <c r="K23" s="66"/>
      <c r="L23" s="147" t="s">
        <v>27</v>
      </c>
      <c r="M23" s="147"/>
      <c r="R23" s="143" t="s">
        <v>29</v>
      </c>
      <c r="S23" s="146"/>
      <c r="T23" s="146"/>
    </row>
    <row r="24" spans="2:20" ht="31">
      <c r="B24" s="17" t="s">
        <v>28</v>
      </c>
      <c r="E24" s="144" t="s">
        <v>61</v>
      </c>
      <c r="F24" s="144"/>
      <c r="I24" s="67"/>
      <c r="J24" s="67"/>
      <c r="K24" s="67"/>
      <c r="L24" s="144" t="s">
        <v>62</v>
      </c>
      <c r="M24" s="144"/>
      <c r="R24" s="144" t="s">
        <v>30</v>
      </c>
      <c r="S24" s="145"/>
      <c r="T24" s="145"/>
    </row>
    <row r="34" spans="2:4">
      <c r="B34" s="18" t="s">
        <v>40</v>
      </c>
      <c r="D34" s="36" t="s">
        <v>70</v>
      </c>
    </row>
    <row r="35" spans="2:4" ht="39">
      <c r="B35" s="13" t="s">
        <v>39</v>
      </c>
      <c r="D35" s="35" t="s">
        <v>38</v>
      </c>
    </row>
  </sheetData>
  <mergeCells count="23"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  <mergeCell ref="A8:V8"/>
    <mergeCell ref="E23:F23"/>
    <mergeCell ref="L23:M23"/>
    <mergeCell ref="R23:T23"/>
    <mergeCell ref="E24:F24"/>
    <mergeCell ref="L24:M24"/>
    <mergeCell ref="R24:T24"/>
  </mergeCells>
  <pageMargins left="0.25" right="0.25" top="0.75" bottom="0.75" header="0.3" footer="0.3"/>
  <pageSetup scale="5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FCF7-F129-44CD-A277-33A07668A90D}">
  <sheetPr>
    <pageSetUpPr fitToPage="1"/>
  </sheetPr>
  <dimension ref="A1:V35"/>
  <sheetViews>
    <sheetView topLeftCell="A17" workbookViewId="0">
      <selection sqref="A1:V35"/>
    </sheetView>
  </sheetViews>
  <sheetFormatPr defaultRowHeight="13"/>
  <cols>
    <col min="1" max="1" width="5.09765625" customWidth="1"/>
    <col min="2" max="2" width="34.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37.5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8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0">
        <v>45755</v>
      </c>
      <c r="L3" s="149"/>
      <c r="M3" s="149"/>
      <c r="N3" s="149"/>
      <c r="O3" s="149"/>
      <c r="P3" s="149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39" t="s">
        <v>14</v>
      </c>
      <c r="I4" s="39" t="s">
        <v>15</v>
      </c>
      <c r="J4" s="41" t="s">
        <v>16</v>
      </c>
      <c r="K4" s="40" t="s">
        <v>84</v>
      </c>
      <c r="L4" s="39" t="s">
        <v>18</v>
      </c>
      <c r="M4" s="39" t="s">
        <v>19</v>
      </c>
      <c r="N4" s="39" t="s">
        <v>20</v>
      </c>
      <c r="O4" s="40" t="s">
        <v>21</v>
      </c>
      <c r="P4" s="40" t="s">
        <v>22</v>
      </c>
      <c r="Q4" s="148"/>
      <c r="R4" s="148"/>
      <c r="S4" s="148"/>
      <c r="T4" s="148"/>
      <c r="U4" s="148"/>
    </row>
    <row r="5" spans="1:22" ht="52.5" thickBot="1">
      <c r="A5" s="71">
        <v>1</v>
      </c>
      <c r="B5" s="76" t="s">
        <v>63</v>
      </c>
      <c r="C5" s="79" t="s">
        <v>50</v>
      </c>
      <c r="D5" s="82" t="s">
        <v>64</v>
      </c>
      <c r="E5" s="76" t="s">
        <v>65</v>
      </c>
      <c r="F5" s="83" t="s">
        <v>31</v>
      </c>
      <c r="G5" s="78">
        <v>45772</v>
      </c>
      <c r="H5" s="75">
        <v>6694</v>
      </c>
      <c r="I5" s="87">
        <v>13.01</v>
      </c>
      <c r="J5" s="71">
        <f>I5*H5</f>
        <v>87088.94</v>
      </c>
      <c r="K5" s="88">
        <f>4444+10+1800</f>
        <v>6254</v>
      </c>
      <c r="L5" s="84">
        <f>K5+J5</f>
        <v>93342.94</v>
      </c>
      <c r="M5" s="85">
        <v>45792</v>
      </c>
      <c r="N5" s="74" t="s">
        <v>85</v>
      </c>
      <c r="O5" s="84">
        <v>106922</v>
      </c>
      <c r="P5" s="80"/>
      <c r="Q5" s="80" t="s">
        <v>67</v>
      </c>
      <c r="R5" s="81" t="s">
        <v>68</v>
      </c>
      <c r="S5" s="72" t="s">
        <v>66</v>
      </c>
      <c r="T5" s="72" t="s">
        <v>66</v>
      </c>
      <c r="U5" s="86" t="s">
        <v>66</v>
      </c>
      <c r="V5" s="67"/>
    </row>
    <row r="6" spans="1:22" ht="26.5" thickBot="1">
      <c r="A6" s="71">
        <v>2</v>
      </c>
      <c r="B6" s="76" t="s">
        <v>77</v>
      </c>
      <c r="C6" s="76" t="s">
        <v>78</v>
      </c>
      <c r="D6" s="76" t="s">
        <v>79</v>
      </c>
      <c r="E6" s="77" t="s">
        <v>80</v>
      </c>
      <c r="F6" s="76" t="s">
        <v>31</v>
      </c>
      <c r="G6" s="78">
        <v>45772</v>
      </c>
      <c r="H6" s="75">
        <v>400</v>
      </c>
      <c r="I6" s="75">
        <v>13.01</v>
      </c>
      <c r="J6" s="75">
        <v>5569</v>
      </c>
      <c r="K6" s="75">
        <v>0</v>
      </c>
      <c r="L6" s="75">
        <f>J6</f>
        <v>5569</v>
      </c>
      <c r="M6" s="85">
        <v>45792</v>
      </c>
      <c r="N6" s="74" t="s">
        <v>85</v>
      </c>
      <c r="O6" s="75">
        <v>4749</v>
      </c>
      <c r="P6" s="73"/>
      <c r="Q6" s="69" t="s">
        <v>66</v>
      </c>
      <c r="R6" s="68" t="s">
        <v>66</v>
      </c>
      <c r="S6" s="69" t="s">
        <v>66</v>
      </c>
      <c r="T6" s="69" t="s">
        <v>66</v>
      </c>
      <c r="U6" s="69" t="s">
        <v>66</v>
      </c>
      <c r="V6" s="70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53" t="s">
        <v>86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J10" s="89"/>
    </row>
    <row r="12" spans="1:22">
      <c r="H12" s="89"/>
    </row>
    <row r="23" spans="2:20">
      <c r="B23" s="64" t="s">
        <v>25</v>
      </c>
      <c r="C23" s="16"/>
      <c r="E23" s="147" t="s">
        <v>26</v>
      </c>
      <c r="F23" s="147"/>
      <c r="I23" s="66"/>
      <c r="J23" s="66"/>
      <c r="K23" s="66"/>
      <c r="L23" s="147" t="s">
        <v>27</v>
      </c>
      <c r="M23" s="147"/>
      <c r="R23" s="143" t="s">
        <v>29</v>
      </c>
      <c r="S23" s="146"/>
      <c r="T23" s="146"/>
    </row>
    <row r="24" spans="2:20" ht="31">
      <c r="B24" s="17" t="s">
        <v>28</v>
      </c>
      <c r="E24" s="144" t="s">
        <v>61</v>
      </c>
      <c r="F24" s="144"/>
      <c r="I24" s="67"/>
      <c r="J24" s="67"/>
      <c r="K24" s="67"/>
      <c r="L24" s="144" t="s">
        <v>62</v>
      </c>
      <c r="M24" s="144"/>
      <c r="R24" s="144" t="s">
        <v>30</v>
      </c>
      <c r="S24" s="145"/>
      <c r="T24" s="145"/>
    </row>
    <row r="34" spans="2:4">
      <c r="B34" s="18" t="s">
        <v>40</v>
      </c>
      <c r="D34" s="36" t="s">
        <v>70</v>
      </c>
    </row>
    <row r="35" spans="2:4" ht="39">
      <c r="B35" s="13" t="s">
        <v>39</v>
      </c>
      <c r="D35" s="35" t="s">
        <v>38</v>
      </c>
    </row>
  </sheetData>
  <mergeCells count="23"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  <mergeCell ref="A8:V8"/>
    <mergeCell ref="E23:F23"/>
    <mergeCell ref="L23:M23"/>
    <mergeCell ref="R23:T23"/>
    <mergeCell ref="E24:F24"/>
    <mergeCell ref="L24:M24"/>
    <mergeCell ref="R24:T24"/>
  </mergeCells>
  <pageMargins left="0.25" right="0.25" top="0.75" bottom="0.75" header="0.3" footer="0.3"/>
  <pageSetup scale="5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0454-A6B2-410F-BF12-8C23ECEC0B3F}">
  <sheetPr>
    <pageSetUpPr fitToPage="1"/>
  </sheetPr>
  <dimension ref="A1:V35"/>
  <sheetViews>
    <sheetView topLeftCell="A20" workbookViewId="0">
      <selection sqref="A1:V36"/>
    </sheetView>
  </sheetViews>
  <sheetFormatPr defaultRowHeight="13"/>
  <cols>
    <col min="1" max="1" width="5.09765625" customWidth="1"/>
    <col min="2" max="2" width="34.5" customWidth="1"/>
    <col min="3" max="3" width="14" customWidth="1"/>
    <col min="4" max="4" width="16.3984375" customWidth="1"/>
    <col min="5" max="5" width="18.69921875" customWidth="1"/>
    <col min="6" max="6" width="13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34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8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1">
        <v>45824</v>
      </c>
      <c r="L3" s="152"/>
      <c r="M3" s="152"/>
      <c r="N3" s="152"/>
      <c r="O3" s="152"/>
      <c r="P3" s="152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39" t="s">
        <v>14</v>
      </c>
      <c r="I4" s="39" t="s">
        <v>15</v>
      </c>
      <c r="J4" s="41" t="s">
        <v>16</v>
      </c>
      <c r="K4" s="40" t="s">
        <v>84</v>
      </c>
      <c r="L4" s="39" t="s">
        <v>18</v>
      </c>
      <c r="M4" s="39" t="s">
        <v>19</v>
      </c>
      <c r="N4" s="39" t="s">
        <v>20</v>
      </c>
      <c r="O4" s="40" t="s">
        <v>21</v>
      </c>
      <c r="P4" s="40" t="s">
        <v>22</v>
      </c>
      <c r="Q4" s="148"/>
      <c r="R4" s="148"/>
      <c r="S4" s="148"/>
      <c r="T4" s="148"/>
      <c r="U4" s="148"/>
    </row>
    <row r="5" spans="1:22" ht="52.5" thickBot="1">
      <c r="A5" s="71">
        <v>1</v>
      </c>
      <c r="B5" s="76" t="s">
        <v>63</v>
      </c>
      <c r="C5" s="79" t="s">
        <v>50</v>
      </c>
      <c r="D5" s="82" t="s">
        <v>64</v>
      </c>
      <c r="E5" s="76" t="s">
        <v>65</v>
      </c>
      <c r="F5" s="83" t="s">
        <v>31</v>
      </c>
      <c r="G5" s="78">
        <v>45802</v>
      </c>
      <c r="H5" s="75">
        <v>6740</v>
      </c>
      <c r="I5" s="87">
        <v>13.01</v>
      </c>
      <c r="J5" s="71">
        <f>I5*H5</f>
        <v>87687.4</v>
      </c>
      <c r="K5" s="90">
        <f>4474.9+10+1800</f>
        <v>6284.9</v>
      </c>
      <c r="L5" s="84">
        <v>93972</v>
      </c>
      <c r="M5" s="85">
        <v>45824</v>
      </c>
      <c r="N5" s="74" t="s">
        <v>87</v>
      </c>
      <c r="O5" s="84">
        <v>106922</v>
      </c>
      <c r="P5" s="80"/>
      <c r="Q5" s="80" t="s">
        <v>67</v>
      </c>
      <c r="R5" s="81" t="s">
        <v>68</v>
      </c>
      <c r="S5" s="72" t="s">
        <v>66</v>
      </c>
      <c r="T5" s="72" t="s">
        <v>66</v>
      </c>
      <c r="U5" s="86" t="s">
        <v>66</v>
      </c>
      <c r="V5" s="67"/>
    </row>
    <row r="6" spans="1:22" ht="26.5" thickBot="1">
      <c r="A6" s="71">
        <v>2</v>
      </c>
      <c r="B6" s="76" t="s">
        <v>77</v>
      </c>
      <c r="C6" s="76" t="s">
        <v>78</v>
      </c>
      <c r="D6" s="76" t="s">
        <v>79</v>
      </c>
      <c r="E6" s="77" t="s">
        <v>80</v>
      </c>
      <c r="F6" s="76" t="s">
        <v>31</v>
      </c>
      <c r="G6" s="78">
        <v>45802</v>
      </c>
      <c r="H6" s="75">
        <v>380</v>
      </c>
      <c r="I6" s="75">
        <v>13.01</v>
      </c>
      <c r="J6" s="75">
        <v>5296</v>
      </c>
      <c r="K6" s="75">
        <v>0</v>
      </c>
      <c r="L6" s="75">
        <f>J6</f>
        <v>5296</v>
      </c>
      <c r="M6" s="85">
        <v>45792</v>
      </c>
      <c r="N6" s="74" t="s">
        <v>87</v>
      </c>
      <c r="O6" s="75">
        <v>5569</v>
      </c>
      <c r="P6" s="73"/>
      <c r="Q6" s="69" t="s">
        <v>66</v>
      </c>
      <c r="R6" s="68" t="s">
        <v>66</v>
      </c>
      <c r="S6" s="69" t="s">
        <v>66</v>
      </c>
      <c r="T6" s="69" t="s">
        <v>66</v>
      </c>
      <c r="U6" s="69" t="s">
        <v>66</v>
      </c>
      <c r="V6" s="70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53" t="s">
        <v>88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9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J10" s="89"/>
    </row>
    <row r="12" spans="1:22">
      <c r="H12" s="89"/>
    </row>
    <row r="23" spans="2:20">
      <c r="B23" s="64" t="s">
        <v>25</v>
      </c>
      <c r="C23" s="16"/>
      <c r="E23" s="147" t="s">
        <v>26</v>
      </c>
      <c r="F23" s="147"/>
      <c r="I23" s="66"/>
      <c r="J23" s="66"/>
      <c r="K23" s="66"/>
      <c r="L23" s="147" t="s">
        <v>27</v>
      </c>
      <c r="M23" s="147"/>
      <c r="R23" s="143" t="s">
        <v>29</v>
      </c>
      <c r="S23" s="146"/>
      <c r="T23" s="146"/>
    </row>
    <row r="24" spans="2:20" ht="31">
      <c r="B24" s="17" t="s">
        <v>28</v>
      </c>
      <c r="E24" s="144" t="s">
        <v>61</v>
      </c>
      <c r="F24" s="144"/>
      <c r="I24" s="67"/>
      <c r="J24" s="67"/>
      <c r="K24" s="67"/>
      <c r="L24" s="144" t="s">
        <v>62</v>
      </c>
      <c r="M24" s="144"/>
      <c r="R24" s="144" t="s">
        <v>30</v>
      </c>
      <c r="S24" s="145"/>
      <c r="T24" s="145"/>
    </row>
    <row r="34" spans="2:4">
      <c r="B34" s="18" t="s">
        <v>40</v>
      </c>
      <c r="D34" s="36" t="s">
        <v>70</v>
      </c>
    </row>
    <row r="35" spans="2:4" ht="39">
      <c r="B35" s="13" t="s">
        <v>39</v>
      </c>
      <c r="D35" s="35" t="s">
        <v>38</v>
      </c>
    </row>
  </sheetData>
  <mergeCells count="23">
    <mergeCell ref="A8:V8"/>
    <mergeCell ref="E23:F23"/>
    <mergeCell ref="L23:M23"/>
    <mergeCell ref="R23:T23"/>
    <mergeCell ref="E24:F24"/>
    <mergeCell ref="L24:M24"/>
    <mergeCell ref="R24:T24"/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</mergeCells>
  <pageMargins left="0.25" right="0.25" top="0.75" bottom="0.75" header="0.3" footer="0.3"/>
  <pageSetup scale="5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9AD8-9866-4930-A25B-839FE34CF8BE}">
  <sheetPr>
    <pageSetUpPr fitToPage="1"/>
  </sheetPr>
  <dimension ref="A1:V35"/>
  <sheetViews>
    <sheetView topLeftCell="A22" workbookViewId="0">
      <selection activeCell="D34" sqref="D34:D35"/>
    </sheetView>
  </sheetViews>
  <sheetFormatPr defaultRowHeight="13"/>
  <cols>
    <col min="1" max="1" width="5.09765625" customWidth="1"/>
    <col min="2" max="2" width="34.5" customWidth="1"/>
    <col min="3" max="3" width="11.69921875" customWidth="1"/>
    <col min="4" max="5" width="15.5" customWidth="1"/>
    <col min="6" max="6" width="11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32.5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9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1">
        <v>45875</v>
      </c>
      <c r="L3" s="152"/>
      <c r="M3" s="152"/>
      <c r="N3" s="152"/>
      <c r="O3" s="152"/>
      <c r="P3" s="152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39" t="s">
        <v>14</v>
      </c>
      <c r="I4" s="39" t="s">
        <v>15</v>
      </c>
      <c r="J4" s="41" t="s">
        <v>16</v>
      </c>
      <c r="K4" s="40" t="s">
        <v>91</v>
      </c>
      <c r="L4" s="39" t="s">
        <v>18</v>
      </c>
      <c r="M4" s="39" t="s">
        <v>19</v>
      </c>
      <c r="N4" s="39" t="s">
        <v>20</v>
      </c>
      <c r="O4" s="40" t="s">
        <v>21</v>
      </c>
      <c r="P4" s="40" t="s">
        <v>22</v>
      </c>
      <c r="Q4" s="148"/>
      <c r="R4" s="148"/>
      <c r="S4" s="148"/>
      <c r="T4" s="148"/>
      <c r="U4" s="148"/>
    </row>
    <row r="5" spans="1:22" ht="52.5" thickBot="1">
      <c r="A5" s="71">
        <v>1</v>
      </c>
      <c r="B5" s="76" t="s">
        <v>63</v>
      </c>
      <c r="C5" s="79" t="s">
        <v>50</v>
      </c>
      <c r="D5" s="82" t="s">
        <v>64</v>
      </c>
      <c r="E5" s="76" t="s">
        <v>65</v>
      </c>
      <c r="F5" s="83" t="s">
        <v>31</v>
      </c>
      <c r="G5" s="78">
        <v>45894</v>
      </c>
      <c r="H5" s="75">
        <v>8215</v>
      </c>
      <c r="I5" s="87">
        <v>13.01</v>
      </c>
      <c r="J5" s="71">
        <f>I5*H5</f>
        <v>106877.15</v>
      </c>
      <c r="K5" s="90">
        <f>10+2250+5456.9</f>
        <v>7716.9</v>
      </c>
      <c r="L5" s="92">
        <f>K5+J5</f>
        <v>114594.04999999999</v>
      </c>
      <c r="M5" s="85">
        <v>45907</v>
      </c>
      <c r="N5" s="74" t="s">
        <v>92</v>
      </c>
      <c r="O5" s="84">
        <v>109348.31</v>
      </c>
      <c r="P5" s="80"/>
      <c r="Q5" s="80" t="s">
        <v>67</v>
      </c>
      <c r="R5" s="81" t="s">
        <v>68</v>
      </c>
      <c r="S5" s="72" t="s">
        <v>66</v>
      </c>
      <c r="T5" s="72" t="s">
        <v>66</v>
      </c>
      <c r="U5" s="86" t="s">
        <v>66</v>
      </c>
      <c r="V5" s="67"/>
    </row>
    <row r="6" spans="1:22" ht="26.5" thickBot="1">
      <c r="A6" s="71">
        <v>2</v>
      </c>
      <c r="B6" s="76" t="s">
        <v>77</v>
      </c>
      <c r="C6" s="76" t="s">
        <v>78</v>
      </c>
      <c r="D6" s="76" t="s">
        <v>79</v>
      </c>
      <c r="E6" s="77" t="s">
        <v>80</v>
      </c>
      <c r="F6" s="76" t="s">
        <v>31</v>
      </c>
      <c r="G6" s="78">
        <v>45894</v>
      </c>
      <c r="H6" s="75">
        <v>350</v>
      </c>
      <c r="I6" s="75">
        <v>13.01</v>
      </c>
      <c r="J6" s="71">
        <f>I6*H6</f>
        <v>4553.5</v>
      </c>
      <c r="K6" s="75">
        <f>L6-J6</f>
        <v>333.5</v>
      </c>
      <c r="L6" s="93">
        <v>4887</v>
      </c>
      <c r="M6" s="85">
        <v>45907</v>
      </c>
      <c r="N6" s="74" t="s">
        <v>92</v>
      </c>
      <c r="O6" s="71">
        <v>3929.7999999999997</v>
      </c>
      <c r="P6" s="73"/>
      <c r="Q6" s="69" t="s">
        <v>66</v>
      </c>
      <c r="R6" s="68" t="s">
        <v>66</v>
      </c>
      <c r="S6" s="69" t="s">
        <v>66</v>
      </c>
      <c r="T6" s="69" t="s">
        <v>66</v>
      </c>
      <c r="U6" s="69" t="s">
        <v>66</v>
      </c>
      <c r="V6" s="70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53" t="s">
        <v>93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9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J10" s="89"/>
      <c r="L10" s="89"/>
    </row>
    <row r="12" spans="1:22">
      <c r="H12" s="89"/>
      <c r="L12" s="89"/>
    </row>
    <row r="13" spans="1:22">
      <c r="K13" s="89"/>
    </row>
    <row r="23" spans="2:20">
      <c r="B23" s="64" t="s">
        <v>25</v>
      </c>
      <c r="C23" s="16"/>
      <c r="E23" s="147" t="s">
        <v>26</v>
      </c>
      <c r="F23" s="147"/>
      <c r="I23" s="66"/>
      <c r="J23" s="66"/>
      <c r="K23" s="66"/>
      <c r="L23" s="147" t="s">
        <v>27</v>
      </c>
      <c r="M23" s="147"/>
      <c r="R23" s="143" t="s">
        <v>29</v>
      </c>
      <c r="S23" s="146"/>
      <c r="T23" s="146"/>
    </row>
    <row r="24" spans="2:20" ht="31">
      <c r="B24" s="17" t="s">
        <v>28</v>
      </c>
      <c r="E24" s="154" t="s">
        <v>90</v>
      </c>
      <c r="F24" s="144"/>
      <c r="I24" s="67"/>
      <c r="J24" s="67"/>
      <c r="K24" s="67"/>
      <c r="L24" s="154" t="s">
        <v>89</v>
      </c>
      <c r="M24" s="144"/>
      <c r="R24" s="144" t="s">
        <v>30</v>
      </c>
      <c r="S24" s="145"/>
      <c r="T24" s="145"/>
    </row>
    <row r="34" spans="2:4">
      <c r="B34" s="18" t="s">
        <v>40</v>
      </c>
      <c r="D34" s="36" t="s">
        <v>70</v>
      </c>
    </row>
    <row r="35" spans="2:4" ht="39">
      <c r="B35" s="13" t="s">
        <v>39</v>
      </c>
      <c r="D35" s="35" t="s">
        <v>38</v>
      </c>
    </row>
  </sheetData>
  <mergeCells count="23"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  <mergeCell ref="A8:V8"/>
    <mergeCell ref="E23:F23"/>
    <mergeCell ref="L23:M23"/>
    <mergeCell ref="R23:T23"/>
    <mergeCell ref="E24:F24"/>
    <mergeCell ref="L24:M24"/>
    <mergeCell ref="R24:T24"/>
  </mergeCells>
  <pageMargins left="0.25" right="0.25" top="0.75" bottom="0.75" header="0.3" footer="0.3"/>
  <pageSetup scale="5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C7B3-25FF-4B9B-8546-66BBB0DDE1C9}">
  <sheetPr>
    <pageSetUpPr fitToPage="1"/>
  </sheetPr>
  <dimension ref="A1:V35"/>
  <sheetViews>
    <sheetView workbookViewId="0">
      <selection sqref="A1:V35"/>
    </sheetView>
  </sheetViews>
  <sheetFormatPr defaultRowHeight="13"/>
  <cols>
    <col min="1" max="1" width="5.09765625" customWidth="1"/>
    <col min="2" max="2" width="34.5" customWidth="1"/>
    <col min="3" max="3" width="11.69921875" customWidth="1"/>
    <col min="4" max="5" width="15.5" customWidth="1"/>
    <col min="6" max="6" width="11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27.5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8.5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1">
        <v>45875</v>
      </c>
      <c r="L3" s="152"/>
      <c r="M3" s="152"/>
      <c r="N3" s="152"/>
      <c r="O3" s="152"/>
      <c r="P3" s="152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95" t="s">
        <v>14</v>
      </c>
      <c r="I4" s="95" t="s">
        <v>15</v>
      </c>
      <c r="J4" s="41" t="s">
        <v>16</v>
      </c>
      <c r="K4" s="94" t="s">
        <v>91</v>
      </c>
      <c r="L4" s="95" t="s">
        <v>18</v>
      </c>
      <c r="M4" s="95" t="s">
        <v>19</v>
      </c>
      <c r="N4" s="95" t="s">
        <v>20</v>
      </c>
      <c r="O4" s="94" t="s">
        <v>21</v>
      </c>
      <c r="P4" s="94" t="s">
        <v>22</v>
      </c>
      <c r="Q4" s="148"/>
      <c r="R4" s="148"/>
      <c r="S4" s="148"/>
      <c r="T4" s="148"/>
      <c r="U4" s="148"/>
    </row>
    <row r="5" spans="1:22" ht="52.5" thickBot="1">
      <c r="A5" s="71">
        <v>1</v>
      </c>
      <c r="B5" s="76" t="s">
        <v>63</v>
      </c>
      <c r="C5" s="79" t="s">
        <v>50</v>
      </c>
      <c r="D5" s="82" t="s">
        <v>64</v>
      </c>
      <c r="E5" s="76" t="s">
        <v>65</v>
      </c>
      <c r="F5" s="83" t="s">
        <v>31</v>
      </c>
      <c r="G5" s="78">
        <v>45925</v>
      </c>
      <c r="H5" s="75">
        <v>7614</v>
      </c>
      <c r="I5" s="87">
        <v>13.01</v>
      </c>
      <c r="J5" s="71">
        <f>I5*H5</f>
        <v>99058.14</v>
      </c>
      <c r="K5" s="90">
        <f>10+2250+5065.9</f>
        <v>7325.9</v>
      </c>
      <c r="L5" s="92">
        <f>K5+J5</f>
        <v>106384.04</v>
      </c>
      <c r="M5" s="85">
        <v>45938</v>
      </c>
      <c r="N5" s="74" t="s">
        <v>94</v>
      </c>
      <c r="O5" s="84">
        <v>109348.31</v>
      </c>
      <c r="P5" s="80"/>
      <c r="Q5" s="80" t="s">
        <v>67</v>
      </c>
      <c r="R5" s="81" t="s">
        <v>68</v>
      </c>
      <c r="S5" s="72" t="s">
        <v>66</v>
      </c>
      <c r="T5" s="72" t="s">
        <v>66</v>
      </c>
      <c r="U5" s="86" t="s">
        <v>66</v>
      </c>
      <c r="V5" s="67"/>
    </row>
    <row r="6" spans="1:22" ht="26.5" thickBot="1">
      <c r="A6" s="71">
        <v>2</v>
      </c>
      <c r="B6" s="76" t="s">
        <v>77</v>
      </c>
      <c r="C6" s="76" t="s">
        <v>78</v>
      </c>
      <c r="D6" s="76" t="s">
        <v>79</v>
      </c>
      <c r="E6" s="77" t="s">
        <v>80</v>
      </c>
      <c r="F6" s="76" t="s">
        <v>31</v>
      </c>
      <c r="G6" s="78">
        <v>45925</v>
      </c>
      <c r="H6" s="75">
        <v>400</v>
      </c>
      <c r="I6" s="75">
        <v>13.01</v>
      </c>
      <c r="J6" s="71">
        <f>I6*H6</f>
        <v>5204</v>
      </c>
      <c r="K6" s="75">
        <f>L6-J6</f>
        <v>365</v>
      </c>
      <c r="L6" s="93">
        <v>5569</v>
      </c>
      <c r="M6" s="85">
        <v>45907</v>
      </c>
      <c r="N6" s="74" t="s">
        <v>92</v>
      </c>
      <c r="O6" s="71">
        <v>4887</v>
      </c>
      <c r="P6" s="73"/>
      <c r="Q6" s="69" t="s">
        <v>66</v>
      </c>
      <c r="R6" s="68" t="s">
        <v>66</v>
      </c>
      <c r="S6" s="69" t="s">
        <v>66</v>
      </c>
      <c r="T6" s="69" t="s">
        <v>66</v>
      </c>
      <c r="U6" s="69" t="s">
        <v>66</v>
      </c>
      <c r="V6" s="70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53" t="s">
        <v>95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9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J10" s="89"/>
      <c r="L10" s="89"/>
    </row>
    <row r="11" spans="1:22">
      <c r="K11" s="89"/>
    </row>
    <row r="12" spans="1:22">
      <c r="H12" s="89"/>
      <c r="L12" s="89"/>
    </row>
    <row r="13" spans="1:22">
      <c r="K13" s="89"/>
    </row>
    <row r="23" spans="2:20">
      <c r="B23" s="64" t="s">
        <v>25</v>
      </c>
      <c r="C23" s="16"/>
      <c r="E23" s="147" t="s">
        <v>26</v>
      </c>
      <c r="F23" s="147"/>
      <c r="I23" s="66"/>
      <c r="J23" s="66"/>
      <c r="K23" s="66"/>
      <c r="L23" s="147" t="s">
        <v>27</v>
      </c>
      <c r="M23" s="147"/>
      <c r="R23" s="143" t="s">
        <v>29</v>
      </c>
      <c r="S23" s="146"/>
      <c r="T23" s="146"/>
    </row>
    <row r="24" spans="2:20" ht="31">
      <c r="B24" s="17" t="s">
        <v>28</v>
      </c>
      <c r="E24" s="154" t="s">
        <v>90</v>
      </c>
      <c r="F24" s="144"/>
      <c r="I24" s="67"/>
      <c r="J24" s="67"/>
      <c r="K24" s="67"/>
      <c r="L24" s="154" t="s">
        <v>89</v>
      </c>
      <c r="M24" s="144"/>
      <c r="R24" s="144" t="s">
        <v>30</v>
      </c>
      <c r="S24" s="145"/>
      <c r="T24" s="145"/>
    </row>
    <row r="34" spans="2:4">
      <c r="B34" s="18" t="s">
        <v>40</v>
      </c>
      <c r="D34" s="36" t="s">
        <v>70</v>
      </c>
    </row>
    <row r="35" spans="2:4" ht="39">
      <c r="B35" s="13" t="s">
        <v>39</v>
      </c>
      <c r="D35" s="35" t="s">
        <v>38</v>
      </c>
    </row>
  </sheetData>
  <mergeCells count="23">
    <mergeCell ref="A8:V8"/>
    <mergeCell ref="E23:F23"/>
    <mergeCell ref="L23:M23"/>
    <mergeCell ref="R23:T23"/>
    <mergeCell ref="E24:F24"/>
    <mergeCell ref="L24:M24"/>
    <mergeCell ref="R24:T24"/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</mergeCells>
  <pageMargins left="0.25" right="0.25" top="0.75" bottom="0.75" header="0.3" footer="0.3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591F-90F2-46DF-91F8-94C05E97E9B7}">
  <sheetPr>
    <pageSetUpPr fitToPage="1"/>
  </sheetPr>
  <dimension ref="A1:V35"/>
  <sheetViews>
    <sheetView topLeftCell="A2" workbookViewId="0">
      <selection activeCell="G5" sqref="G5"/>
    </sheetView>
  </sheetViews>
  <sheetFormatPr defaultRowHeight="13"/>
  <cols>
    <col min="1" max="1" width="5.09765625" customWidth="1"/>
    <col min="2" max="2" width="34.5" customWidth="1"/>
    <col min="3" max="3" width="11.69921875" customWidth="1"/>
    <col min="4" max="5" width="15.5" customWidth="1"/>
    <col min="6" max="6" width="11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29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8.5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1">
        <v>45965</v>
      </c>
      <c r="L3" s="152"/>
      <c r="M3" s="152"/>
      <c r="N3" s="152"/>
      <c r="O3" s="152"/>
      <c r="P3" s="152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97" t="s">
        <v>14</v>
      </c>
      <c r="I4" s="97" t="s">
        <v>15</v>
      </c>
      <c r="J4" s="41" t="s">
        <v>16</v>
      </c>
      <c r="K4" s="96" t="s">
        <v>91</v>
      </c>
      <c r="L4" s="97" t="s">
        <v>18</v>
      </c>
      <c r="M4" s="97" t="s">
        <v>19</v>
      </c>
      <c r="N4" s="97" t="s">
        <v>20</v>
      </c>
      <c r="O4" s="96" t="s">
        <v>21</v>
      </c>
      <c r="P4" s="96" t="s">
        <v>22</v>
      </c>
      <c r="Q4" s="148"/>
      <c r="R4" s="148"/>
      <c r="S4" s="148"/>
      <c r="T4" s="148"/>
      <c r="U4" s="148"/>
    </row>
    <row r="5" spans="1:22" ht="52.5" thickBot="1">
      <c r="A5" s="71">
        <v>1</v>
      </c>
      <c r="B5" s="76" t="s">
        <v>63</v>
      </c>
      <c r="C5" s="79" t="s">
        <v>50</v>
      </c>
      <c r="D5" s="82" t="s">
        <v>64</v>
      </c>
      <c r="E5" s="76" t="s">
        <v>65</v>
      </c>
      <c r="F5" s="83" t="s">
        <v>31</v>
      </c>
      <c r="G5" s="78">
        <v>45925</v>
      </c>
      <c r="H5" s="75"/>
      <c r="I5" s="87">
        <v>13.01</v>
      </c>
      <c r="J5" s="71">
        <f>I5*H5</f>
        <v>0</v>
      </c>
      <c r="K5" s="90">
        <f>10+2250+5249</f>
        <v>7509</v>
      </c>
      <c r="L5" s="92">
        <f>K5+J5</f>
        <v>7509</v>
      </c>
      <c r="M5" s="85">
        <v>45965</v>
      </c>
      <c r="N5" s="74" t="s">
        <v>94</v>
      </c>
      <c r="O5" s="84">
        <v>110235.95999999999</v>
      </c>
      <c r="P5" s="80"/>
      <c r="Q5" s="80" t="s">
        <v>67</v>
      </c>
      <c r="R5" s="81" t="s">
        <v>68</v>
      </c>
      <c r="S5" s="72" t="s">
        <v>66</v>
      </c>
      <c r="T5" s="72" t="s">
        <v>66</v>
      </c>
      <c r="U5" s="86" t="s">
        <v>66</v>
      </c>
      <c r="V5" s="67"/>
    </row>
    <row r="6" spans="1:22" ht="26.5" thickBot="1">
      <c r="A6" s="71">
        <v>2</v>
      </c>
      <c r="B6" s="76" t="s">
        <v>77</v>
      </c>
      <c r="C6" s="76" t="s">
        <v>78</v>
      </c>
      <c r="D6" s="76" t="s">
        <v>79</v>
      </c>
      <c r="E6" s="77" t="s">
        <v>80</v>
      </c>
      <c r="F6" s="76" t="s">
        <v>31</v>
      </c>
      <c r="G6" s="78">
        <v>45925</v>
      </c>
      <c r="H6" s="75"/>
      <c r="I6" s="75">
        <v>13.01</v>
      </c>
      <c r="J6" s="71">
        <f>I6*H6</f>
        <v>0</v>
      </c>
      <c r="K6" s="75">
        <f>90+265</f>
        <v>355</v>
      </c>
      <c r="L6" s="93">
        <f>J6+K6+10</f>
        <v>365</v>
      </c>
      <c r="M6" s="85">
        <v>45965</v>
      </c>
      <c r="N6" s="74" t="s">
        <v>92</v>
      </c>
      <c r="O6" s="71">
        <v>5569</v>
      </c>
      <c r="P6" s="73"/>
      <c r="Q6" s="69" t="s">
        <v>66</v>
      </c>
      <c r="R6" s="68" t="s">
        <v>66</v>
      </c>
      <c r="S6" s="69" t="s">
        <v>66</v>
      </c>
      <c r="T6" s="69" t="s">
        <v>66</v>
      </c>
      <c r="U6" s="69" t="s">
        <v>66</v>
      </c>
      <c r="V6" s="70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53" t="s">
        <v>96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9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J10" s="89"/>
      <c r="K10" s="89"/>
      <c r="L10" s="89"/>
    </row>
    <row r="11" spans="1:22">
      <c r="K11" s="89"/>
    </row>
    <row r="12" spans="1:22">
      <c r="H12" s="89"/>
      <c r="L12" s="89"/>
    </row>
    <row r="13" spans="1:22">
      <c r="K13" s="89"/>
    </row>
    <row r="23" spans="2:20">
      <c r="B23" s="64" t="s">
        <v>25</v>
      </c>
      <c r="C23" s="16"/>
      <c r="E23" s="147" t="s">
        <v>26</v>
      </c>
      <c r="F23" s="147"/>
      <c r="I23" s="66"/>
      <c r="J23" s="66"/>
      <c r="K23" s="66"/>
      <c r="L23" s="147" t="s">
        <v>27</v>
      </c>
      <c r="M23" s="147"/>
      <c r="R23" s="143" t="s">
        <v>29</v>
      </c>
      <c r="S23" s="146"/>
      <c r="T23" s="146"/>
    </row>
    <row r="24" spans="2:20" ht="31">
      <c r="B24" s="17" t="s">
        <v>28</v>
      </c>
      <c r="E24" s="154" t="s">
        <v>90</v>
      </c>
      <c r="F24" s="144"/>
      <c r="I24" s="67"/>
      <c r="J24" s="67"/>
      <c r="K24" s="67"/>
      <c r="L24" s="154" t="s">
        <v>89</v>
      </c>
      <c r="M24" s="144"/>
      <c r="R24" s="144" t="s">
        <v>30</v>
      </c>
      <c r="S24" s="145"/>
      <c r="T24" s="145"/>
    </row>
    <row r="34" spans="2:4">
      <c r="B34" s="18" t="s">
        <v>40</v>
      </c>
      <c r="D34" s="100"/>
    </row>
    <row r="35" spans="2:4" ht="31.5">
      <c r="B35" s="13" t="s">
        <v>39</v>
      </c>
      <c r="D35" s="35"/>
    </row>
  </sheetData>
  <mergeCells count="23"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  <mergeCell ref="A8:V8"/>
    <mergeCell ref="E23:F23"/>
    <mergeCell ref="L23:M23"/>
    <mergeCell ref="R23:T23"/>
    <mergeCell ref="E24:F24"/>
    <mergeCell ref="L24:M24"/>
    <mergeCell ref="R24:T24"/>
  </mergeCells>
  <pageMargins left="0.25" right="0.25" top="0.75" bottom="0.75" header="0.3" footer="0.3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7F28-5D53-4405-B3D1-CF96E7FCF420}">
  <sheetPr>
    <pageSetUpPr fitToPage="1"/>
  </sheetPr>
  <dimension ref="A1:V35"/>
  <sheetViews>
    <sheetView topLeftCell="A17" workbookViewId="0">
      <selection sqref="A1:V35"/>
    </sheetView>
  </sheetViews>
  <sheetFormatPr defaultRowHeight="13"/>
  <cols>
    <col min="1" max="1" width="5.09765625" customWidth="1"/>
    <col min="2" max="2" width="34.5" customWidth="1"/>
    <col min="3" max="3" width="11.69921875" customWidth="1"/>
    <col min="4" max="5" width="15.5" customWidth="1"/>
    <col min="6" max="6" width="11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30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36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1">
        <v>46061</v>
      </c>
      <c r="L3" s="152"/>
      <c r="M3" s="152"/>
      <c r="N3" s="152"/>
      <c r="O3" s="152"/>
      <c r="P3" s="152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99" t="s">
        <v>14</v>
      </c>
      <c r="I4" s="99" t="s">
        <v>15</v>
      </c>
      <c r="J4" s="41" t="s">
        <v>16</v>
      </c>
      <c r="K4" s="98" t="s">
        <v>91</v>
      </c>
      <c r="L4" s="99" t="s">
        <v>18</v>
      </c>
      <c r="M4" s="99" t="s">
        <v>19</v>
      </c>
      <c r="N4" s="99" t="s">
        <v>20</v>
      </c>
      <c r="O4" s="98" t="s">
        <v>21</v>
      </c>
      <c r="P4" s="98" t="s">
        <v>22</v>
      </c>
      <c r="Q4" s="148"/>
      <c r="R4" s="148"/>
      <c r="S4" s="148"/>
      <c r="T4" s="148"/>
      <c r="U4" s="148"/>
    </row>
    <row r="5" spans="1:22" ht="52.5" thickBot="1">
      <c r="A5" s="71">
        <v>1</v>
      </c>
      <c r="B5" s="76" t="s">
        <v>63</v>
      </c>
      <c r="C5" s="79" t="s">
        <v>50</v>
      </c>
      <c r="D5" s="82" t="s">
        <v>64</v>
      </c>
      <c r="E5" s="76" t="s">
        <v>65</v>
      </c>
      <c r="F5" s="83" t="s">
        <v>31</v>
      </c>
      <c r="G5" s="78">
        <v>46047</v>
      </c>
      <c r="H5" s="75">
        <v>6869</v>
      </c>
      <c r="I5" s="87">
        <v>13.01</v>
      </c>
      <c r="J5" s="71">
        <f>I5*H5</f>
        <v>89365.69</v>
      </c>
      <c r="K5" s="90">
        <f>10+2250+4581</f>
        <v>6841</v>
      </c>
      <c r="L5" s="92">
        <f>K5+J5</f>
        <v>96206.69</v>
      </c>
      <c r="M5" s="85">
        <v>46061</v>
      </c>
      <c r="N5" s="74">
        <v>46073</v>
      </c>
      <c r="O5" s="84">
        <v>93529.73</v>
      </c>
      <c r="P5" s="80"/>
      <c r="Q5" s="80" t="s">
        <v>67</v>
      </c>
      <c r="R5" s="81" t="s">
        <v>68</v>
      </c>
      <c r="S5" s="72" t="s">
        <v>66</v>
      </c>
      <c r="T5" s="72" t="s">
        <v>66</v>
      </c>
      <c r="U5" s="86" t="s">
        <v>66</v>
      </c>
      <c r="V5" s="67"/>
    </row>
    <row r="6" spans="1:22" ht="26.5" thickBot="1">
      <c r="A6" s="71">
        <v>2</v>
      </c>
      <c r="B6" s="76" t="s">
        <v>77</v>
      </c>
      <c r="C6" s="76" t="s">
        <v>78</v>
      </c>
      <c r="D6" s="76" t="s">
        <v>79</v>
      </c>
      <c r="E6" s="77" t="s">
        <v>80</v>
      </c>
      <c r="F6" s="76" t="s">
        <v>31</v>
      </c>
      <c r="G6" s="78">
        <v>46047</v>
      </c>
      <c r="H6" s="75">
        <v>390</v>
      </c>
      <c r="I6" s="75">
        <v>13.01</v>
      </c>
      <c r="J6" s="71">
        <f>I6*H6</f>
        <v>5073.8999999999996</v>
      </c>
      <c r="K6" s="75">
        <f>90+0+259</f>
        <v>349</v>
      </c>
      <c r="L6" s="93">
        <f>J6+K6+10</f>
        <v>5432.9</v>
      </c>
      <c r="M6" s="85">
        <v>45998</v>
      </c>
      <c r="N6" s="74">
        <v>46073</v>
      </c>
      <c r="O6" s="71">
        <v>6262.5</v>
      </c>
      <c r="P6" s="73"/>
      <c r="Q6" s="69" t="s">
        <v>66</v>
      </c>
      <c r="R6" s="68" t="s">
        <v>66</v>
      </c>
      <c r="S6" s="69" t="s">
        <v>66</v>
      </c>
      <c r="T6" s="69" t="s">
        <v>66</v>
      </c>
      <c r="U6" s="69" t="s">
        <v>66</v>
      </c>
      <c r="V6" s="70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53" t="s">
        <v>97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9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J10" s="89"/>
      <c r="K10" s="89"/>
      <c r="L10" s="89"/>
    </row>
    <row r="11" spans="1:22">
      <c r="K11" s="89"/>
    </row>
    <row r="12" spans="1:22">
      <c r="H12" s="89"/>
      <c r="K12" s="89"/>
      <c r="L12" s="89"/>
    </row>
    <row r="13" spans="1:22">
      <c r="K13" s="89"/>
    </row>
    <row r="14" spans="1:22">
      <c r="J14" s="89"/>
    </row>
    <row r="23" spans="2:20">
      <c r="B23" s="64" t="s">
        <v>25</v>
      </c>
      <c r="C23" s="16"/>
      <c r="E23" s="147" t="s">
        <v>26</v>
      </c>
      <c r="F23" s="147"/>
      <c r="I23" s="66"/>
      <c r="J23" s="66"/>
      <c r="K23" s="66"/>
      <c r="L23" s="147" t="s">
        <v>27</v>
      </c>
      <c r="M23" s="147"/>
      <c r="R23" s="143" t="s">
        <v>29</v>
      </c>
      <c r="S23" s="146"/>
      <c r="T23" s="146"/>
    </row>
    <row r="24" spans="2:20" ht="31">
      <c r="B24" s="17" t="s">
        <v>28</v>
      </c>
      <c r="E24" s="154" t="s">
        <v>90</v>
      </c>
      <c r="F24" s="144"/>
      <c r="I24" s="67"/>
      <c r="J24" s="67"/>
      <c r="K24" s="67"/>
      <c r="L24" s="154" t="s">
        <v>89</v>
      </c>
      <c r="M24" s="144"/>
      <c r="R24" s="144" t="s">
        <v>30</v>
      </c>
      <c r="S24" s="145"/>
      <c r="T24" s="145"/>
    </row>
    <row r="34" spans="2:4">
      <c r="B34" s="18" t="s">
        <v>40</v>
      </c>
      <c r="D34" s="100"/>
    </row>
    <row r="35" spans="2:4" ht="31.5">
      <c r="B35" s="13" t="s">
        <v>39</v>
      </c>
      <c r="D35" s="35"/>
    </row>
  </sheetData>
  <mergeCells count="23">
    <mergeCell ref="A8:V8"/>
    <mergeCell ref="E23:F23"/>
    <mergeCell ref="L23:M23"/>
    <mergeCell ref="R23:T23"/>
    <mergeCell ref="E24:F24"/>
    <mergeCell ref="L24:M24"/>
    <mergeCell ref="R24:T24"/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</mergeCells>
  <pageMargins left="0.25" right="0.25" top="0.75" bottom="0.75" header="0.3" footer="0.3"/>
  <pageSetup paperSize="9" scale="6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95B0-71B3-4D22-BCCF-608B9BE3DB2F}">
  <sheetPr>
    <pageSetUpPr fitToPage="1"/>
  </sheetPr>
  <dimension ref="A1:V35"/>
  <sheetViews>
    <sheetView workbookViewId="0">
      <selection activeCell="B33" sqref="B33:B36"/>
    </sheetView>
  </sheetViews>
  <sheetFormatPr defaultRowHeight="13"/>
  <cols>
    <col min="1" max="1" width="5.09765625" customWidth="1"/>
    <col min="2" max="2" width="34.5" customWidth="1"/>
    <col min="3" max="3" width="11.69921875" customWidth="1"/>
    <col min="4" max="5" width="15.5" customWidth="1"/>
    <col min="6" max="6" width="11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42.5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6.5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6" customHeight="1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1">
        <v>46084</v>
      </c>
      <c r="L3" s="152"/>
      <c r="M3" s="152"/>
      <c r="N3" s="152"/>
      <c r="O3" s="152"/>
      <c r="P3" s="152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102" t="s">
        <v>14</v>
      </c>
      <c r="I4" s="102" t="s">
        <v>15</v>
      </c>
      <c r="J4" s="41" t="s">
        <v>16</v>
      </c>
      <c r="K4" s="101" t="s">
        <v>91</v>
      </c>
      <c r="L4" s="102" t="s">
        <v>18</v>
      </c>
      <c r="M4" s="102" t="s">
        <v>19</v>
      </c>
      <c r="N4" s="102" t="s">
        <v>20</v>
      </c>
      <c r="O4" s="101" t="s">
        <v>21</v>
      </c>
      <c r="P4" s="101" t="s">
        <v>22</v>
      </c>
      <c r="Q4" s="148"/>
      <c r="R4" s="148"/>
      <c r="S4" s="148"/>
      <c r="T4" s="148"/>
      <c r="U4" s="148"/>
    </row>
    <row r="5" spans="1:22" ht="52.5" thickBot="1">
      <c r="A5" s="71">
        <v>1</v>
      </c>
      <c r="B5" s="76" t="s">
        <v>63</v>
      </c>
      <c r="C5" s="79" t="s">
        <v>50</v>
      </c>
      <c r="D5" s="82" t="s">
        <v>64</v>
      </c>
      <c r="E5" s="76" t="s">
        <v>65</v>
      </c>
      <c r="F5" s="83" t="s">
        <v>31</v>
      </c>
      <c r="G5" s="78">
        <v>46078</v>
      </c>
      <c r="H5" s="75">
        <v>6553</v>
      </c>
      <c r="I5" s="87">
        <v>13.01</v>
      </c>
      <c r="J5" s="71">
        <f>I5*H5</f>
        <v>85254.53</v>
      </c>
      <c r="K5" s="90">
        <f>10+2250+4376</f>
        <v>6636</v>
      </c>
      <c r="L5" s="92">
        <v>91890</v>
      </c>
      <c r="M5" s="85">
        <v>46084</v>
      </c>
      <c r="N5" s="74">
        <v>46101</v>
      </c>
      <c r="O5" s="84">
        <v>96206.69</v>
      </c>
      <c r="P5" s="80"/>
      <c r="Q5" s="80" t="s">
        <v>67</v>
      </c>
      <c r="R5" s="81" t="s">
        <v>68</v>
      </c>
      <c r="S5" s="72" t="s">
        <v>66</v>
      </c>
      <c r="T5" s="72" t="s">
        <v>66</v>
      </c>
      <c r="U5" s="86" t="s">
        <v>66</v>
      </c>
      <c r="V5" s="67"/>
    </row>
    <row r="6" spans="1:22" ht="26.5" thickBot="1">
      <c r="A6" s="71">
        <v>2</v>
      </c>
      <c r="B6" s="76" t="s">
        <v>77</v>
      </c>
      <c r="C6" s="76" t="s">
        <v>78</v>
      </c>
      <c r="D6" s="76" t="s">
        <v>79</v>
      </c>
      <c r="E6" s="77" t="s">
        <v>80</v>
      </c>
      <c r="F6" s="76" t="s">
        <v>31</v>
      </c>
      <c r="G6" s="78">
        <v>46078</v>
      </c>
      <c r="H6" s="75">
        <v>200</v>
      </c>
      <c r="I6" s="75">
        <v>13.01</v>
      </c>
      <c r="J6" s="71">
        <f>I6*H6</f>
        <v>2602</v>
      </c>
      <c r="K6" s="75">
        <f>90+0+135</f>
        <v>225</v>
      </c>
      <c r="L6" s="93">
        <f>J6+K6+10</f>
        <v>2837</v>
      </c>
      <c r="M6" s="85">
        <v>46084</v>
      </c>
      <c r="N6" s="74">
        <v>46101</v>
      </c>
      <c r="O6" s="71">
        <v>5432.9</v>
      </c>
      <c r="P6" s="73"/>
      <c r="Q6" s="69" t="s">
        <v>66</v>
      </c>
      <c r="R6" s="68" t="s">
        <v>66</v>
      </c>
      <c r="S6" s="69" t="s">
        <v>66</v>
      </c>
      <c r="T6" s="69" t="s">
        <v>66</v>
      </c>
      <c r="U6" s="69" t="s">
        <v>66</v>
      </c>
      <c r="V6" s="70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53" t="s">
        <v>98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9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J10" s="89"/>
      <c r="K10" s="89"/>
      <c r="L10" s="89"/>
    </row>
    <row r="11" spans="1:22">
      <c r="K11" s="89"/>
    </row>
    <row r="12" spans="1:22">
      <c r="H12" s="89"/>
      <c r="K12" s="89"/>
      <c r="L12" s="89"/>
    </row>
    <row r="13" spans="1:22">
      <c r="K13" s="89"/>
    </row>
    <row r="14" spans="1:22">
      <c r="J14" s="89"/>
    </row>
    <row r="23" spans="2:20">
      <c r="B23" s="64" t="s">
        <v>25</v>
      </c>
      <c r="C23" s="16"/>
      <c r="D23" s="36" t="s">
        <v>70</v>
      </c>
      <c r="H23" s="147" t="s">
        <v>26</v>
      </c>
      <c r="I23" s="147"/>
      <c r="J23" s="66"/>
      <c r="K23" s="66"/>
      <c r="L23" s="147" t="s">
        <v>27</v>
      </c>
      <c r="M23" s="147"/>
      <c r="R23" s="143" t="s">
        <v>29</v>
      </c>
      <c r="S23" s="146"/>
      <c r="T23" s="146"/>
    </row>
    <row r="24" spans="2:20" ht="39">
      <c r="B24" s="17" t="s">
        <v>28</v>
      </c>
      <c r="D24" s="35" t="s">
        <v>38</v>
      </c>
      <c r="H24" s="154" t="s">
        <v>90</v>
      </c>
      <c r="I24" s="144"/>
      <c r="J24" s="67"/>
      <c r="K24" s="67"/>
      <c r="L24" s="154" t="s">
        <v>89</v>
      </c>
      <c r="M24" s="144"/>
      <c r="R24" s="144" t="s">
        <v>30</v>
      </c>
      <c r="S24" s="145"/>
      <c r="T24" s="145"/>
    </row>
    <row r="34" spans="2:4">
      <c r="B34" s="18" t="s">
        <v>40</v>
      </c>
      <c r="D34" s="100"/>
    </row>
    <row r="35" spans="2:4" ht="31.5">
      <c r="B35" s="13" t="s">
        <v>39</v>
      </c>
      <c r="D35" s="35"/>
    </row>
  </sheetData>
  <mergeCells count="23">
    <mergeCell ref="A8:V8"/>
    <mergeCell ref="H23:I23"/>
    <mergeCell ref="L23:M23"/>
    <mergeCell ref="R23:T23"/>
    <mergeCell ref="H24:I24"/>
    <mergeCell ref="L24:M24"/>
    <mergeCell ref="R24:T24"/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</mergeCells>
  <pageMargins left="0.25" right="0.25" top="0.75" bottom="0.75" header="0.3" footer="0.3"/>
  <pageSetup paperSize="9"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085E-8664-4722-8F9C-27207E3AD0C9}">
  <sheetPr>
    <pageSetUpPr fitToPage="1"/>
  </sheetPr>
  <dimension ref="A1:V32"/>
  <sheetViews>
    <sheetView tabSelected="1" topLeftCell="A14" workbookViewId="0">
      <selection sqref="A1:V32"/>
    </sheetView>
  </sheetViews>
  <sheetFormatPr defaultRowHeight="13"/>
  <cols>
    <col min="1" max="1" width="5.09765625" customWidth="1"/>
    <col min="2" max="2" width="34.5" customWidth="1"/>
    <col min="3" max="3" width="11.69921875" customWidth="1"/>
    <col min="4" max="5" width="15.5" customWidth="1"/>
    <col min="6" max="6" width="11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2" ht="27.5" customHeight="1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6" customHeight="1" thickBot="1">
      <c r="A2" s="126" t="s">
        <v>32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ht="13.5" thickBot="1">
      <c r="A3" s="148" t="s">
        <v>1</v>
      </c>
      <c r="B3" s="148" t="s">
        <v>51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49"/>
      <c r="J3" s="149"/>
      <c r="K3" s="151">
        <v>46180</v>
      </c>
      <c r="L3" s="152"/>
      <c r="M3" s="152"/>
      <c r="N3" s="152"/>
      <c r="O3" s="152"/>
      <c r="P3" s="152"/>
      <c r="Q3" s="148" t="s">
        <v>9</v>
      </c>
      <c r="R3" s="148" t="s">
        <v>10</v>
      </c>
      <c r="S3" s="148" t="s">
        <v>11</v>
      </c>
      <c r="T3" s="148" t="s">
        <v>12</v>
      </c>
      <c r="U3" s="148" t="s">
        <v>13</v>
      </c>
    </row>
    <row r="4" spans="1:22" ht="27.5" thickBot="1">
      <c r="A4" s="148"/>
      <c r="B4" s="148"/>
      <c r="C4" s="148"/>
      <c r="D4" s="148"/>
      <c r="E4" s="148"/>
      <c r="F4" s="148"/>
      <c r="G4" s="148"/>
      <c r="H4" s="104" t="s">
        <v>14</v>
      </c>
      <c r="I4" s="104" t="s">
        <v>15</v>
      </c>
      <c r="J4" s="41" t="s">
        <v>16</v>
      </c>
      <c r="K4" s="103" t="s">
        <v>91</v>
      </c>
      <c r="L4" s="104" t="s">
        <v>18</v>
      </c>
      <c r="M4" s="104" t="s">
        <v>19</v>
      </c>
      <c r="N4" s="104" t="s">
        <v>20</v>
      </c>
      <c r="O4" s="103" t="s">
        <v>21</v>
      </c>
      <c r="P4" s="103" t="s">
        <v>22</v>
      </c>
      <c r="Q4" s="148"/>
      <c r="R4" s="148"/>
      <c r="S4" s="148"/>
      <c r="T4" s="148"/>
      <c r="U4" s="148"/>
    </row>
    <row r="5" spans="1:22" ht="52.5" thickBot="1">
      <c r="A5" s="71">
        <v>1</v>
      </c>
      <c r="B5" s="76" t="s">
        <v>63</v>
      </c>
      <c r="C5" s="79" t="s">
        <v>50</v>
      </c>
      <c r="D5" s="82" t="s">
        <v>64</v>
      </c>
      <c r="E5" s="76" t="s">
        <v>65</v>
      </c>
      <c r="F5" s="83" t="s">
        <v>31</v>
      </c>
      <c r="G5" s="78">
        <v>46167</v>
      </c>
      <c r="H5" s="75">
        <v>7833</v>
      </c>
      <c r="I5" s="87">
        <v>13.01</v>
      </c>
      <c r="J5" s="71">
        <f>I5*H5</f>
        <v>101907.33</v>
      </c>
      <c r="K5" s="90">
        <f>10+2250+5208.3665</f>
        <v>7468.3665000000001</v>
      </c>
      <c r="L5" s="92">
        <f>K5+J5</f>
        <v>109375.69650000001</v>
      </c>
      <c r="M5" s="85">
        <v>46180</v>
      </c>
      <c r="N5" s="74">
        <v>46193</v>
      </c>
      <c r="O5" s="92">
        <v>104266.59</v>
      </c>
      <c r="P5" s="80"/>
      <c r="Q5" s="80" t="s">
        <v>67</v>
      </c>
      <c r="R5" s="81" t="s">
        <v>68</v>
      </c>
      <c r="S5" s="72" t="s">
        <v>66</v>
      </c>
      <c r="T5" s="72" t="s">
        <v>66</v>
      </c>
      <c r="U5" s="86" t="s">
        <v>66</v>
      </c>
      <c r="V5" s="67"/>
    </row>
    <row r="6" spans="1:22" ht="26.5" thickBot="1">
      <c r="A6" s="71">
        <v>2</v>
      </c>
      <c r="B6" s="76" t="s">
        <v>77</v>
      </c>
      <c r="C6" s="76" t="s">
        <v>78</v>
      </c>
      <c r="D6" s="76" t="s">
        <v>79</v>
      </c>
      <c r="E6" s="77" t="s">
        <v>80</v>
      </c>
      <c r="F6" s="76" t="s">
        <v>31</v>
      </c>
      <c r="G6" s="78">
        <v>46167</v>
      </c>
      <c r="H6" s="75">
        <v>220</v>
      </c>
      <c r="I6" s="75">
        <v>13.01</v>
      </c>
      <c r="J6" s="71">
        <f>I6*H6</f>
        <v>2862.2</v>
      </c>
      <c r="K6" s="75">
        <f>148+10+90</f>
        <v>248</v>
      </c>
      <c r="L6" s="93">
        <f>J6+K6</f>
        <v>3110.2</v>
      </c>
      <c r="M6" s="85">
        <v>46180</v>
      </c>
      <c r="N6" s="74">
        <v>46193</v>
      </c>
      <c r="O6" s="93">
        <v>6661.8</v>
      </c>
      <c r="P6" s="73"/>
      <c r="Q6" s="69" t="s">
        <v>66</v>
      </c>
      <c r="R6" s="68" t="s">
        <v>66</v>
      </c>
      <c r="S6" s="69" t="s">
        <v>66</v>
      </c>
      <c r="T6" s="69" t="s">
        <v>66</v>
      </c>
      <c r="U6" s="69" t="s">
        <v>66</v>
      </c>
      <c r="V6" s="70"/>
    </row>
    <row r="7" spans="1:22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2">
      <c r="A8" s="153" t="s">
        <v>99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2">
      <c r="A9" s="15"/>
      <c r="B9" s="15"/>
      <c r="C9" s="15"/>
      <c r="D9" s="15"/>
      <c r="E9" s="15"/>
      <c r="F9" s="15"/>
      <c r="G9" s="15"/>
      <c r="H9" s="15"/>
      <c r="I9" s="15"/>
      <c r="J9" s="15"/>
      <c r="K9" s="9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>
      <c r="J10" s="89"/>
      <c r="K10" s="89"/>
      <c r="L10" s="89"/>
    </row>
    <row r="11" spans="1:22">
      <c r="K11" s="89"/>
    </row>
    <row r="12" spans="1:22">
      <c r="H12" s="89"/>
      <c r="K12" s="89"/>
      <c r="L12" s="89"/>
    </row>
    <row r="13" spans="1:22">
      <c r="K13" s="89"/>
      <c r="L13" s="89"/>
    </row>
    <row r="14" spans="1:22">
      <c r="J14" s="89"/>
    </row>
    <row r="23" spans="2:20">
      <c r="B23" s="64" t="s">
        <v>25</v>
      </c>
      <c r="C23" s="16"/>
      <c r="D23" s="36" t="s">
        <v>70</v>
      </c>
      <c r="H23" s="147" t="s">
        <v>26</v>
      </c>
      <c r="I23" s="147"/>
      <c r="J23" s="66"/>
      <c r="K23" s="66"/>
      <c r="L23" s="147" t="s">
        <v>27</v>
      </c>
      <c r="M23" s="147"/>
      <c r="R23" s="143" t="s">
        <v>29</v>
      </c>
      <c r="S23" s="146"/>
      <c r="T23" s="146"/>
    </row>
    <row r="24" spans="2:20" ht="39">
      <c r="B24" s="17" t="s">
        <v>28</v>
      </c>
      <c r="D24" s="35" t="s">
        <v>38</v>
      </c>
      <c r="H24" s="154" t="s">
        <v>90</v>
      </c>
      <c r="I24" s="144"/>
      <c r="J24" s="67"/>
      <c r="K24" s="67"/>
      <c r="L24" s="154" t="s">
        <v>89</v>
      </c>
      <c r="M24" s="144"/>
      <c r="R24" s="144" t="s">
        <v>30</v>
      </c>
      <c r="S24" s="145"/>
      <c r="T24" s="145"/>
    </row>
    <row r="31" spans="2:20">
      <c r="B31" s="18" t="s">
        <v>40</v>
      </c>
    </row>
    <row r="32" spans="2:20" ht="31.5">
      <c r="B32" s="13" t="s">
        <v>39</v>
      </c>
    </row>
  </sheetData>
  <mergeCells count="23"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  <mergeCell ref="A8:V8"/>
    <mergeCell ref="H23:I23"/>
    <mergeCell ref="L23:M23"/>
    <mergeCell ref="R23:T23"/>
    <mergeCell ref="H24:I24"/>
    <mergeCell ref="L24:M24"/>
    <mergeCell ref="R24:T24"/>
  </mergeCells>
  <pageMargins left="0.25" right="0.25" top="0.75" bottom="0.75" header="0.3" footer="0.3"/>
  <pageSetup paperSize="9"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7F60-F918-4A11-8F0F-27CA47E93183}">
  <sheetPr>
    <pageSetUpPr fitToPage="1"/>
  </sheetPr>
  <dimension ref="A1:W32"/>
  <sheetViews>
    <sheetView workbookViewId="0">
      <selection sqref="A1:V32"/>
    </sheetView>
  </sheetViews>
  <sheetFormatPr defaultRowHeight="13"/>
  <cols>
    <col min="1" max="1" width="5.09765625" customWidth="1"/>
    <col min="2" max="2" width="34.5" customWidth="1"/>
    <col min="3" max="3" width="11.69921875" customWidth="1"/>
    <col min="4" max="5" width="15.5" customWidth="1"/>
    <col min="6" max="6" width="11.09765625" customWidth="1"/>
    <col min="7" max="7" width="7.09765625" customWidth="1"/>
    <col min="8" max="8" width="13.296875" customWidth="1"/>
    <col min="9" max="9" width="6.8984375" customWidth="1"/>
    <col min="10" max="10" width="9.796875" customWidth="1"/>
    <col min="11" max="11" width="8.69921875" customWidth="1"/>
    <col min="12" max="12" width="9.59765625" customWidth="1"/>
    <col min="13" max="13" width="8.19921875" customWidth="1"/>
    <col min="14" max="14" width="8" customWidth="1"/>
    <col min="15" max="15" width="9.59765625" customWidth="1"/>
    <col min="16" max="16" width="13.09765625" bestFit="1" customWidth="1"/>
    <col min="17" max="17" width="11.296875" customWidth="1"/>
    <col min="18" max="20" width="11.59765625" customWidth="1"/>
    <col min="21" max="21" width="13.59765625" customWidth="1"/>
    <col min="22" max="22" width="2.69921875" customWidth="1"/>
  </cols>
  <sheetData>
    <row r="1" spans="1:23" ht="33.5" customHeight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3" ht="28.5" customHeight="1">
      <c r="A2" s="12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3">
      <c r="A3" s="155"/>
      <c r="B3" s="155"/>
      <c r="C3" s="155"/>
      <c r="D3" s="155"/>
      <c r="E3" s="155"/>
      <c r="F3" s="155"/>
      <c r="G3" s="155"/>
      <c r="H3" s="156"/>
      <c r="I3" s="156"/>
      <c r="J3" s="156"/>
      <c r="K3" s="157"/>
      <c r="L3" s="158"/>
      <c r="M3" s="158"/>
      <c r="N3" s="158"/>
      <c r="O3" s="158"/>
      <c r="P3" s="158"/>
      <c r="Q3" s="155"/>
      <c r="R3" s="155"/>
      <c r="S3" s="155"/>
      <c r="T3" s="155"/>
      <c r="U3" s="155"/>
      <c r="V3" s="105"/>
      <c r="W3" s="105"/>
    </row>
    <row r="4" spans="1:23">
      <c r="A4" s="155"/>
      <c r="B4" s="155"/>
      <c r="C4" s="155"/>
      <c r="D4" s="155"/>
      <c r="E4" s="155"/>
      <c r="F4" s="155"/>
      <c r="G4" s="155"/>
      <c r="H4" s="106"/>
      <c r="I4" s="106"/>
      <c r="J4" s="107"/>
      <c r="K4" s="108"/>
      <c r="L4" s="106"/>
      <c r="M4" s="106"/>
      <c r="N4" s="106"/>
      <c r="O4" s="108"/>
      <c r="P4" s="108"/>
      <c r="Q4" s="155"/>
      <c r="R4" s="155"/>
      <c r="S4" s="155"/>
      <c r="T4" s="155"/>
      <c r="U4" s="155"/>
      <c r="V4" s="105"/>
      <c r="W4" s="105"/>
    </row>
    <row r="5" spans="1:23">
      <c r="A5" s="109"/>
      <c r="B5" s="110"/>
      <c r="C5" s="111"/>
      <c r="D5" s="110"/>
      <c r="E5" s="110"/>
      <c r="F5" s="110"/>
      <c r="G5" s="112"/>
      <c r="H5" s="113"/>
      <c r="I5" s="113"/>
      <c r="J5" s="109"/>
      <c r="K5" s="114"/>
      <c r="L5" s="115"/>
      <c r="M5" s="116"/>
      <c r="N5" s="116"/>
      <c r="O5" s="115"/>
      <c r="P5" s="117"/>
      <c r="Q5" s="117"/>
      <c r="R5" s="117"/>
      <c r="S5" s="118"/>
      <c r="T5" s="118"/>
      <c r="U5" s="118"/>
      <c r="V5" s="119"/>
      <c r="W5" s="105"/>
    </row>
    <row r="6" spans="1:23">
      <c r="A6" s="109"/>
      <c r="B6" s="110"/>
      <c r="C6" s="110"/>
      <c r="D6" s="110"/>
      <c r="E6" s="120"/>
      <c r="F6" s="110"/>
      <c r="G6" s="112"/>
      <c r="H6" s="113"/>
      <c r="I6" s="113"/>
      <c r="J6" s="109"/>
      <c r="K6" s="113"/>
      <c r="L6" s="115"/>
      <c r="M6" s="116"/>
      <c r="N6" s="116"/>
      <c r="O6" s="115"/>
      <c r="P6" s="121"/>
      <c r="Q6" s="119"/>
      <c r="R6" s="122"/>
      <c r="S6" s="119"/>
      <c r="T6" s="119"/>
      <c r="U6" s="119"/>
      <c r="V6" s="122"/>
      <c r="W6" s="105"/>
    </row>
    <row r="7" spans="1:23">
      <c r="A7" s="22"/>
      <c r="B7" s="23"/>
      <c r="C7" s="19"/>
      <c r="D7" s="24"/>
      <c r="E7" s="23"/>
      <c r="F7" s="25"/>
      <c r="G7" s="26"/>
      <c r="H7" s="27"/>
      <c r="I7" s="27"/>
      <c r="J7" s="27"/>
      <c r="K7" s="27"/>
      <c r="L7" s="27"/>
      <c r="M7" s="28"/>
      <c r="N7" s="29"/>
      <c r="O7" s="27"/>
      <c r="P7" s="30"/>
      <c r="Q7" s="31"/>
      <c r="R7" s="31"/>
      <c r="S7" s="31"/>
      <c r="T7" s="31"/>
      <c r="U7" s="31"/>
    </row>
    <row r="8" spans="1:23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</row>
    <row r="9" spans="1:23">
      <c r="A9" s="15"/>
      <c r="B9" s="15"/>
      <c r="C9" s="15"/>
      <c r="D9" s="15"/>
      <c r="E9" s="15"/>
      <c r="F9" s="15"/>
      <c r="G9" s="15"/>
      <c r="H9" s="15"/>
      <c r="I9" s="15"/>
      <c r="J9" s="15"/>
      <c r="K9" s="9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3">
      <c r="J10" s="89"/>
      <c r="K10" s="89"/>
      <c r="L10" s="89"/>
    </row>
    <row r="11" spans="1:23">
      <c r="K11" s="89"/>
    </row>
    <row r="12" spans="1:23">
      <c r="H12" s="89"/>
      <c r="K12" s="89"/>
      <c r="L12" s="89"/>
    </row>
    <row r="13" spans="1:23">
      <c r="K13" s="89"/>
    </row>
    <row r="14" spans="1:23">
      <c r="J14" s="89"/>
    </row>
    <row r="23" spans="2:20">
      <c r="B23" s="123"/>
      <c r="C23" s="100"/>
      <c r="D23" s="100"/>
      <c r="E23" s="105"/>
      <c r="F23" s="105"/>
      <c r="G23" s="105"/>
      <c r="H23" s="159"/>
      <c r="I23" s="159"/>
      <c r="J23" s="124"/>
      <c r="K23" s="124"/>
      <c r="L23" s="159"/>
      <c r="M23" s="159"/>
      <c r="N23" s="105"/>
      <c r="O23" s="105"/>
      <c r="P23" s="105"/>
      <c r="Q23" s="105"/>
      <c r="R23" s="160"/>
      <c r="S23" s="161"/>
      <c r="T23" s="161"/>
    </row>
    <row r="24" spans="2:20">
      <c r="B24" s="17"/>
      <c r="D24" s="35"/>
      <c r="H24" s="154"/>
      <c r="I24" s="144"/>
      <c r="J24" s="67"/>
      <c r="K24" s="67"/>
      <c r="L24" s="154"/>
      <c r="M24" s="144"/>
      <c r="R24" s="144"/>
      <c r="S24" s="145"/>
      <c r="T24" s="145"/>
    </row>
    <row r="31" spans="2:20">
      <c r="B31" s="18" t="s">
        <v>40</v>
      </c>
    </row>
    <row r="32" spans="2:20" ht="31.5">
      <c r="B32" s="13" t="s">
        <v>39</v>
      </c>
    </row>
  </sheetData>
  <mergeCells count="23">
    <mergeCell ref="A8:V8"/>
    <mergeCell ref="H23:I23"/>
    <mergeCell ref="L23:M23"/>
    <mergeCell ref="R23:T23"/>
    <mergeCell ref="H24:I24"/>
    <mergeCell ref="L24:M24"/>
    <mergeCell ref="R24:T24"/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  <mergeCell ref="K3:P3"/>
    <mergeCell ref="Q3:Q4"/>
    <mergeCell ref="R3:R4"/>
    <mergeCell ref="S3:S4"/>
    <mergeCell ref="T3:T4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Sheet1</vt:lpstr>
      <vt:lpstr>Sheet4</vt:lpstr>
      <vt:lpstr>Sheet3</vt:lpstr>
      <vt:lpstr>Sheet2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Kh. Nafiz Rahman/Administration SComm</cp:lastModifiedBy>
  <cp:lastPrinted>2026-06-07T06:15:17Z</cp:lastPrinted>
  <dcterms:created xsi:type="dcterms:W3CDTF">2023-10-10T04:52:51Z</dcterms:created>
  <dcterms:modified xsi:type="dcterms:W3CDTF">2026-06-07T06:16:59Z</dcterms:modified>
</cp:coreProperties>
</file>