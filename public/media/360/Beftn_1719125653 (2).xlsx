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 Sarkar Electricity Bill\"/>
    </mc:Choice>
  </mc:AlternateContent>
  <xr:revisionPtr revIDLastSave="0" documentId="13_ncr:1_{5F22C170-309F-4FE6-8B42-E9CA74A6B015}" xr6:coauthVersionLast="47" xr6:coauthVersionMax="47" xr10:uidLastSave="{00000000-0000-0000-0000-000000000000}"/>
  <bookViews>
    <workbookView xWindow="-110" yWindow="-110" windowWidth="19420" windowHeight="10300" firstSheet="1" activeTab="10" xr2:uid="{00000000-000D-0000-FFFF-FFFF00000000}"/>
  </bookViews>
  <sheets>
    <sheet name="Table 1" sheetId="1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heet8" sheetId="10" r:id="rId8"/>
    <sheet name="Sheet9" sheetId="11" r:id="rId9"/>
    <sheet name="Sheet10" sheetId="12" r:id="rId10"/>
    <sheet name="Sheet11" sheetId="13" r:id="rId11"/>
    <sheet name="Sheet1" sheetId="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3" l="1"/>
  <c r="M6" i="13" s="1"/>
  <c r="J5" i="13"/>
  <c r="M5" i="13" s="1"/>
  <c r="J6" i="12"/>
  <c r="M6" i="12" s="1"/>
  <c r="J5" i="12"/>
  <c r="M5" i="12" s="1"/>
  <c r="J5" i="11"/>
  <c r="M5" i="11" s="1"/>
  <c r="J6" i="11"/>
  <c r="J6" i="10"/>
  <c r="L6" i="10" s="1"/>
  <c r="J5" i="10"/>
  <c r="M5" i="10" s="1"/>
  <c r="J6" i="9"/>
  <c r="M6" i="9" s="1"/>
  <c r="J5" i="9"/>
  <c r="M5" i="9" s="1"/>
  <c r="M6" i="8"/>
  <c r="J5" i="8"/>
  <c r="M5" i="8" s="1"/>
  <c r="J6" i="7"/>
  <c r="J5" i="7"/>
  <c r="M5" i="7" s="1"/>
  <c r="J6" i="6"/>
  <c r="M6" i="6" s="1"/>
  <c r="J5" i="6"/>
  <c r="M5" i="6" s="1"/>
  <c r="J6" i="5"/>
  <c r="J5" i="5"/>
  <c r="M5" i="5" s="1"/>
  <c r="J6" i="4"/>
  <c r="L6" i="4" s="1"/>
  <c r="J5" i="4"/>
  <c r="M5" i="4" s="1"/>
  <c r="L6" i="11" l="1"/>
  <c r="M6" i="10"/>
  <c r="M6" i="5"/>
  <c r="J5" i="3"/>
  <c r="K5" i="3" s="1"/>
  <c r="J6" i="1"/>
  <c r="M6" i="1" s="1"/>
  <c r="J5" i="1"/>
  <c r="M5" i="1" s="1"/>
</calcChain>
</file>

<file path=xl/sharedStrings.xml><?xml version="1.0" encoding="utf-8"?>
<sst xmlns="http://schemas.openxmlformats.org/spreadsheetml/2006/main" count="601" uniqueCount="74">
  <si>
    <r>
      <rPr>
        <b/>
        <sz val="11"/>
        <rFont val="Arial"/>
        <family val="2"/>
      </rPr>
      <t xml:space="preserve">Summit Communications Limited
</t>
    </r>
    <r>
      <rPr>
        <sz val="8"/>
        <rFont val="Arial MT"/>
        <family val="2"/>
      </rPr>
      <t>18, Karwan Bazar Commercial Area Dhaka-1205, Bangladesh.</t>
    </r>
  </si>
  <si>
    <r>
      <rPr>
        <b/>
        <sz val="7"/>
        <rFont val="Arial"/>
        <family val="2"/>
      </rPr>
      <t>S/L</t>
    </r>
  </si>
  <si>
    <r>
      <rPr>
        <b/>
        <sz val="7"/>
        <rFont val="Arial"/>
        <family val="2"/>
      </rPr>
      <t>Office/POP Code &amp; Name</t>
    </r>
  </si>
  <si>
    <r>
      <rPr>
        <b/>
        <sz val="7"/>
        <rFont val="Arial"/>
        <family val="2"/>
      </rPr>
      <t>Maintain From</t>
    </r>
  </si>
  <si>
    <r>
      <rPr>
        <b/>
        <sz val="7"/>
        <rFont val="Arial"/>
        <family val="2"/>
      </rPr>
      <t>Land owner Name</t>
    </r>
  </si>
  <si>
    <r>
      <rPr>
        <b/>
        <sz val="7"/>
        <rFont val="Arial"/>
        <family val="2"/>
      </rPr>
      <t>Account/Cheque Name</t>
    </r>
  </si>
  <si>
    <r>
      <rPr>
        <b/>
        <sz val="7"/>
        <rFont val="Arial"/>
        <family val="2"/>
      </rPr>
      <t>Line Owner Name</t>
    </r>
  </si>
  <si>
    <r>
      <rPr>
        <b/>
        <sz val="7"/>
        <rFont val="Arial"/>
        <family val="2"/>
      </rPr>
      <t>Month Name</t>
    </r>
  </si>
  <si>
    <r>
      <rPr>
        <b/>
        <sz val="7"/>
        <rFont val="Arial"/>
        <family val="2"/>
      </rPr>
      <t>Consumed</t>
    </r>
  </si>
  <si>
    <r>
      <rPr>
        <b/>
        <sz val="7"/>
        <rFont val="Arial"/>
        <family val="2"/>
      </rPr>
      <t>Branch Name</t>
    </r>
  </si>
  <si>
    <r>
      <rPr>
        <b/>
        <sz val="7"/>
        <rFont val="Arial"/>
        <family val="2"/>
      </rPr>
      <t>Admin Concern Name</t>
    </r>
  </si>
  <si>
    <r>
      <rPr>
        <b/>
        <sz val="7"/>
        <rFont val="Arial"/>
        <family val="2"/>
      </rPr>
      <t>HR ID</t>
    </r>
  </si>
  <si>
    <r>
      <rPr>
        <b/>
        <sz val="7"/>
        <rFont val="Arial"/>
        <family val="2"/>
      </rPr>
      <t>NID</t>
    </r>
  </si>
  <si>
    <r>
      <rPr>
        <b/>
        <sz val="7"/>
        <rFont val="Arial"/>
        <family val="2"/>
      </rPr>
      <t>Contact</t>
    </r>
  </si>
  <si>
    <r>
      <rPr>
        <b/>
        <sz val="7"/>
        <rFont val="Arial"/>
        <family val="2"/>
      </rPr>
      <t>Total Cons.</t>
    </r>
  </si>
  <si>
    <r>
      <rPr>
        <b/>
        <sz val="7"/>
        <rFont val="Arial"/>
        <family val="2"/>
      </rPr>
      <t>Unit Price</t>
    </r>
  </si>
  <si>
    <r>
      <rPr>
        <b/>
        <sz val="7"/>
        <rFont val="Arial"/>
        <family val="2"/>
      </rPr>
      <t xml:space="preserve">Total Elec.
</t>
    </r>
    <r>
      <rPr>
        <b/>
        <sz val="7"/>
        <rFont val="Arial"/>
        <family val="2"/>
      </rPr>
      <t>Bill</t>
    </r>
  </si>
  <si>
    <r>
      <rPr>
        <b/>
        <sz val="7"/>
        <rFont val="Arial"/>
        <family val="2"/>
      </rPr>
      <t>Total Bill Amount</t>
    </r>
  </si>
  <si>
    <r>
      <rPr>
        <b/>
        <sz val="7"/>
        <rFont val="Arial"/>
        <family val="2"/>
      </rPr>
      <t>Bill Received</t>
    </r>
  </si>
  <si>
    <r>
      <rPr>
        <b/>
        <sz val="7"/>
        <rFont val="Arial"/>
        <family val="2"/>
      </rPr>
      <t>Last Payment Date</t>
    </r>
  </si>
  <si>
    <r>
      <rPr>
        <b/>
        <sz val="7"/>
        <rFont val="Arial"/>
        <family val="2"/>
      </rPr>
      <t>Last M. Bill</t>
    </r>
  </si>
  <si>
    <r>
      <rPr>
        <b/>
        <sz val="7"/>
        <rFont val="Arial"/>
        <family val="2"/>
      </rPr>
      <t>Remarks</t>
    </r>
  </si>
  <si>
    <t>Anwar Sadat Akanda</t>
  </si>
  <si>
    <r>
      <rPr>
        <sz val="9"/>
        <rFont val="Arial MT"/>
        <family val="2"/>
      </rPr>
      <t>Building Owner</t>
    </r>
  </si>
  <si>
    <t xml:space="preserve">Project Name : Tractus
Electricity Bill Summary (BEFTN) </t>
  </si>
  <si>
    <t>Requisition By</t>
  </si>
  <si>
    <t>Verified By</t>
  </si>
  <si>
    <t>Recommended By</t>
  </si>
  <si>
    <t>Approve By</t>
  </si>
  <si>
    <t>Kh Nafiz Rahman</t>
  </si>
  <si>
    <t>Kazi Shawon</t>
  </si>
  <si>
    <t>Md. Abdur Rashed</t>
  </si>
  <si>
    <t>Brig. Gen. Ali Murtoza Khan (Retd.)</t>
  </si>
  <si>
    <t>Senior Executive</t>
  </si>
  <si>
    <t>Deputy Manager</t>
  </si>
  <si>
    <t>Sr. Manager</t>
  </si>
  <si>
    <t>Chief Corporate Affairs Officer</t>
  </si>
  <si>
    <t>Administration</t>
  </si>
  <si>
    <t>Name:</t>
  </si>
  <si>
    <t>Desig:</t>
  </si>
  <si>
    <t>Central Power</t>
  </si>
  <si>
    <r>
      <rPr>
        <sz val="8"/>
        <rFont val="Arial MT"/>
        <family val="2"/>
      </rPr>
      <t>Bogra</t>
    </r>
  </si>
  <si>
    <r>
      <rPr>
        <sz val="8"/>
        <rFont val="Arial MT"/>
        <family val="2"/>
      </rPr>
      <t>Md Jahangir Alam</t>
    </r>
  </si>
  <si>
    <r>
      <rPr>
        <sz val="8"/>
        <rFont val="Arial MT"/>
        <family val="2"/>
      </rPr>
      <t xml:space="preserve">271102378
</t>
    </r>
    <r>
      <rPr>
        <sz val="8"/>
        <rFont val="Arial MT"/>
        <family val="2"/>
      </rPr>
      <t>9297</t>
    </r>
  </si>
  <si>
    <r>
      <rPr>
        <sz val="8"/>
        <rFont val="Arial MT"/>
        <family val="2"/>
      </rPr>
      <t xml:space="preserve">+8801725012
</t>
    </r>
    <r>
      <rPr>
        <sz val="8"/>
        <rFont val="Arial MT"/>
        <family val="2"/>
      </rPr>
      <t>248</t>
    </r>
  </si>
  <si>
    <t>( 1322 ) Bogura New SC</t>
  </si>
  <si>
    <t>Suchitra Rani Ghosh</t>
  </si>
  <si>
    <t>Building Owner</t>
  </si>
  <si>
    <t>Acknowledged By</t>
  </si>
  <si>
    <t>( 2080 ) Mymensingh Office</t>
  </si>
  <si>
    <t>service charge</t>
  </si>
  <si>
    <t>Mymensingh</t>
  </si>
  <si>
    <t>ZAHID IBNE ABDULLAH</t>
  </si>
  <si>
    <t>vat</t>
  </si>
  <si>
    <t>( 1925 ) Gochihata Co Lo PoP</t>
  </si>
  <si>
    <t>Authority Name</t>
  </si>
  <si>
    <t>Kishorganj Palli Biddut Samity</t>
  </si>
  <si>
    <t>Vat</t>
  </si>
  <si>
    <t>Amount In Words : Taka Nine Lac Five Thousand  Six hundred and Ninty Six  Only                                                                                                        Total (BDT)      905696</t>
  </si>
  <si>
    <t>Amount In Words : Taka Eight Lac Eleven Thousand  Five hundred and Eighty Five  Only                                                                                                        Total (BDT)      811585</t>
  </si>
  <si>
    <t>DGM</t>
  </si>
  <si>
    <t>Amount In Words : Taka Eight Lac Sixty Five Thousand  and Ninty  Only                                                                                                        Total (BDT)      8,65,090</t>
  </si>
  <si>
    <t>Amount In Words : Taka Eight Lac Twenty Nine Thousand Two Hundred and Twenty Six  Only                                                                                                        Total (BDT)      8,29,226</t>
  </si>
  <si>
    <t>Amount In Words : Taka Eight Lac Seventy One Thousand Four Hundred and Eight  Only                                                                                                        Total (BDT)      871408</t>
  </si>
  <si>
    <t>Ashoke Kumar Biswas</t>
  </si>
  <si>
    <t>Amount In Words : Taka Seven Lac Ninty Thousand One Hundred and Twenty  Only                                                                                                        Total (BDT)      790120</t>
  </si>
  <si>
    <t>Amount In Words : Taka Seven Lac Seventy Nine Thousand Eight Hundred and Forty Two  Only                                                                                                        Total (BDT)      779842</t>
  </si>
  <si>
    <t>Amount In Words : Taka Seven Lac Thirty Four Thousand Nine Hundred and Seventy One  Only                                                                                                        Total (BDT)      734971</t>
  </si>
  <si>
    <t>Amount In Words : Taka Eight Lac Thirty Nine Thousand Seven Hundred and Seventy  Only                                                                                                        Total (BDT)      839770</t>
  </si>
  <si>
    <t>Amount In Words : Taka Eight Lac Twenty Nine Thousand Four Hundred and Twenty One  Only                                                                                                        Total (BDT)      829421</t>
  </si>
  <si>
    <t>Apr 25 to Apr 26</t>
  </si>
  <si>
    <t>Amount In Words : Taka Twelve Thousand and Twenty Only                                                                                                        Total (BDT)      12020</t>
  </si>
  <si>
    <t>Amount In Words : Taka Eight Lac Twenty One Thousand Ywo Hundred and Twenty Three  Only                                                                                                        Total (BDT)      821223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</si>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</sst>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;@"/>
    <numFmt numFmtId="165" formatCode="0000"/>
    <numFmt numFmtId="166" formatCode="[$-409]mmm\-yy;@"/>
    <numFmt numFmtId="167" formatCode="[$-409]d\-mmm\-yyyy;@"/>
    <numFmt numFmtId="168" formatCode="0.0"/>
  </numFmts>
  <fonts count="19">
    <font>
      <sz val="10"/>
      <color rgb="FF000000"/>
      <name val="Times New Roman"/>
      <charset val="204"/>
    </font>
    <font>
      <b/>
      <sz val="7"/>
      <name val="Arial"/>
      <family val="2"/>
    </font>
    <font>
      <b/>
      <sz val="11"/>
      <name val="Arial"/>
      <family val="2"/>
    </font>
    <font>
      <sz val="8"/>
      <name val="Arial MT"/>
      <family val="2"/>
    </font>
    <font>
      <b/>
      <sz val="8"/>
      <name val="Arial"/>
      <family val="2"/>
    </font>
    <font>
      <sz val="9"/>
      <color rgb="FF000000"/>
      <name val="Arial MT"/>
      <family val="2"/>
    </font>
    <font>
      <sz val="9"/>
      <name val="Arial MT"/>
    </font>
    <font>
      <sz val="9"/>
      <name val="Arial MT"/>
      <family val="2"/>
    </font>
    <font>
      <sz val="9"/>
      <color rgb="FF000000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rgb="FF000000"/>
      <name val="Arial MT"/>
      <family val="2"/>
    </font>
    <font>
      <sz val="8"/>
      <name val="Arial MT"/>
    </font>
    <font>
      <b/>
      <sz val="9"/>
      <name val="Arial"/>
      <family val="2"/>
    </font>
    <font>
      <b/>
      <sz val="10"/>
      <color rgb="FF000000"/>
      <name val="Times New Roman"/>
      <family val="1"/>
    </font>
    <font>
      <b/>
      <sz val="9"/>
      <color rgb="FF000000"/>
      <name val="Arial MT"/>
    </font>
    <font>
      <b/>
      <sz val="9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1" fontId="0" fillId="0" borderId="0" xfId="0" applyNumberFormat="1" applyAlignment="1">
      <alignment horizontal="left" vertical="top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1" fontId="5" fillId="0" borderId="1" xfId="0" applyNumberFormat="1" applyFont="1" applyBorder="1" applyAlignment="1">
      <alignment horizontal="center" vertical="center" wrapText="1" shrinkToFit="1"/>
    </xf>
    <xf numFmtId="164" fontId="5" fillId="0" borderId="1" xfId="0" applyNumberFormat="1" applyFont="1" applyBorder="1" applyAlignment="1">
      <alignment horizontal="center" vertical="center" wrapText="1" shrinkToFit="1"/>
    </xf>
    <xf numFmtId="2" fontId="5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164" fontId="5" fillId="0" borderId="1" xfId="0" applyNumberFormat="1" applyFont="1" applyBorder="1" applyAlignment="1">
      <alignment horizontal="center" vertical="center" shrinkToFit="1"/>
    </xf>
    <xf numFmtId="2" fontId="5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 shrinkToFit="1"/>
    </xf>
    <xf numFmtId="1" fontId="5" fillId="0" borderId="7" xfId="0" applyNumberFormat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" fontId="17" fillId="0" borderId="1" xfId="0" applyNumberFormat="1" applyFont="1" applyBorder="1" applyAlignment="1">
      <alignment horizontal="center" vertical="center" wrapText="1" shrinkToFit="1"/>
    </xf>
    <xf numFmtId="1" fontId="12" fillId="0" borderId="0" xfId="0" applyNumberFormat="1" applyFont="1" applyAlignment="1">
      <alignment horizontal="left" vertical="top"/>
    </xf>
    <xf numFmtId="168" fontId="5" fillId="0" borderId="4" xfId="0" applyNumberFormat="1" applyFont="1" applyBorder="1" applyAlignment="1">
      <alignment horizontal="center" vertical="center" shrinkToFit="1"/>
    </xf>
    <xf numFmtId="164" fontId="5" fillId="0" borderId="6" xfId="0" applyNumberFormat="1" applyFont="1" applyBorder="1" applyAlignment="1">
      <alignment horizontal="center" vertical="center" shrinkToFit="1"/>
    </xf>
    <xf numFmtId="1" fontId="17" fillId="0" borderId="2" xfId="0" applyNumberFormat="1" applyFont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16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12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5" fillId="0" borderId="4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18" fillId="0" borderId="1" xfId="0" applyNumberFormat="1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167" fontId="1" fillId="0" borderId="5" xfId="0" applyNumberFormat="1" applyFont="1" applyBorder="1" applyAlignment="1">
      <alignment horizontal="center" vertical="center" wrapText="1"/>
    </xf>
    <xf numFmtId="167" fontId="1" fillId="0" borderId="6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left" vertical="top" wrapText="1" indent="1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 indent="6"/>
    </xf>
    <xf numFmtId="0" fontId="1" fillId="0" borderId="5" xfId="0" applyFont="1" applyBorder="1" applyAlignment="1">
      <alignment horizontal="left" vertical="top" wrapText="1" indent="6"/>
    </xf>
    <xf numFmtId="0" fontId="1" fillId="0" borderId="6" xfId="0" applyFont="1" applyBorder="1" applyAlignment="1">
      <alignment horizontal="left" vertical="top" wrapText="1" indent="6"/>
    </xf>
    <xf numFmtId="167" fontId="1" fillId="0" borderId="4" xfId="0" applyNumberFormat="1" applyFont="1" applyBorder="1" applyAlignment="1">
      <alignment horizontal="left" vertical="top" wrapText="1" indent="13"/>
    </xf>
    <xf numFmtId="167" fontId="1" fillId="0" borderId="5" xfId="0" applyNumberFormat="1" applyFont="1" applyBorder="1" applyAlignment="1">
      <alignment horizontal="left" vertical="top" wrapText="1" indent="13"/>
    </xf>
    <xf numFmtId="167" fontId="1" fillId="0" borderId="6" xfId="0" applyNumberFormat="1" applyFont="1" applyBorder="1" applyAlignment="1">
      <alignment horizontal="left" vertical="top" wrapText="1" indent="13"/>
    </xf>
    <xf numFmtId="1" fontId="17" fillId="0" borderId="7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92363</xdr:colOff>
      <xdr:row>0</xdr:row>
      <xdr:rowOff>0</xdr:rowOff>
    </xdr:from>
    <xdr:ext cx="1091045" cy="520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1045" cy="520700"/>
        </a:xfrm>
        <a:prstGeom prst="rect">
          <a:avLst/>
        </a:prstGeom>
      </xdr:spPr>
    </xdr:pic>
    <xdr:clientData/>
  </xdr:oneCellAnchor>
  <xdr:twoCellAnchor>
    <xdr:from>
      <xdr:col>1</xdr:col>
      <xdr:colOff>95250</xdr:colOff>
      <xdr:row>17</xdr:row>
      <xdr:rowOff>152400</xdr:rowOff>
    </xdr:from>
    <xdr:to>
      <xdr:col>1</xdr:col>
      <xdr:colOff>1739900</xdr:colOff>
      <xdr:row>17</xdr:row>
      <xdr:rowOff>158750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598A9A3-4A8E-497E-9561-40FC14B9FE00}"/>
            </a:ext>
          </a:extLst>
        </xdr:cNvPr>
        <xdr:cNvCxnSpPr/>
      </xdr:nvCxnSpPr>
      <xdr:spPr>
        <a:xfrm>
          <a:off x="419100" y="4324350"/>
          <a:ext cx="16446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349250</xdr:colOff>
      <xdr:row>18</xdr:row>
      <xdr:rowOff>12700</xdr:rowOff>
    </xdr:from>
    <xdr:to>
      <xdr:col>14</xdr:col>
      <xdr:colOff>234950</xdr:colOff>
      <xdr:row>18</xdr:row>
      <xdr:rowOff>19050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C739017-5C85-4CE1-A3B2-A4390ED0ABC7}"/>
            </a:ext>
          </a:extLst>
        </xdr:cNvPr>
        <xdr:cNvCxnSpPr/>
      </xdr:nvCxnSpPr>
      <xdr:spPr>
        <a:xfrm>
          <a:off x="6445250" y="5861050"/>
          <a:ext cx="11049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503203</xdr:colOff>
      <xdr:row>18</xdr:row>
      <xdr:rowOff>6350</xdr:rowOff>
    </xdr:from>
    <xdr:to>
      <xdr:col>18</xdr:col>
      <xdr:colOff>266417</xdr:colOff>
      <xdr:row>18</xdr:row>
      <xdr:rowOff>6350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5B31DF7-6A66-41AC-BB5A-98366710D620}"/>
            </a:ext>
          </a:extLst>
        </xdr:cNvPr>
        <xdr:cNvCxnSpPr/>
      </xdr:nvCxnSpPr>
      <xdr:spPr>
        <a:xfrm>
          <a:off x="11628403" y="4343400"/>
          <a:ext cx="11284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1136650</xdr:colOff>
      <xdr:row>17</xdr:row>
      <xdr:rowOff>152400</xdr:rowOff>
    </xdr:from>
    <xdr:to>
      <xdr:col>6</xdr:col>
      <xdr:colOff>63500</xdr:colOff>
      <xdr:row>17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B1EEE63-60B3-43F0-84F1-8B311DAD1A95}"/>
            </a:ext>
          </a:extLst>
        </xdr:cNvPr>
        <xdr:cNvCxnSpPr/>
      </xdr:nvCxnSpPr>
      <xdr:spPr>
        <a:xfrm>
          <a:off x="5378450" y="4324350"/>
          <a:ext cx="94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241300</xdr:colOff>
      <xdr:row>27</xdr:row>
      <xdr:rowOff>158750</xdr:rowOff>
    </xdr:from>
    <xdr:to>
      <xdr:col>1</xdr:col>
      <xdr:colOff>1619250</xdr:colOff>
      <xdr:row>27</xdr:row>
      <xdr:rowOff>158750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606C5C3-A10E-4E28-8BF1-5C5A4DDBB11D}"/>
            </a:ext>
          </a:extLst>
        </xdr:cNvPr>
        <xdr:cNvCxnSpPr/>
      </xdr:nvCxnSpPr>
      <xdr:spPr>
        <a:xfrm>
          <a:off x="565150" y="8229600"/>
          <a:ext cx="1377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92363</xdr:colOff>
      <xdr:row>0</xdr:row>
      <xdr:rowOff>0</xdr:rowOff>
    </xdr:from>
    <xdr:ext cx="1091045" cy="520700"/>
    <xdr:pic>
      <xdr:nvPicPr>
        <xdr:cNvPr id="8" name="image1.png">
          <a:extLst>
            <a:ext uri="{FF2B5EF4-FFF2-40B4-BE49-F238E27FC236}">
              <a16:creationId xmlns:a16="http://schemas.microsoft.com/office/drawing/2014/main" id="{C2403D3D-98E3-4198-A842-9A342124B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3" y="0"/>
          <a:ext cx="1091045" cy="520700"/>
        </a:xfrm>
        <a:prstGeom prst="rect">
          <a:avLst/>
        </a:prstGeom>
      </xdr:spPr>
    </xdr:pic>
    <xdr:clientData/>
  </xdr:oneCellAnchor>
  <xdr:twoCellAnchor>
    <xdr:from>
      <xdr:col>1</xdr:col>
      <xdr:colOff>95250</xdr:colOff>
      <xdr:row>17</xdr:row>
      <xdr:rowOff>152400</xdr:rowOff>
    </xdr:from>
    <xdr:to>
      <xdr:col>1</xdr:col>
      <xdr:colOff>1739900</xdr:colOff>
      <xdr:row>17</xdr:row>
      <xdr:rowOff>158750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16AEFBF-0D97-4786-90A2-F822A85B7416}"/>
            </a:ext>
          </a:extLst>
        </xdr:cNvPr>
        <xdr:cNvCxnSpPr/>
      </xdr:nvCxnSpPr>
      <xdr:spPr>
        <a:xfrm>
          <a:off x="419100" y="4273550"/>
          <a:ext cx="16446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349250</xdr:colOff>
      <xdr:row>18</xdr:row>
      <xdr:rowOff>12700</xdr:rowOff>
    </xdr:from>
    <xdr:to>
      <xdr:col>14</xdr:col>
      <xdr:colOff>234950</xdr:colOff>
      <xdr:row>18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341E0C4-894C-4648-83FC-0D7BAB5AE29E}"/>
            </a:ext>
          </a:extLst>
        </xdr:cNvPr>
        <xdr:cNvCxnSpPr/>
      </xdr:nvCxnSpPr>
      <xdr:spPr>
        <a:xfrm>
          <a:off x="9779000" y="4298950"/>
          <a:ext cx="10160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503203</xdr:colOff>
      <xdr:row>18</xdr:row>
      <xdr:rowOff>6350</xdr:rowOff>
    </xdr:from>
    <xdr:to>
      <xdr:col>18</xdr:col>
      <xdr:colOff>266417</xdr:colOff>
      <xdr:row>18</xdr:row>
      <xdr:rowOff>6350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93B7F51-9034-4720-B894-14CA4A91A314}"/>
            </a:ext>
          </a:extLst>
        </xdr:cNvPr>
        <xdr:cNvCxnSpPr/>
      </xdr:nvCxnSpPr>
      <xdr:spPr>
        <a:xfrm>
          <a:off x="12180853" y="4292600"/>
          <a:ext cx="11284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1136650</xdr:colOff>
      <xdr:row>17</xdr:row>
      <xdr:rowOff>152400</xdr:rowOff>
    </xdr:from>
    <xdr:to>
      <xdr:col>6</xdr:col>
      <xdr:colOff>63500</xdr:colOff>
      <xdr:row>17</xdr:row>
      <xdr:rowOff>152400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1E81984-9F2F-4784-891F-E7CF808BEFF1}"/>
            </a:ext>
          </a:extLst>
        </xdr:cNvPr>
        <xdr:cNvCxnSpPr/>
      </xdr:nvCxnSpPr>
      <xdr:spPr>
        <a:xfrm>
          <a:off x="5378450" y="4273550"/>
          <a:ext cx="94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241300</xdr:colOff>
      <xdr:row>27</xdr:row>
      <xdr:rowOff>158750</xdr:rowOff>
    </xdr:from>
    <xdr:to>
      <xdr:col>1</xdr:col>
      <xdr:colOff>1619250</xdr:colOff>
      <xdr:row>27</xdr:row>
      <xdr:rowOff>158750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A85A2AA-2E2C-437E-8ECE-D64BB219F3D0}"/>
            </a:ext>
          </a:extLst>
        </xdr:cNvPr>
        <xdr:cNvCxnSpPr/>
      </xdr:nvCxnSpPr>
      <xdr:spPr>
        <a:xfrm>
          <a:off x="565150" y="5930900"/>
          <a:ext cx="1377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28</xdr:row>
      <xdr:rowOff>152400</xdr:rowOff>
    </xdr:from>
    <xdr:to>
      <xdr:col>1</xdr:col>
      <xdr:colOff>1739900</xdr:colOff>
      <xdr:row>28</xdr:row>
      <xdr:rowOff>158750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3539312-9767-4421-9A83-9434219544A8}"/>
            </a:ext>
          </a:extLst>
        </xdr:cNvPr>
        <xdr:cNvCxnSpPr/>
      </xdr:nvCxnSpPr>
      <xdr:spPr>
        <a:xfrm>
          <a:off x="419100" y="4019550"/>
          <a:ext cx="16446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349250</xdr:colOff>
      <xdr:row>29</xdr:row>
      <xdr:rowOff>12700</xdr:rowOff>
    </xdr:from>
    <xdr:to>
      <xdr:col>14</xdr:col>
      <xdr:colOff>234950</xdr:colOff>
      <xdr:row>29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CED828E-5020-4B7B-BFB5-8AFBF0C20B99}"/>
            </a:ext>
          </a:extLst>
        </xdr:cNvPr>
        <xdr:cNvCxnSpPr/>
      </xdr:nvCxnSpPr>
      <xdr:spPr>
        <a:xfrm>
          <a:off x="9779000" y="4044950"/>
          <a:ext cx="10160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503203</xdr:colOff>
      <xdr:row>29</xdr:row>
      <xdr:rowOff>6350</xdr:rowOff>
    </xdr:from>
    <xdr:to>
      <xdr:col>18</xdr:col>
      <xdr:colOff>266417</xdr:colOff>
      <xdr:row>29</xdr:row>
      <xdr:rowOff>6350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3FE434A-4D30-4466-9D9B-C46FF0248CF7}"/>
            </a:ext>
          </a:extLst>
        </xdr:cNvPr>
        <xdr:cNvCxnSpPr/>
      </xdr:nvCxnSpPr>
      <xdr:spPr>
        <a:xfrm>
          <a:off x="12180853" y="4038600"/>
          <a:ext cx="11284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1136650</xdr:colOff>
      <xdr:row>28</xdr:row>
      <xdr:rowOff>152400</xdr:rowOff>
    </xdr:from>
    <xdr:to>
      <xdr:col>6</xdr:col>
      <xdr:colOff>63500</xdr:colOff>
      <xdr:row>28</xdr:row>
      <xdr:rowOff>152400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477519A-8F59-4077-8ADD-AC7629E701D0}"/>
            </a:ext>
          </a:extLst>
        </xdr:cNvPr>
        <xdr:cNvCxnSpPr/>
      </xdr:nvCxnSpPr>
      <xdr:spPr>
        <a:xfrm>
          <a:off x="5378450" y="4019550"/>
          <a:ext cx="94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241300</xdr:colOff>
      <xdr:row>38</xdr:row>
      <xdr:rowOff>158750</xdr:rowOff>
    </xdr:from>
    <xdr:to>
      <xdr:col>1</xdr:col>
      <xdr:colOff>1619250</xdr:colOff>
      <xdr:row>38</xdr:row>
      <xdr:rowOff>158750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15B4842-5656-46D8-9A88-2C23FAB234F6}"/>
            </a:ext>
          </a:extLst>
        </xdr:cNvPr>
        <xdr:cNvCxnSpPr/>
      </xdr:nvCxnSpPr>
      <xdr:spPr>
        <a:xfrm>
          <a:off x="565150" y="5676900"/>
          <a:ext cx="1377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1371600</xdr:colOff>
      <xdr:row>1</xdr:row>
      <xdr:rowOff>240899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0DFBB-1F62-4812-FF94-30DCBC7AF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695450" cy="7044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28</xdr:row>
      <xdr:rowOff>152400</xdr:rowOff>
    </xdr:from>
    <xdr:to>
      <xdr:col>1</xdr:col>
      <xdr:colOff>1562100</xdr:colOff>
      <xdr:row>28</xdr:row>
      <xdr:rowOff>158750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7ADEE60-6803-4A71-A7CE-EC0075A8ADC2}"/>
            </a:ext>
          </a:extLst>
        </xdr:cNvPr>
        <xdr:cNvCxnSpPr/>
      </xdr:nvCxnSpPr>
      <xdr:spPr>
        <a:xfrm>
          <a:off x="635000" y="5670550"/>
          <a:ext cx="12509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349250</xdr:colOff>
      <xdr:row>29</xdr:row>
      <xdr:rowOff>12700</xdr:rowOff>
    </xdr:from>
    <xdr:to>
      <xdr:col>11</xdr:col>
      <xdr:colOff>234950</xdr:colOff>
      <xdr:row>29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FE388D8-16CF-44AF-9623-FB708FEA7177}"/>
            </a:ext>
          </a:extLst>
        </xdr:cNvPr>
        <xdr:cNvCxnSpPr/>
      </xdr:nvCxnSpPr>
      <xdr:spPr>
        <a:xfrm>
          <a:off x="9779000" y="5676900"/>
          <a:ext cx="10160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376203</xdr:colOff>
      <xdr:row>29</xdr:row>
      <xdr:rowOff>6350</xdr:rowOff>
    </xdr:from>
    <xdr:to>
      <xdr:col>14</xdr:col>
      <xdr:colOff>139417</xdr:colOff>
      <xdr:row>29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65646F8-535A-4C0C-93CE-96FFDE7C1D43}"/>
            </a:ext>
          </a:extLst>
        </xdr:cNvPr>
        <xdr:cNvCxnSpPr/>
      </xdr:nvCxnSpPr>
      <xdr:spPr>
        <a:xfrm>
          <a:off x="9805953" y="5689600"/>
          <a:ext cx="8935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1136650</xdr:colOff>
      <xdr:row>28</xdr:row>
      <xdr:rowOff>152400</xdr:rowOff>
    </xdr:from>
    <xdr:to>
      <xdr:col>6</xdr:col>
      <xdr:colOff>63500</xdr:colOff>
      <xdr:row>28</xdr:row>
      <xdr:rowOff>152400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6628A5E-1F00-47FC-9EA8-12317D6F9AB8}"/>
            </a:ext>
          </a:extLst>
        </xdr:cNvPr>
        <xdr:cNvCxnSpPr/>
      </xdr:nvCxnSpPr>
      <xdr:spPr>
        <a:xfrm>
          <a:off x="5378450" y="5651500"/>
          <a:ext cx="94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241300</xdr:colOff>
      <xdr:row>38</xdr:row>
      <xdr:rowOff>158750</xdr:rowOff>
    </xdr:from>
    <xdr:to>
      <xdr:col>1</xdr:col>
      <xdr:colOff>1619250</xdr:colOff>
      <xdr:row>38</xdr:row>
      <xdr:rowOff>158750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96A8032-1777-41A2-AC08-5D722A0C1B6F}"/>
            </a:ext>
          </a:extLst>
        </xdr:cNvPr>
        <xdr:cNvCxnSpPr/>
      </xdr:nvCxnSpPr>
      <xdr:spPr>
        <a:xfrm>
          <a:off x="565150" y="7308850"/>
          <a:ext cx="1377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749300</xdr:colOff>
      <xdr:row>1</xdr:row>
      <xdr:rowOff>44078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EF364E-19D5-4624-B0F8-17F3834F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073150" cy="5584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28</xdr:row>
      <xdr:rowOff>152400</xdr:rowOff>
    </xdr:from>
    <xdr:to>
      <xdr:col>1</xdr:col>
      <xdr:colOff>1562100</xdr:colOff>
      <xdr:row>28</xdr:row>
      <xdr:rowOff>158750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D90A2EE-E793-4261-8ADD-1D72FFF86CE9}"/>
            </a:ext>
          </a:extLst>
        </xdr:cNvPr>
        <xdr:cNvCxnSpPr/>
      </xdr:nvCxnSpPr>
      <xdr:spPr>
        <a:xfrm>
          <a:off x="635000" y="5765800"/>
          <a:ext cx="12509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349250</xdr:colOff>
      <xdr:row>29</xdr:row>
      <xdr:rowOff>12700</xdr:rowOff>
    </xdr:from>
    <xdr:to>
      <xdr:col>11</xdr:col>
      <xdr:colOff>234950</xdr:colOff>
      <xdr:row>29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DD349F8-3B35-4740-AC8E-01E647C27CCA}"/>
            </a:ext>
          </a:extLst>
        </xdr:cNvPr>
        <xdr:cNvCxnSpPr/>
      </xdr:nvCxnSpPr>
      <xdr:spPr>
        <a:xfrm>
          <a:off x="8051800" y="5791200"/>
          <a:ext cx="10604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376203</xdr:colOff>
      <xdr:row>29</xdr:row>
      <xdr:rowOff>6350</xdr:rowOff>
    </xdr:from>
    <xdr:to>
      <xdr:col>14</xdr:col>
      <xdr:colOff>139417</xdr:colOff>
      <xdr:row>29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E76B600-E486-4A8A-BC70-DAFFDBAFFCD5}"/>
            </a:ext>
          </a:extLst>
        </xdr:cNvPr>
        <xdr:cNvCxnSpPr/>
      </xdr:nvCxnSpPr>
      <xdr:spPr>
        <a:xfrm>
          <a:off x="9805953" y="5784850"/>
          <a:ext cx="8935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1136650</xdr:colOff>
      <xdr:row>28</xdr:row>
      <xdr:rowOff>152400</xdr:rowOff>
    </xdr:from>
    <xdr:to>
      <xdr:col>6</xdr:col>
      <xdr:colOff>63500</xdr:colOff>
      <xdr:row>28</xdr:row>
      <xdr:rowOff>152400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86F5F70-E3C5-4BD9-ACD1-4FDADC90D620}"/>
            </a:ext>
          </a:extLst>
        </xdr:cNvPr>
        <xdr:cNvCxnSpPr/>
      </xdr:nvCxnSpPr>
      <xdr:spPr>
        <a:xfrm>
          <a:off x="5378450" y="5765800"/>
          <a:ext cx="94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831850</xdr:colOff>
      <xdr:row>29</xdr:row>
      <xdr:rowOff>6350</xdr:rowOff>
    </xdr:from>
    <xdr:to>
      <xdr:col>4</xdr:col>
      <xdr:colOff>95250</xdr:colOff>
      <xdr:row>29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6193BA5-705E-45ED-B92D-5A42FCE7C693}"/>
            </a:ext>
          </a:extLst>
        </xdr:cNvPr>
        <xdr:cNvCxnSpPr/>
      </xdr:nvCxnSpPr>
      <xdr:spPr>
        <a:xfrm flipV="1">
          <a:off x="3143250" y="5822950"/>
          <a:ext cx="11938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749300</xdr:colOff>
      <xdr:row>0</xdr:row>
      <xdr:rowOff>558428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47833-7DF0-4FF9-8343-4F67178F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073150" cy="5584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385884</xdr:colOff>
      <xdr:row>28</xdr:row>
      <xdr:rowOff>156308</xdr:rowOff>
    </xdr:from>
    <xdr:to>
      <xdr:col>1</xdr:col>
      <xdr:colOff>1562100</xdr:colOff>
      <xdr:row>28</xdr:row>
      <xdr:rowOff>158750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CBC1192-EE7A-4C47-8A46-4DB89761E8AA}"/>
            </a:ext>
          </a:extLst>
        </xdr:cNvPr>
        <xdr:cNvCxnSpPr/>
      </xdr:nvCxnSpPr>
      <xdr:spPr>
        <a:xfrm>
          <a:off x="708269" y="5236308"/>
          <a:ext cx="1176216" cy="24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222250</xdr:colOff>
      <xdr:row>28</xdr:row>
      <xdr:rowOff>141654</xdr:rowOff>
    </xdr:from>
    <xdr:to>
      <xdr:col>8</xdr:col>
      <xdr:colOff>214924</xdr:colOff>
      <xdr:row>28</xdr:row>
      <xdr:rowOff>146050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FC41114-1904-43BE-BAA6-4130485C64A2}"/>
            </a:ext>
          </a:extLst>
        </xdr:cNvPr>
        <xdr:cNvCxnSpPr/>
      </xdr:nvCxnSpPr>
      <xdr:spPr>
        <a:xfrm flipV="1">
          <a:off x="6479442" y="5221654"/>
          <a:ext cx="994020" cy="43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258972</xdr:colOff>
      <xdr:row>29</xdr:row>
      <xdr:rowOff>6350</xdr:rowOff>
    </xdr:from>
    <xdr:to>
      <xdr:col>12</xdr:col>
      <xdr:colOff>227339</xdr:colOff>
      <xdr:row>29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59DC46D-E39B-407D-8405-B4D8248D16AE}"/>
            </a:ext>
          </a:extLst>
        </xdr:cNvPr>
        <xdr:cNvCxnSpPr/>
      </xdr:nvCxnSpPr>
      <xdr:spPr>
        <a:xfrm>
          <a:off x="8577472" y="5252427"/>
          <a:ext cx="10722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1035539</xdr:colOff>
      <xdr:row>28</xdr:row>
      <xdr:rowOff>146538</xdr:rowOff>
    </xdr:from>
    <xdr:to>
      <xdr:col>4</xdr:col>
      <xdr:colOff>1147885</xdr:colOff>
      <xdr:row>28</xdr:row>
      <xdr:rowOff>156308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E212F18-E9B7-423F-95C3-9BA464C42AA2}"/>
            </a:ext>
          </a:extLst>
        </xdr:cNvPr>
        <xdr:cNvCxnSpPr/>
      </xdr:nvCxnSpPr>
      <xdr:spPr>
        <a:xfrm flipV="1">
          <a:off x="4234962" y="5226538"/>
          <a:ext cx="1152769" cy="97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749300</xdr:colOff>
      <xdr:row>1</xdr:row>
      <xdr:rowOff>120277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EEFF67-6E35-40D5-959B-91D528ADF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3150" cy="5584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385884</xdr:colOff>
      <xdr:row>28</xdr:row>
      <xdr:rowOff>156308</xdr:rowOff>
    </xdr:from>
    <xdr:to>
      <xdr:col>1</xdr:col>
      <xdr:colOff>1562100</xdr:colOff>
      <xdr:row>28</xdr:row>
      <xdr:rowOff>158750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8C5291-AB28-4B7B-8906-36041F52FA35}"/>
            </a:ext>
          </a:extLst>
        </xdr:cNvPr>
        <xdr:cNvCxnSpPr/>
      </xdr:nvCxnSpPr>
      <xdr:spPr>
        <a:xfrm>
          <a:off x="709734" y="5693508"/>
          <a:ext cx="1176216" cy="24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222250</xdr:colOff>
      <xdr:row>28</xdr:row>
      <xdr:rowOff>141654</xdr:rowOff>
    </xdr:from>
    <xdr:to>
      <xdr:col>8</xdr:col>
      <xdr:colOff>214924</xdr:colOff>
      <xdr:row>28</xdr:row>
      <xdr:rowOff>146050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4FDE60F-253E-4D6D-966C-8B10C7B80D63}"/>
            </a:ext>
          </a:extLst>
        </xdr:cNvPr>
        <xdr:cNvCxnSpPr/>
      </xdr:nvCxnSpPr>
      <xdr:spPr>
        <a:xfrm flipV="1">
          <a:off x="6483350" y="5678854"/>
          <a:ext cx="995974" cy="43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258972</xdr:colOff>
      <xdr:row>29</xdr:row>
      <xdr:rowOff>6350</xdr:rowOff>
    </xdr:from>
    <xdr:to>
      <xdr:col>12</xdr:col>
      <xdr:colOff>227339</xdr:colOff>
      <xdr:row>29</xdr:row>
      <xdr:rowOff>6350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3A66C9D-8F0A-45FC-8285-4BC7EE829917}"/>
            </a:ext>
          </a:extLst>
        </xdr:cNvPr>
        <xdr:cNvCxnSpPr/>
      </xdr:nvCxnSpPr>
      <xdr:spPr>
        <a:xfrm>
          <a:off x="8583822" y="5708650"/>
          <a:ext cx="10732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1035539</xdr:colOff>
      <xdr:row>28</xdr:row>
      <xdr:rowOff>146538</xdr:rowOff>
    </xdr:from>
    <xdr:to>
      <xdr:col>4</xdr:col>
      <xdr:colOff>1147885</xdr:colOff>
      <xdr:row>28</xdr:row>
      <xdr:rowOff>156308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F6E8190-E764-409D-ACB2-D7498AB414A6}"/>
            </a:ext>
          </a:extLst>
        </xdr:cNvPr>
        <xdr:cNvCxnSpPr/>
      </xdr:nvCxnSpPr>
      <xdr:spPr>
        <a:xfrm flipV="1">
          <a:off x="4235939" y="5683738"/>
          <a:ext cx="1153746" cy="97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749300</xdr:colOff>
      <xdr:row>1</xdr:row>
      <xdr:rowOff>44077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D75ECD-A656-44F0-A97D-B3E7E7B54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3150" cy="558427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29</xdr:row>
      <xdr:rowOff>0</xdr:rowOff>
    </xdr:from>
    <xdr:to>
      <xdr:col>3</xdr:col>
      <xdr:colOff>6350</xdr:colOff>
      <xdr:row>29</xdr:row>
      <xdr:rowOff>6350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82DF352-9AEF-4B5A-A8B3-D2A64EE5BD0A}"/>
            </a:ext>
          </a:extLst>
        </xdr:cNvPr>
        <xdr:cNvCxnSpPr/>
      </xdr:nvCxnSpPr>
      <xdr:spPr>
        <a:xfrm flipV="1">
          <a:off x="2324100" y="5816600"/>
          <a:ext cx="8826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385884</xdr:colOff>
      <xdr:row>28</xdr:row>
      <xdr:rowOff>156308</xdr:rowOff>
    </xdr:from>
    <xdr:to>
      <xdr:col>1</xdr:col>
      <xdr:colOff>1562100</xdr:colOff>
      <xdr:row>28</xdr:row>
      <xdr:rowOff>158750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8417660-E382-4469-A705-07C247556BA8}"/>
            </a:ext>
          </a:extLst>
        </xdr:cNvPr>
        <xdr:cNvCxnSpPr/>
      </xdr:nvCxnSpPr>
      <xdr:spPr>
        <a:xfrm>
          <a:off x="709734" y="5807808"/>
          <a:ext cx="1176216" cy="24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222250</xdr:colOff>
      <xdr:row>28</xdr:row>
      <xdr:rowOff>141654</xdr:rowOff>
    </xdr:from>
    <xdr:to>
      <xdr:col>8</xdr:col>
      <xdr:colOff>214924</xdr:colOff>
      <xdr:row>28</xdr:row>
      <xdr:rowOff>146050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173D549-980A-48CB-A0A1-AF497FCBDD1F}"/>
            </a:ext>
          </a:extLst>
        </xdr:cNvPr>
        <xdr:cNvCxnSpPr/>
      </xdr:nvCxnSpPr>
      <xdr:spPr>
        <a:xfrm flipV="1">
          <a:off x="6654800" y="5793154"/>
          <a:ext cx="995974" cy="43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258972</xdr:colOff>
      <xdr:row>29</xdr:row>
      <xdr:rowOff>6350</xdr:rowOff>
    </xdr:from>
    <xdr:to>
      <xdr:col>12</xdr:col>
      <xdr:colOff>227339</xdr:colOff>
      <xdr:row>29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00EB19C-7E9E-46D1-BA07-9FE660D4E5AC}"/>
            </a:ext>
          </a:extLst>
        </xdr:cNvPr>
        <xdr:cNvCxnSpPr/>
      </xdr:nvCxnSpPr>
      <xdr:spPr>
        <a:xfrm>
          <a:off x="8755272" y="5822950"/>
          <a:ext cx="10732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1035539</xdr:colOff>
      <xdr:row>28</xdr:row>
      <xdr:rowOff>146538</xdr:rowOff>
    </xdr:from>
    <xdr:to>
      <xdr:col>4</xdr:col>
      <xdr:colOff>1147885</xdr:colOff>
      <xdr:row>28</xdr:row>
      <xdr:rowOff>156308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33E28EE-EB41-4C12-B736-BEC9F69F31F6}"/>
            </a:ext>
          </a:extLst>
        </xdr:cNvPr>
        <xdr:cNvCxnSpPr/>
      </xdr:nvCxnSpPr>
      <xdr:spPr>
        <a:xfrm flipV="1">
          <a:off x="4407389" y="5798038"/>
          <a:ext cx="1153746" cy="97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749300</xdr:colOff>
      <xdr:row>0</xdr:row>
      <xdr:rowOff>558427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5208FD-9CDA-4882-B23C-81846ED0F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3150" cy="558427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29</xdr:row>
      <xdr:rowOff>0</xdr:rowOff>
    </xdr:from>
    <xdr:to>
      <xdr:col>3</xdr:col>
      <xdr:colOff>6350</xdr:colOff>
      <xdr:row>29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EED7DD0-419F-44F5-B7B8-2C021AD88316}"/>
            </a:ext>
          </a:extLst>
        </xdr:cNvPr>
        <xdr:cNvCxnSpPr/>
      </xdr:nvCxnSpPr>
      <xdr:spPr>
        <a:xfrm flipV="1">
          <a:off x="2324100" y="5816600"/>
          <a:ext cx="10541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385884</xdr:colOff>
      <xdr:row>28</xdr:row>
      <xdr:rowOff>156308</xdr:rowOff>
    </xdr:from>
    <xdr:to>
      <xdr:col>1</xdr:col>
      <xdr:colOff>1562100</xdr:colOff>
      <xdr:row>28</xdr:row>
      <xdr:rowOff>158750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EF38D42-1079-4E4F-A231-3CEC927E9D8D}"/>
            </a:ext>
          </a:extLst>
        </xdr:cNvPr>
        <xdr:cNvCxnSpPr/>
      </xdr:nvCxnSpPr>
      <xdr:spPr>
        <a:xfrm>
          <a:off x="709734" y="5852258"/>
          <a:ext cx="1176216" cy="24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222250</xdr:colOff>
      <xdr:row>28</xdr:row>
      <xdr:rowOff>141654</xdr:rowOff>
    </xdr:from>
    <xdr:to>
      <xdr:col>8</xdr:col>
      <xdr:colOff>214924</xdr:colOff>
      <xdr:row>28</xdr:row>
      <xdr:rowOff>146050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31C94F2-6089-4E2D-B6AA-1C6B66DB8684}"/>
            </a:ext>
          </a:extLst>
        </xdr:cNvPr>
        <xdr:cNvCxnSpPr/>
      </xdr:nvCxnSpPr>
      <xdr:spPr>
        <a:xfrm flipV="1">
          <a:off x="6654800" y="5837604"/>
          <a:ext cx="995974" cy="43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258972</xdr:colOff>
      <xdr:row>29</xdr:row>
      <xdr:rowOff>6350</xdr:rowOff>
    </xdr:from>
    <xdr:to>
      <xdr:col>12</xdr:col>
      <xdr:colOff>227339</xdr:colOff>
      <xdr:row>29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A1DA12A-0386-4311-9B74-FE62177282D1}"/>
            </a:ext>
          </a:extLst>
        </xdr:cNvPr>
        <xdr:cNvCxnSpPr/>
      </xdr:nvCxnSpPr>
      <xdr:spPr>
        <a:xfrm>
          <a:off x="8755272" y="5867400"/>
          <a:ext cx="10732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1035539</xdr:colOff>
      <xdr:row>28</xdr:row>
      <xdr:rowOff>146538</xdr:rowOff>
    </xdr:from>
    <xdr:to>
      <xdr:col>4</xdr:col>
      <xdr:colOff>1147885</xdr:colOff>
      <xdr:row>28</xdr:row>
      <xdr:rowOff>156308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8E0055A-0E50-4CC1-92E0-C3503B2958F2}"/>
            </a:ext>
          </a:extLst>
        </xdr:cNvPr>
        <xdr:cNvCxnSpPr/>
      </xdr:nvCxnSpPr>
      <xdr:spPr>
        <a:xfrm flipV="1">
          <a:off x="4407389" y="5842488"/>
          <a:ext cx="1153746" cy="97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749300</xdr:colOff>
      <xdr:row>1</xdr:row>
      <xdr:rowOff>5977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23EDE4-07CC-4D28-8A6A-5CFBD0126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3150" cy="558427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29</xdr:row>
      <xdr:rowOff>0</xdr:rowOff>
    </xdr:from>
    <xdr:to>
      <xdr:col>3</xdr:col>
      <xdr:colOff>6350</xdr:colOff>
      <xdr:row>29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E5A67AE-657D-4564-8C1E-88C45F5265C5}"/>
            </a:ext>
          </a:extLst>
        </xdr:cNvPr>
        <xdr:cNvCxnSpPr/>
      </xdr:nvCxnSpPr>
      <xdr:spPr>
        <a:xfrm flipV="1">
          <a:off x="2324100" y="5861050"/>
          <a:ext cx="10541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385884</xdr:colOff>
      <xdr:row>28</xdr:row>
      <xdr:rowOff>156308</xdr:rowOff>
    </xdr:from>
    <xdr:to>
      <xdr:col>1</xdr:col>
      <xdr:colOff>1562100</xdr:colOff>
      <xdr:row>28</xdr:row>
      <xdr:rowOff>158750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911B754-AB03-448E-BC47-C72170C216F8}"/>
            </a:ext>
          </a:extLst>
        </xdr:cNvPr>
        <xdr:cNvCxnSpPr/>
      </xdr:nvCxnSpPr>
      <xdr:spPr>
        <a:xfrm>
          <a:off x="709734" y="5934808"/>
          <a:ext cx="1176216" cy="24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222250</xdr:colOff>
      <xdr:row>28</xdr:row>
      <xdr:rowOff>141654</xdr:rowOff>
    </xdr:from>
    <xdr:to>
      <xdr:col>8</xdr:col>
      <xdr:colOff>214924</xdr:colOff>
      <xdr:row>28</xdr:row>
      <xdr:rowOff>146050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B4675AD-5DCA-493A-B883-3FA68F824933}"/>
            </a:ext>
          </a:extLst>
        </xdr:cNvPr>
        <xdr:cNvCxnSpPr/>
      </xdr:nvCxnSpPr>
      <xdr:spPr>
        <a:xfrm flipV="1">
          <a:off x="6654800" y="5920154"/>
          <a:ext cx="995974" cy="43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258972</xdr:colOff>
      <xdr:row>29</xdr:row>
      <xdr:rowOff>6350</xdr:rowOff>
    </xdr:from>
    <xdr:to>
      <xdr:col>12</xdr:col>
      <xdr:colOff>227339</xdr:colOff>
      <xdr:row>29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D14A1EE-FD5F-4C09-9DD5-15A2F24EA0CE}"/>
            </a:ext>
          </a:extLst>
        </xdr:cNvPr>
        <xdr:cNvCxnSpPr/>
      </xdr:nvCxnSpPr>
      <xdr:spPr>
        <a:xfrm>
          <a:off x="8755272" y="5949950"/>
          <a:ext cx="10732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1035539</xdr:colOff>
      <xdr:row>28</xdr:row>
      <xdr:rowOff>146538</xdr:rowOff>
    </xdr:from>
    <xdr:to>
      <xdr:col>4</xdr:col>
      <xdr:colOff>1147885</xdr:colOff>
      <xdr:row>28</xdr:row>
      <xdr:rowOff>156308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63A1FF4-CA5E-460E-B89F-FE4544F42FAF}"/>
            </a:ext>
          </a:extLst>
        </xdr:cNvPr>
        <xdr:cNvCxnSpPr/>
      </xdr:nvCxnSpPr>
      <xdr:spPr>
        <a:xfrm flipV="1">
          <a:off x="4407389" y="5925038"/>
          <a:ext cx="1153746" cy="97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749300</xdr:colOff>
      <xdr:row>0</xdr:row>
      <xdr:rowOff>558427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1066DB-4D67-46B0-AB67-2215E4C5E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3150" cy="558427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29</xdr:row>
      <xdr:rowOff>0</xdr:rowOff>
    </xdr:from>
    <xdr:to>
      <xdr:col>3</xdr:col>
      <xdr:colOff>6350</xdr:colOff>
      <xdr:row>29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64F856E-43DC-4E39-9A07-C19727CC2A36}"/>
            </a:ext>
          </a:extLst>
        </xdr:cNvPr>
        <xdr:cNvCxnSpPr/>
      </xdr:nvCxnSpPr>
      <xdr:spPr>
        <a:xfrm flipV="1">
          <a:off x="2324100" y="5943600"/>
          <a:ext cx="10541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385884</xdr:colOff>
      <xdr:row>28</xdr:row>
      <xdr:rowOff>156308</xdr:rowOff>
    </xdr:from>
    <xdr:to>
      <xdr:col>1</xdr:col>
      <xdr:colOff>1562100</xdr:colOff>
      <xdr:row>28</xdr:row>
      <xdr:rowOff>158750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4323B78-4925-4398-AA50-5D0288C9D5D6}"/>
            </a:ext>
          </a:extLst>
        </xdr:cNvPr>
        <xdr:cNvCxnSpPr/>
      </xdr:nvCxnSpPr>
      <xdr:spPr>
        <a:xfrm>
          <a:off x="709734" y="5801458"/>
          <a:ext cx="1176216" cy="24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222250</xdr:colOff>
      <xdr:row>28</xdr:row>
      <xdr:rowOff>141654</xdr:rowOff>
    </xdr:from>
    <xdr:to>
      <xdr:col>8</xdr:col>
      <xdr:colOff>214924</xdr:colOff>
      <xdr:row>28</xdr:row>
      <xdr:rowOff>146050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BBA40F3-67BD-4FF6-8D5D-3A05AA643F0D}"/>
            </a:ext>
          </a:extLst>
        </xdr:cNvPr>
        <xdr:cNvCxnSpPr/>
      </xdr:nvCxnSpPr>
      <xdr:spPr>
        <a:xfrm flipV="1">
          <a:off x="6654800" y="5786804"/>
          <a:ext cx="995974" cy="43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258972</xdr:colOff>
      <xdr:row>29</xdr:row>
      <xdr:rowOff>6350</xdr:rowOff>
    </xdr:from>
    <xdr:to>
      <xdr:col>12</xdr:col>
      <xdr:colOff>227339</xdr:colOff>
      <xdr:row>29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FB03DFA-492C-4489-ABC9-966C550D649D}"/>
            </a:ext>
          </a:extLst>
        </xdr:cNvPr>
        <xdr:cNvCxnSpPr/>
      </xdr:nvCxnSpPr>
      <xdr:spPr>
        <a:xfrm>
          <a:off x="8755272" y="5816600"/>
          <a:ext cx="10732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1035539</xdr:colOff>
      <xdr:row>28</xdr:row>
      <xdr:rowOff>146538</xdr:rowOff>
    </xdr:from>
    <xdr:to>
      <xdr:col>4</xdr:col>
      <xdr:colOff>1147885</xdr:colOff>
      <xdr:row>28</xdr:row>
      <xdr:rowOff>156308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AD00FCE-D3CA-4208-8387-25353666CF65}"/>
            </a:ext>
          </a:extLst>
        </xdr:cNvPr>
        <xdr:cNvCxnSpPr/>
      </xdr:nvCxnSpPr>
      <xdr:spPr>
        <a:xfrm flipV="1">
          <a:off x="4407389" y="5791688"/>
          <a:ext cx="1153746" cy="97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749300</xdr:colOff>
      <xdr:row>0</xdr:row>
      <xdr:rowOff>558427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5C42CD-A1E0-47D1-B405-1DF7D6A57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3150" cy="558427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29</xdr:row>
      <xdr:rowOff>0</xdr:rowOff>
    </xdr:from>
    <xdr:to>
      <xdr:col>3</xdr:col>
      <xdr:colOff>6350</xdr:colOff>
      <xdr:row>29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264A684-825B-4157-A8CE-48BE9147C81C}"/>
            </a:ext>
          </a:extLst>
        </xdr:cNvPr>
        <xdr:cNvCxnSpPr/>
      </xdr:nvCxnSpPr>
      <xdr:spPr>
        <a:xfrm flipV="1">
          <a:off x="2324100" y="5810250"/>
          <a:ext cx="10541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92363</xdr:colOff>
      <xdr:row>0</xdr:row>
      <xdr:rowOff>0</xdr:rowOff>
    </xdr:from>
    <xdr:ext cx="1091045" cy="520700"/>
    <xdr:pic>
      <xdr:nvPicPr>
        <xdr:cNvPr id="7" name="image1.png">
          <a:extLst>
            <a:ext uri="{FF2B5EF4-FFF2-40B4-BE49-F238E27FC236}">
              <a16:creationId xmlns:a16="http://schemas.microsoft.com/office/drawing/2014/main" id="{0310EB2D-0CCE-4474-8930-7404BA673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3" y="0"/>
          <a:ext cx="1091045" cy="520700"/>
        </a:xfrm>
        <a:prstGeom prst="rect">
          <a:avLst/>
        </a:prstGeom>
      </xdr:spPr>
    </xdr:pic>
    <xdr:clientData/>
  </xdr:oneCellAnchor>
  <xdr:twoCellAnchor>
    <xdr:from>
      <xdr:col>1</xdr:col>
      <xdr:colOff>95250</xdr:colOff>
      <xdr:row>25</xdr:row>
      <xdr:rowOff>152400</xdr:rowOff>
    </xdr:from>
    <xdr:to>
      <xdr:col>1</xdr:col>
      <xdr:colOff>1739900</xdr:colOff>
      <xdr:row>25</xdr:row>
      <xdr:rowOff>158750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B59993D-6265-4BFC-B6E3-8578066B13E7}"/>
            </a:ext>
          </a:extLst>
        </xdr:cNvPr>
        <xdr:cNvCxnSpPr/>
      </xdr:nvCxnSpPr>
      <xdr:spPr>
        <a:xfrm>
          <a:off x="419100" y="4273550"/>
          <a:ext cx="16446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349250</xdr:colOff>
      <xdr:row>26</xdr:row>
      <xdr:rowOff>12700</xdr:rowOff>
    </xdr:from>
    <xdr:to>
      <xdr:col>13</xdr:col>
      <xdr:colOff>234950</xdr:colOff>
      <xdr:row>26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3573F84-7B6D-4976-978F-A55BEB229969}"/>
            </a:ext>
          </a:extLst>
        </xdr:cNvPr>
        <xdr:cNvCxnSpPr/>
      </xdr:nvCxnSpPr>
      <xdr:spPr>
        <a:xfrm>
          <a:off x="9226550" y="4298950"/>
          <a:ext cx="10160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503203</xdr:colOff>
      <xdr:row>26</xdr:row>
      <xdr:rowOff>6350</xdr:rowOff>
    </xdr:from>
    <xdr:to>
      <xdr:col>17</xdr:col>
      <xdr:colOff>266417</xdr:colOff>
      <xdr:row>26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6BCBAF5-493C-41FE-A147-524E27047A2F}"/>
            </a:ext>
          </a:extLst>
        </xdr:cNvPr>
        <xdr:cNvCxnSpPr/>
      </xdr:nvCxnSpPr>
      <xdr:spPr>
        <a:xfrm>
          <a:off x="11628403" y="4292600"/>
          <a:ext cx="11284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1136650</xdr:colOff>
      <xdr:row>25</xdr:row>
      <xdr:rowOff>152400</xdr:rowOff>
    </xdr:from>
    <xdr:to>
      <xdr:col>6</xdr:col>
      <xdr:colOff>63500</xdr:colOff>
      <xdr:row>25</xdr:row>
      <xdr:rowOff>152400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562F6CD-D3B4-4B2A-AF75-5D2D87C8A46A}"/>
            </a:ext>
          </a:extLst>
        </xdr:cNvPr>
        <xdr:cNvCxnSpPr/>
      </xdr:nvCxnSpPr>
      <xdr:spPr>
        <a:xfrm>
          <a:off x="5378450" y="4273550"/>
          <a:ext cx="94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26</xdr:row>
      <xdr:rowOff>0</xdr:rowOff>
    </xdr:from>
    <xdr:to>
      <xdr:col>4</xdr:col>
      <xdr:colOff>6350</xdr:colOff>
      <xdr:row>26</xdr:row>
      <xdr:rowOff>6350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2A4D7B0-DF83-4309-9167-F762A9379FAE}"/>
            </a:ext>
          </a:extLst>
        </xdr:cNvPr>
        <xdr:cNvCxnSpPr/>
      </xdr:nvCxnSpPr>
      <xdr:spPr>
        <a:xfrm flipV="1">
          <a:off x="2324100" y="5810250"/>
          <a:ext cx="10541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2"/>
  <sheetViews>
    <sheetView topLeftCell="A11" workbookViewId="0">
      <selection sqref="A1:W33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9.5976562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11.296875" customWidth="1"/>
    <col min="19" max="21" width="11.59765625" customWidth="1"/>
    <col min="22" max="22" width="13.59765625" customWidth="1"/>
    <col min="23" max="23" width="2.3984375" customWidth="1"/>
  </cols>
  <sheetData>
    <row r="1" spans="1:23" ht="44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spans="1:23" ht="26.2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 spans="1:23" ht="24" customHeight="1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45792</v>
      </c>
      <c r="L3" s="77"/>
      <c r="M3" s="77"/>
      <c r="N3" s="77"/>
      <c r="O3" s="77"/>
      <c r="P3" s="77"/>
      <c r="Q3" s="78"/>
      <c r="R3" s="71" t="s">
        <v>9</v>
      </c>
      <c r="S3" s="71" t="s">
        <v>10</v>
      </c>
      <c r="T3" s="71" t="s">
        <v>11</v>
      </c>
      <c r="U3" s="71" t="s">
        <v>12</v>
      </c>
      <c r="V3" s="71" t="s">
        <v>13</v>
      </c>
    </row>
    <row r="4" spans="1:23" ht="29" customHeight="1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  <c r="R4" s="72"/>
      <c r="S4" s="72"/>
      <c r="T4" s="72"/>
      <c r="U4" s="72"/>
      <c r="V4" s="72"/>
    </row>
    <row r="5" spans="1:23" s="6" customFormat="1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45771</v>
      </c>
      <c r="H5" s="25">
        <v>14428</v>
      </c>
      <c r="I5" s="30">
        <v>15</v>
      </c>
      <c r="J5" s="25">
        <f>H5*I5</f>
        <v>216420</v>
      </c>
      <c r="K5" s="25">
        <v>3740</v>
      </c>
      <c r="L5" s="25">
        <v>0</v>
      </c>
      <c r="M5" s="25">
        <f>K5+J5</f>
        <v>220160</v>
      </c>
      <c r="N5" s="26">
        <v>45787</v>
      </c>
      <c r="O5" s="26"/>
      <c r="P5" s="25">
        <v>250725</v>
      </c>
      <c r="Q5" s="5"/>
      <c r="R5" s="5"/>
      <c r="S5" s="5"/>
      <c r="T5" s="5"/>
      <c r="U5" s="5"/>
      <c r="V5" s="5"/>
    </row>
    <row r="6" spans="1:23" s="6" customFormat="1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45771</v>
      </c>
      <c r="H6" s="28">
        <v>42400</v>
      </c>
      <c r="I6" s="27">
        <v>15.08</v>
      </c>
      <c r="J6" s="28">
        <f>H6*I6</f>
        <v>639392</v>
      </c>
      <c r="K6" s="28">
        <v>13500</v>
      </c>
      <c r="L6" s="28">
        <v>32644</v>
      </c>
      <c r="M6" s="28">
        <f>K6+J6+L6</f>
        <v>685536</v>
      </c>
      <c r="N6" s="29">
        <v>45789</v>
      </c>
      <c r="O6" s="29"/>
      <c r="P6" s="28">
        <v>558864</v>
      </c>
      <c r="Q6" s="21"/>
      <c r="R6" s="36" t="s">
        <v>41</v>
      </c>
      <c r="S6" s="36" t="s">
        <v>42</v>
      </c>
      <c r="T6" s="37">
        <v>559</v>
      </c>
      <c r="U6" s="35" t="s">
        <v>43</v>
      </c>
      <c r="V6" s="35" t="s">
        <v>44</v>
      </c>
    </row>
    <row r="7" spans="1:23" ht="25" customHeight="1">
      <c r="A7" s="81" t="s">
        <v>58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</row>
    <row r="9" spans="1:23">
      <c r="E9" s="20"/>
    </row>
    <row r="10" spans="1:23">
      <c r="E10" s="20"/>
      <c r="M10" s="22"/>
    </row>
    <row r="11" spans="1:23">
      <c r="M11" s="22"/>
    </row>
    <row r="13" spans="1:23">
      <c r="M13" s="22"/>
    </row>
    <row r="16" spans="1:2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2:20">
      <c r="B17" s="8"/>
      <c r="C17" s="14"/>
      <c r="D17" s="8"/>
      <c r="E17" s="9"/>
      <c r="F17" s="7"/>
      <c r="G17" s="9"/>
      <c r="H17" s="7"/>
      <c r="I17" s="7"/>
      <c r="J17" s="80"/>
      <c r="K17" s="80"/>
      <c r="L17" s="80"/>
      <c r="M17" s="80"/>
      <c r="N17" s="7"/>
    </row>
    <row r="18" spans="2:20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2:20">
      <c r="B19" s="8" t="s">
        <v>25</v>
      </c>
      <c r="C19" s="14"/>
      <c r="E19" s="7"/>
      <c r="F19" s="9" t="s">
        <v>26</v>
      </c>
      <c r="G19" s="7"/>
      <c r="H19" s="7"/>
      <c r="I19" s="7"/>
      <c r="K19" s="7"/>
      <c r="L19" s="7"/>
      <c r="M19" s="7"/>
      <c r="N19" s="9" t="s">
        <v>27</v>
      </c>
      <c r="O19" s="7"/>
      <c r="P19" s="7"/>
      <c r="Q19" s="80" t="s">
        <v>28</v>
      </c>
      <c r="R19" s="80"/>
      <c r="S19" s="80"/>
      <c r="T19" s="7"/>
    </row>
    <row r="20" spans="2:20">
      <c r="B20" s="18" t="s">
        <v>29</v>
      </c>
      <c r="C20" s="19"/>
      <c r="E20" s="7"/>
      <c r="F20" s="11" t="s">
        <v>30</v>
      </c>
      <c r="G20" s="7"/>
      <c r="H20" s="7"/>
      <c r="I20" s="7"/>
      <c r="K20" s="17"/>
      <c r="L20" s="17"/>
      <c r="M20" s="17"/>
      <c r="N20" s="11" t="s">
        <v>31</v>
      </c>
      <c r="O20" s="17"/>
      <c r="P20" s="17"/>
      <c r="Q20" s="79" t="s">
        <v>32</v>
      </c>
      <c r="R20" s="79"/>
      <c r="S20" s="79"/>
      <c r="T20" s="7"/>
    </row>
    <row r="21" spans="2:20">
      <c r="B21" s="10" t="s">
        <v>33</v>
      </c>
      <c r="C21" s="15"/>
      <c r="E21" s="7"/>
      <c r="F21" s="11" t="s">
        <v>34</v>
      </c>
      <c r="G21" s="7"/>
      <c r="H21" s="7"/>
      <c r="I21" s="7"/>
      <c r="K21" s="7"/>
      <c r="L21" s="7"/>
      <c r="M21" s="7"/>
      <c r="N21" s="11" t="s">
        <v>35</v>
      </c>
      <c r="O21" s="7"/>
      <c r="P21" s="7"/>
      <c r="Q21" s="79" t="s">
        <v>36</v>
      </c>
      <c r="R21" s="79"/>
      <c r="S21" s="79"/>
      <c r="T21" s="7"/>
    </row>
    <row r="22" spans="2:20">
      <c r="B22" s="12" t="s">
        <v>37</v>
      </c>
      <c r="C22" s="16"/>
      <c r="E22" s="7"/>
      <c r="F22" s="12" t="s">
        <v>37</v>
      </c>
      <c r="G22" s="7"/>
      <c r="H22" s="7"/>
      <c r="I22" s="13"/>
      <c r="K22" s="13"/>
      <c r="L22" s="13"/>
      <c r="M22" s="7"/>
      <c r="N22" s="13" t="s">
        <v>37</v>
      </c>
      <c r="O22" s="7"/>
      <c r="P22" s="7"/>
      <c r="Q22" s="7"/>
      <c r="R22" s="7"/>
      <c r="S22" s="7"/>
      <c r="T22" s="7"/>
    </row>
    <row r="29" spans="2:20">
      <c r="B29" s="23" t="s">
        <v>48</v>
      </c>
    </row>
    <row r="30" spans="2:20">
      <c r="B30" s="24" t="s">
        <v>38</v>
      </c>
    </row>
    <row r="31" spans="2:20">
      <c r="B31" s="24" t="s">
        <v>39</v>
      </c>
    </row>
    <row r="32" spans="2:20">
      <c r="B32" s="24" t="s">
        <v>40</v>
      </c>
    </row>
  </sheetData>
  <mergeCells count="21">
    <mergeCell ref="Q21:S21"/>
    <mergeCell ref="Q19:S19"/>
    <mergeCell ref="Q20:S20"/>
    <mergeCell ref="A7:W7"/>
    <mergeCell ref="J17:M17"/>
    <mergeCell ref="A1:W1"/>
    <mergeCell ref="A2:W2"/>
    <mergeCell ref="A3:A4"/>
    <mergeCell ref="B3:B4"/>
    <mergeCell ref="C3:C4"/>
    <mergeCell ref="D3:D4"/>
    <mergeCell ref="E3:E4"/>
    <mergeCell ref="F3:F4"/>
    <mergeCell ref="G3:G4"/>
    <mergeCell ref="H3:J3"/>
    <mergeCell ref="K3:Q3"/>
    <mergeCell ref="R3:R4"/>
    <mergeCell ref="S3:S4"/>
    <mergeCell ref="T3:T4"/>
    <mergeCell ref="U3:U4"/>
    <mergeCell ref="V3:V4"/>
  </mergeCells>
  <pageMargins left="0.25" right="0.25" top="0.75" bottom="0.75" header="0.3" footer="0.3"/>
  <pageSetup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D956-D3F4-4EEE-A64F-0FCC7CB45B93}">
  <sheetPr>
    <pageSetUpPr fitToPage="1"/>
  </sheetPr>
  <dimension ref="A1:W32"/>
  <sheetViews>
    <sheetView topLeftCell="A11" workbookViewId="0">
      <selection activeCell="B28" sqref="B28:B32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9.5976562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11.296875" customWidth="1"/>
    <col min="19" max="21" width="11.59765625" customWidth="1"/>
    <col min="22" max="22" width="13.59765625" customWidth="1"/>
    <col min="23" max="23" width="2.3984375" customWidth="1"/>
  </cols>
  <sheetData>
    <row r="1" spans="1:23" ht="44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spans="1:23" ht="31.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 spans="1:23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45824</v>
      </c>
      <c r="L3" s="77"/>
      <c r="M3" s="77"/>
      <c r="N3" s="77"/>
      <c r="O3" s="77"/>
      <c r="P3" s="77"/>
      <c r="Q3" s="78"/>
      <c r="R3" s="71" t="s">
        <v>9</v>
      </c>
      <c r="S3" s="71" t="s">
        <v>10</v>
      </c>
      <c r="T3" s="71" t="s">
        <v>11</v>
      </c>
      <c r="U3" s="71" t="s">
        <v>12</v>
      </c>
      <c r="V3" s="71" t="s">
        <v>13</v>
      </c>
    </row>
    <row r="4" spans="1:23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  <c r="R4" s="72"/>
      <c r="S4" s="72"/>
      <c r="T4" s="72"/>
      <c r="U4" s="72"/>
      <c r="V4" s="72"/>
    </row>
    <row r="5" spans="1:23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45793</v>
      </c>
      <c r="H5" s="25">
        <v>13564</v>
      </c>
      <c r="I5" s="30">
        <v>15</v>
      </c>
      <c r="J5" s="25">
        <f>H5*I5</f>
        <v>203460</v>
      </c>
      <c r="K5" s="25">
        <v>4926</v>
      </c>
      <c r="L5" s="25">
        <v>0</v>
      </c>
      <c r="M5" s="25">
        <f>K5+J5</f>
        <v>208386</v>
      </c>
      <c r="N5" s="26">
        <v>45824</v>
      </c>
      <c r="O5" s="26"/>
      <c r="P5" s="25">
        <v>250725</v>
      </c>
      <c r="Q5" s="5"/>
      <c r="R5" s="5"/>
      <c r="S5" s="5"/>
      <c r="T5" s="5"/>
      <c r="U5" s="5"/>
      <c r="V5" s="5"/>
      <c r="W5" s="6"/>
    </row>
    <row r="6" spans="1:23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45794</v>
      </c>
      <c r="H6" s="28">
        <v>37200</v>
      </c>
      <c r="I6" s="27">
        <v>15.08</v>
      </c>
      <c r="J6" s="28">
        <f>H6*I6</f>
        <v>560976</v>
      </c>
      <c r="K6" s="28">
        <v>13500</v>
      </c>
      <c r="L6" s="42">
        <f>(J6+K6)*5%</f>
        <v>28723.800000000003</v>
      </c>
      <c r="M6" s="28">
        <v>603199</v>
      </c>
      <c r="N6" s="29">
        <v>45789</v>
      </c>
      <c r="O6" s="29"/>
      <c r="P6" s="28">
        <v>685536</v>
      </c>
      <c r="Q6" s="21"/>
      <c r="R6" s="36" t="s">
        <v>41</v>
      </c>
      <c r="S6" s="36" t="s">
        <v>42</v>
      </c>
      <c r="T6" s="37">
        <v>559</v>
      </c>
      <c r="U6" s="35" t="s">
        <v>43</v>
      </c>
      <c r="V6" s="35" t="s">
        <v>44</v>
      </c>
      <c r="W6" s="6"/>
    </row>
    <row r="7" spans="1:23">
      <c r="A7" s="81" t="s">
        <v>59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</row>
    <row r="9" spans="1:23">
      <c r="E9" s="20"/>
      <c r="M9" s="22"/>
    </row>
    <row r="10" spans="1:23">
      <c r="E10" s="20"/>
      <c r="M10" s="22"/>
    </row>
    <row r="11" spans="1:23">
      <c r="M11" s="22"/>
    </row>
    <row r="13" spans="1:23">
      <c r="M13" s="22"/>
    </row>
    <row r="16" spans="1:2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2:20">
      <c r="B17" s="8"/>
      <c r="C17" s="14"/>
      <c r="D17" s="8"/>
      <c r="E17" s="9"/>
      <c r="F17" s="7"/>
      <c r="G17" s="9"/>
      <c r="H17" s="7"/>
      <c r="I17" s="7"/>
      <c r="J17" s="80"/>
      <c r="K17" s="80"/>
      <c r="L17" s="80"/>
      <c r="M17" s="80"/>
      <c r="N17" s="7"/>
    </row>
    <row r="18" spans="2:20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2:20">
      <c r="B19" s="8" t="s">
        <v>25</v>
      </c>
      <c r="C19" s="14"/>
      <c r="E19" s="7"/>
      <c r="F19" s="9" t="s">
        <v>26</v>
      </c>
      <c r="G19" s="7"/>
      <c r="H19" s="7"/>
      <c r="I19" s="7"/>
      <c r="K19" s="7"/>
      <c r="L19" s="7"/>
      <c r="M19" s="7"/>
      <c r="N19" s="9" t="s">
        <v>27</v>
      </c>
      <c r="O19" s="7"/>
      <c r="P19" s="7"/>
      <c r="Q19" s="80" t="s">
        <v>28</v>
      </c>
      <c r="R19" s="80"/>
      <c r="S19" s="80"/>
      <c r="T19" s="7"/>
    </row>
    <row r="20" spans="2:20">
      <c r="B20" s="18" t="s">
        <v>29</v>
      </c>
      <c r="C20" s="19"/>
      <c r="E20" s="7"/>
      <c r="F20" s="11" t="s">
        <v>30</v>
      </c>
      <c r="G20" s="7"/>
      <c r="H20" s="7"/>
      <c r="I20" s="7"/>
      <c r="K20" s="17"/>
      <c r="L20" s="17"/>
      <c r="M20" s="17"/>
      <c r="N20" s="11" t="s">
        <v>31</v>
      </c>
      <c r="O20" s="17"/>
      <c r="P20" s="17"/>
      <c r="Q20" s="79" t="s">
        <v>32</v>
      </c>
      <c r="R20" s="79"/>
      <c r="S20" s="79"/>
      <c r="T20" s="7"/>
    </row>
    <row r="21" spans="2:20">
      <c r="B21" s="10" t="s">
        <v>33</v>
      </c>
      <c r="C21" s="15"/>
      <c r="E21" s="7"/>
      <c r="F21" s="11" t="s">
        <v>34</v>
      </c>
      <c r="G21" s="7"/>
      <c r="H21" s="7"/>
      <c r="I21" s="7"/>
      <c r="K21" s="7"/>
      <c r="L21" s="7"/>
      <c r="M21" s="7"/>
      <c r="N21" s="11" t="s">
        <v>35</v>
      </c>
      <c r="O21" s="7"/>
      <c r="P21" s="7"/>
      <c r="Q21" s="79" t="s">
        <v>36</v>
      </c>
      <c r="R21" s="79"/>
      <c r="S21" s="79"/>
      <c r="T21" s="7"/>
    </row>
    <row r="22" spans="2:20">
      <c r="B22" s="12" t="s">
        <v>37</v>
      </c>
      <c r="C22" s="16"/>
      <c r="E22" s="7"/>
      <c r="F22" s="12" t="s">
        <v>37</v>
      </c>
      <c r="G22" s="7"/>
      <c r="H22" s="7"/>
      <c r="I22" s="13"/>
      <c r="K22" s="13"/>
      <c r="L22" s="13"/>
      <c r="M22" s="7"/>
      <c r="N22" s="13" t="s">
        <v>37</v>
      </c>
      <c r="O22" s="7"/>
      <c r="P22" s="7"/>
      <c r="Q22" s="7"/>
      <c r="R22" s="7"/>
      <c r="S22" s="7"/>
      <c r="T22" s="7"/>
    </row>
    <row r="29" spans="2:20">
      <c r="B29" s="23" t="s">
        <v>48</v>
      </c>
    </row>
    <row r="30" spans="2:20">
      <c r="B30" s="43" t="s">
        <v>38</v>
      </c>
    </row>
    <row r="31" spans="2:20">
      <c r="B31" s="43" t="s">
        <v>39</v>
      </c>
    </row>
    <row r="32" spans="2:20">
      <c r="B32" s="44" t="s">
        <v>40</v>
      </c>
    </row>
  </sheetData>
  <mergeCells count="21">
    <mergeCell ref="A7:W7"/>
    <mergeCell ref="J17:M17"/>
    <mergeCell ref="Q19:S19"/>
    <mergeCell ref="Q20:S20"/>
    <mergeCell ref="Q21:S21"/>
    <mergeCell ref="V3:V4"/>
    <mergeCell ref="A1:W1"/>
    <mergeCell ref="A2:W2"/>
    <mergeCell ref="A3:A4"/>
    <mergeCell ref="B3:B4"/>
    <mergeCell ref="C3:C4"/>
    <mergeCell ref="D3:D4"/>
    <mergeCell ref="E3:E4"/>
    <mergeCell ref="F3:F4"/>
    <mergeCell ref="G3:G4"/>
    <mergeCell ref="H3:J3"/>
    <mergeCell ref="K3:Q3"/>
    <mergeCell ref="R3:R4"/>
    <mergeCell ref="S3:S4"/>
    <mergeCell ref="T3:T4"/>
    <mergeCell ref="U3:U4"/>
  </mergeCells>
  <pageMargins left="0.25" right="0.25" top="0.75" bottom="0.75" header="0.3" footer="0.3"/>
  <pageSetup scale="5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553B-E220-43CD-B011-70750FAC3305}">
  <sheetPr>
    <pageSetUpPr fitToPage="1"/>
  </sheetPr>
  <dimension ref="A1:W43"/>
  <sheetViews>
    <sheetView topLeftCell="A22" workbookViewId="0">
      <selection sqref="A1:W44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9.5976562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11.296875" customWidth="1"/>
    <col min="19" max="21" width="11.59765625" customWidth="1"/>
    <col min="22" max="22" width="13.59765625" customWidth="1"/>
    <col min="23" max="23" width="2.3984375" customWidth="1"/>
  </cols>
  <sheetData>
    <row r="1" spans="1:23" ht="36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spans="1:23" ht="24.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 spans="1:23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45845</v>
      </c>
      <c r="L3" s="77"/>
      <c r="M3" s="77"/>
      <c r="N3" s="77"/>
      <c r="O3" s="77"/>
      <c r="P3" s="77"/>
      <c r="Q3" s="78"/>
      <c r="R3" s="71" t="s">
        <v>9</v>
      </c>
      <c r="S3" s="71" t="s">
        <v>10</v>
      </c>
      <c r="T3" s="71" t="s">
        <v>11</v>
      </c>
      <c r="U3" s="71" t="s">
        <v>12</v>
      </c>
      <c r="V3" s="71" t="s">
        <v>13</v>
      </c>
    </row>
    <row r="4" spans="1:23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  <c r="R4" s="72"/>
      <c r="S4" s="72"/>
      <c r="T4" s="72"/>
      <c r="U4" s="72"/>
      <c r="V4" s="72"/>
    </row>
    <row r="5" spans="1:23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45854</v>
      </c>
      <c r="H5" s="25">
        <v>15848</v>
      </c>
      <c r="I5" s="30">
        <v>15</v>
      </c>
      <c r="J5" s="25">
        <f>H5*I5</f>
        <v>237720</v>
      </c>
      <c r="K5" s="25">
        <v>5170</v>
      </c>
      <c r="L5" s="25">
        <v>0</v>
      </c>
      <c r="M5" s="45">
        <f>K5+J5</f>
        <v>242890</v>
      </c>
      <c r="N5" s="26">
        <v>45875</v>
      </c>
      <c r="O5" s="26">
        <v>45894</v>
      </c>
      <c r="P5" s="25">
        <v>247015</v>
      </c>
      <c r="Q5" s="5"/>
      <c r="R5" s="5"/>
      <c r="S5" s="5"/>
      <c r="T5" s="5"/>
      <c r="U5" s="5"/>
      <c r="V5" s="5"/>
      <c r="W5" s="6"/>
    </row>
    <row r="6" spans="1:23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45855</v>
      </c>
      <c r="H6" s="28">
        <v>38400</v>
      </c>
      <c r="I6" s="27">
        <v>15.08</v>
      </c>
      <c r="J6" s="28">
        <f>H6*I6</f>
        <v>579072</v>
      </c>
      <c r="K6" s="28">
        <v>13500</v>
      </c>
      <c r="L6" s="42">
        <v>29628</v>
      </c>
      <c r="M6" s="45">
        <f>K6+J6+L6</f>
        <v>622200</v>
      </c>
      <c r="N6" s="29">
        <v>45875</v>
      </c>
      <c r="O6" s="29">
        <v>45894</v>
      </c>
      <c r="P6" s="28">
        <v>593066.04</v>
      </c>
      <c r="Q6" s="21"/>
      <c r="R6" s="36" t="s">
        <v>41</v>
      </c>
      <c r="S6" s="36" t="s">
        <v>42</v>
      </c>
      <c r="T6" s="37">
        <v>559</v>
      </c>
      <c r="U6" s="35" t="s">
        <v>43</v>
      </c>
      <c r="V6" s="35" t="s">
        <v>44</v>
      </c>
      <c r="W6" s="6"/>
    </row>
    <row r="7" spans="1:23">
      <c r="A7" s="81" t="s">
        <v>61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</row>
    <row r="9" spans="1:23">
      <c r="E9" s="20"/>
      <c r="M9" s="22"/>
    </row>
    <row r="10" spans="1:23">
      <c r="E10" s="20"/>
      <c r="M10" s="22"/>
    </row>
    <row r="11" spans="1:23">
      <c r="M11" s="46"/>
    </row>
    <row r="12" spans="1:23">
      <c r="L12" s="22"/>
    </row>
    <row r="13" spans="1:23">
      <c r="L13" s="22"/>
    </row>
    <row r="14" spans="1:23">
      <c r="L14" s="22"/>
    </row>
    <row r="15" spans="1:23">
      <c r="L15" s="22"/>
    </row>
    <row r="16" spans="1:23">
      <c r="L16" s="22"/>
    </row>
    <row r="17" spans="2:20">
      <c r="L17" s="22"/>
    </row>
    <row r="18" spans="2:20">
      <c r="L18" s="22"/>
    </row>
    <row r="19" spans="2:20">
      <c r="L19" s="22"/>
    </row>
    <row r="20" spans="2:20">
      <c r="L20" s="22"/>
    </row>
    <row r="21" spans="2:20">
      <c r="L21" s="22"/>
    </row>
    <row r="22" spans="2:20">
      <c r="L22" s="22"/>
    </row>
    <row r="23" spans="2:20">
      <c r="L23" s="22"/>
    </row>
    <row r="24" spans="2:20">
      <c r="M24" s="22"/>
    </row>
    <row r="27" spans="2:20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20">
      <c r="B28" s="8"/>
      <c r="C28" s="14"/>
      <c r="D28" s="8"/>
      <c r="E28" s="9"/>
      <c r="F28" s="7"/>
      <c r="G28" s="9"/>
      <c r="H28" s="7"/>
      <c r="I28" s="7"/>
      <c r="J28" s="80"/>
      <c r="K28" s="80"/>
      <c r="L28" s="80"/>
      <c r="M28" s="80"/>
      <c r="N28" s="7"/>
    </row>
    <row r="29" spans="2:20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2:20">
      <c r="B30" s="8" t="s">
        <v>25</v>
      </c>
      <c r="C30" s="14"/>
      <c r="E30" s="7"/>
      <c r="F30" s="9" t="s">
        <v>26</v>
      </c>
      <c r="G30" s="7"/>
      <c r="H30" s="7"/>
      <c r="I30" s="7"/>
      <c r="K30" s="7"/>
      <c r="L30" s="7"/>
      <c r="M30" s="7"/>
      <c r="N30" s="9" t="s">
        <v>27</v>
      </c>
      <c r="O30" s="7"/>
      <c r="P30" s="7"/>
      <c r="Q30" s="80" t="s">
        <v>28</v>
      </c>
      <c r="R30" s="80"/>
      <c r="S30" s="80"/>
      <c r="T30" s="7"/>
    </row>
    <row r="31" spans="2:20">
      <c r="B31" s="18" t="s">
        <v>29</v>
      </c>
      <c r="C31" s="19"/>
      <c r="E31" s="7"/>
      <c r="F31" s="11" t="s">
        <v>30</v>
      </c>
      <c r="G31" s="7"/>
      <c r="H31" s="7"/>
      <c r="I31" s="7"/>
      <c r="K31" s="17"/>
      <c r="L31" s="17"/>
      <c r="M31" s="17"/>
      <c r="N31" s="11" t="s">
        <v>31</v>
      </c>
      <c r="O31" s="17"/>
      <c r="P31" s="17"/>
      <c r="Q31" s="79" t="s">
        <v>32</v>
      </c>
      <c r="R31" s="79"/>
      <c r="S31" s="79"/>
      <c r="T31" s="7"/>
    </row>
    <row r="32" spans="2:20">
      <c r="B32" s="10" t="s">
        <v>33</v>
      </c>
      <c r="C32" s="15"/>
      <c r="E32" s="7"/>
      <c r="F32" s="11" t="s">
        <v>34</v>
      </c>
      <c r="G32" s="7"/>
      <c r="H32" s="7"/>
      <c r="I32" s="7"/>
      <c r="K32" s="7"/>
      <c r="L32" s="7"/>
      <c r="M32" s="7"/>
      <c r="N32" s="11" t="s">
        <v>60</v>
      </c>
      <c r="O32" s="7"/>
      <c r="P32" s="7"/>
      <c r="Q32" s="79" t="s">
        <v>36</v>
      </c>
      <c r="R32" s="79"/>
      <c r="S32" s="79"/>
      <c r="T32" s="7"/>
    </row>
    <row r="33" spans="2:20">
      <c r="B33" s="12" t="s">
        <v>37</v>
      </c>
      <c r="C33" s="16"/>
      <c r="E33" s="7"/>
      <c r="F33" s="12" t="s">
        <v>37</v>
      </c>
      <c r="G33" s="7"/>
      <c r="H33" s="7"/>
      <c r="I33" s="13"/>
      <c r="K33" s="13"/>
      <c r="L33" s="13"/>
      <c r="M33" s="7"/>
      <c r="N33" s="13" t="s">
        <v>37</v>
      </c>
      <c r="O33" s="7"/>
      <c r="P33" s="7"/>
      <c r="Q33" s="7"/>
      <c r="R33" s="7"/>
      <c r="S33" s="7"/>
      <c r="T33" s="7"/>
    </row>
    <row r="40" spans="2:20">
      <c r="B40" s="23" t="s">
        <v>48</v>
      </c>
    </row>
    <row r="41" spans="2:20">
      <c r="B41" s="43" t="s">
        <v>38</v>
      </c>
    </row>
    <row r="42" spans="2:20">
      <c r="B42" s="43" t="s">
        <v>39</v>
      </c>
    </row>
    <row r="43" spans="2:20">
      <c r="B43" s="44" t="s">
        <v>40</v>
      </c>
    </row>
  </sheetData>
  <mergeCells count="21">
    <mergeCell ref="V3:V4"/>
    <mergeCell ref="A1:W1"/>
    <mergeCell ref="A2:W2"/>
    <mergeCell ref="A3:A4"/>
    <mergeCell ref="B3:B4"/>
    <mergeCell ref="C3:C4"/>
    <mergeCell ref="D3:D4"/>
    <mergeCell ref="E3:E4"/>
    <mergeCell ref="F3:F4"/>
    <mergeCell ref="G3:G4"/>
    <mergeCell ref="H3:J3"/>
    <mergeCell ref="K3:Q3"/>
    <mergeCell ref="R3:R4"/>
    <mergeCell ref="S3:S4"/>
    <mergeCell ref="T3:T4"/>
    <mergeCell ref="U3:U4"/>
    <mergeCell ref="A7:W7"/>
    <mergeCell ref="J28:M28"/>
    <mergeCell ref="Q30:S30"/>
    <mergeCell ref="Q31:S31"/>
    <mergeCell ref="Q32:S32"/>
  </mergeCells>
  <pageMargins left="0.25" right="0.25" top="0.75" bottom="0.75" header="0.3" footer="0.3"/>
  <pageSetup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9824-9070-4294-8DBB-04C241CBA283}">
  <sheetPr>
    <pageSetUpPr fitToPage="1"/>
  </sheetPr>
  <dimension ref="A1:R43"/>
  <sheetViews>
    <sheetView topLeftCell="A23" workbookViewId="0">
      <selection sqref="A1:R43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9.5976562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2.3984375" customWidth="1"/>
  </cols>
  <sheetData>
    <row r="1" spans="1:18" ht="40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9.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45938</v>
      </c>
      <c r="L3" s="77"/>
      <c r="M3" s="77"/>
      <c r="N3" s="77"/>
      <c r="O3" s="77"/>
      <c r="P3" s="77"/>
      <c r="Q3" s="78"/>
    </row>
    <row r="4" spans="1:18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</row>
    <row r="5" spans="1:18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45916</v>
      </c>
      <c r="H5" s="25">
        <v>16263</v>
      </c>
      <c r="I5" s="30">
        <v>15</v>
      </c>
      <c r="J5" s="25">
        <f>I5*H5</f>
        <v>243945</v>
      </c>
      <c r="K5" s="25">
        <v>6150</v>
      </c>
      <c r="L5" s="25"/>
      <c r="M5" s="49">
        <f>K5+J5</f>
        <v>250095</v>
      </c>
      <c r="N5" s="26">
        <v>45938</v>
      </c>
      <c r="O5" s="26">
        <v>45955</v>
      </c>
      <c r="P5" s="25">
        <v>242865</v>
      </c>
      <c r="Q5" s="5"/>
      <c r="R5" s="6"/>
    </row>
    <row r="6" spans="1:18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45917</v>
      </c>
      <c r="H6" s="28">
        <v>35680</v>
      </c>
      <c r="I6" s="27">
        <v>15.08</v>
      </c>
      <c r="J6" s="28">
        <f>I6*H6</f>
        <v>538054.40000000002</v>
      </c>
      <c r="K6" s="28">
        <v>13500</v>
      </c>
      <c r="L6" s="47">
        <v>27577</v>
      </c>
      <c r="M6" s="52">
        <f>L6+K6+J6</f>
        <v>579131.4</v>
      </c>
      <c r="N6" s="48">
        <v>45938</v>
      </c>
      <c r="O6" s="26">
        <v>45955</v>
      </c>
      <c r="P6" s="28">
        <v>631066</v>
      </c>
      <c r="Q6" s="21"/>
      <c r="R6" s="6"/>
    </row>
    <row r="7" spans="1:18">
      <c r="A7" s="81" t="s">
        <v>62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9" spans="1:18">
      <c r="E9" s="20"/>
      <c r="M9" s="22"/>
    </row>
    <row r="10" spans="1:18">
      <c r="E10" s="20"/>
      <c r="M10" s="22"/>
    </row>
    <row r="11" spans="1:18">
      <c r="J11" s="20"/>
      <c r="M11" s="46"/>
    </row>
    <row r="12" spans="1:18">
      <c r="L12" s="22"/>
    </row>
    <row r="13" spans="1:18">
      <c r="L13" s="22"/>
    </row>
    <row r="14" spans="1:18">
      <c r="L14" s="22"/>
    </row>
    <row r="15" spans="1:18">
      <c r="L15" s="22"/>
    </row>
    <row r="16" spans="1:18">
      <c r="L16" s="22"/>
    </row>
    <row r="17" spans="2:17">
      <c r="L17" s="22"/>
    </row>
    <row r="18" spans="2:17">
      <c r="L18" s="22"/>
    </row>
    <row r="19" spans="2:17">
      <c r="L19" s="22"/>
    </row>
    <row r="20" spans="2:17">
      <c r="L20" s="22"/>
    </row>
    <row r="21" spans="2:17">
      <c r="L21" s="22"/>
    </row>
    <row r="22" spans="2:17">
      <c r="L22" s="22"/>
    </row>
    <row r="23" spans="2:17">
      <c r="L23" s="22"/>
    </row>
    <row r="24" spans="2:17">
      <c r="M24" s="22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7">
      <c r="B28" s="8"/>
      <c r="C28" s="14"/>
      <c r="D28" s="8"/>
      <c r="E28" s="9"/>
      <c r="F28" s="7"/>
      <c r="G28" s="9"/>
      <c r="H28" s="7"/>
      <c r="I28" s="7"/>
      <c r="J28" s="80"/>
      <c r="K28" s="80"/>
      <c r="L28" s="80"/>
      <c r="M28" s="80"/>
      <c r="N28" s="7"/>
    </row>
    <row r="29" spans="2:1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>
      <c r="B30" s="8" t="s">
        <v>25</v>
      </c>
      <c r="C30" s="14"/>
      <c r="E30" s="7"/>
      <c r="F30" s="9" t="s">
        <v>26</v>
      </c>
      <c r="G30" s="7"/>
      <c r="H30" s="7"/>
      <c r="I30" s="7"/>
      <c r="K30" s="9" t="s">
        <v>27</v>
      </c>
      <c r="L30" s="7"/>
      <c r="M30" s="80" t="s">
        <v>28</v>
      </c>
      <c r="N30" s="80"/>
      <c r="O30" s="80"/>
      <c r="P30" s="7"/>
    </row>
    <row r="31" spans="2:17">
      <c r="B31" s="18" t="s">
        <v>29</v>
      </c>
      <c r="C31" s="19"/>
      <c r="E31" s="7"/>
      <c r="F31" s="11" t="s">
        <v>30</v>
      </c>
      <c r="G31" s="7"/>
      <c r="H31" s="7"/>
      <c r="I31" s="7"/>
      <c r="K31" s="11" t="s">
        <v>31</v>
      </c>
      <c r="L31" s="17"/>
      <c r="M31" s="79" t="s">
        <v>32</v>
      </c>
      <c r="N31" s="79"/>
      <c r="O31" s="79"/>
      <c r="P31" s="17"/>
    </row>
    <row r="32" spans="2:17">
      <c r="B32" s="10" t="s">
        <v>33</v>
      </c>
      <c r="C32" s="15"/>
      <c r="E32" s="7"/>
      <c r="F32" s="11" t="s">
        <v>34</v>
      </c>
      <c r="G32" s="7"/>
      <c r="H32" s="7"/>
      <c r="I32" s="7"/>
      <c r="K32" s="11" t="s">
        <v>60</v>
      </c>
      <c r="L32" s="7"/>
      <c r="M32" s="79" t="s">
        <v>36</v>
      </c>
      <c r="N32" s="79"/>
      <c r="O32" s="79"/>
      <c r="P32" s="7"/>
    </row>
    <row r="33" spans="2:17">
      <c r="B33" s="12" t="s">
        <v>37</v>
      </c>
      <c r="C33" s="16"/>
      <c r="E33" s="7"/>
      <c r="F33" s="12" t="s">
        <v>37</v>
      </c>
      <c r="G33" s="7"/>
      <c r="H33" s="7"/>
      <c r="I33" s="13"/>
      <c r="K33" s="13" t="s">
        <v>37</v>
      </c>
      <c r="L33" s="13"/>
      <c r="M33" s="7"/>
      <c r="O33" s="7"/>
      <c r="P33" s="7"/>
      <c r="Q33" s="7"/>
    </row>
    <row r="40" spans="2:17">
      <c r="B40" s="23" t="s">
        <v>48</v>
      </c>
    </row>
    <row r="41" spans="2:17">
      <c r="B41" s="43" t="s">
        <v>38</v>
      </c>
    </row>
    <row r="42" spans="2:17">
      <c r="B42" s="43" t="s">
        <v>39</v>
      </c>
    </row>
    <row r="43" spans="2:17">
      <c r="B43" s="44" t="s">
        <v>40</v>
      </c>
    </row>
  </sheetData>
  <mergeCells count="16">
    <mergeCell ref="K3:Q3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J3"/>
    <mergeCell ref="A7:R7"/>
    <mergeCell ref="J28:M28"/>
    <mergeCell ref="M30:O30"/>
    <mergeCell ref="M31:O31"/>
    <mergeCell ref="M32:O32"/>
  </mergeCells>
  <pageMargins left="0.25" right="0.25" top="0.75" bottom="0.75" header="0.3" footer="0.3"/>
  <pageSetup scale="7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5EB7-8A83-4DAA-A724-9A1D27E20EF8}">
  <sheetPr>
    <pageSetUpPr fitToPage="1"/>
  </sheetPr>
  <dimension ref="A1:R43"/>
  <sheetViews>
    <sheetView topLeftCell="A16" workbookViewId="0">
      <selection sqref="A1:R35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11.898437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2.3984375" customWidth="1"/>
  </cols>
  <sheetData>
    <row r="1" spans="1:18" ht="46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6.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45965</v>
      </c>
      <c r="L3" s="77"/>
      <c r="M3" s="77"/>
      <c r="N3" s="77"/>
      <c r="O3" s="77"/>
      <c r="P3" s="77"/>
      <c r="Q3" s="78"/>
    </row>
    <row r="4" spans="1:18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</row>
    <row r="5" spans="1:18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45946</v>
      </c>
      <c r="H5" s="25">
        <v>16376</v>
      </c>
      <c r="I5" s="30">
        <v>15</v>
      </c>
      <c r="J5" s="25">
        <f>I5*H5</f>
        <v>245640</v>
      </c>
      <c r="K5" s="25">
        <v>4835</v>
      </c>
      <c r="L5" s="25"/>
      <c r="M5" s="49">
        <f>K5+J5</f>
        <v>250475</v>
      </c>
      <c r="N5" s="26">
        <v>45965</v>
      </c>
      <c r="O5" s="26">
        <v>45986</v>
      </c>
      <c r="P5" s="25">
        <v>250095</v>
      </c>
      <c r="Q5" s="5"/>
      <c r="R5" s="6"/>
    </row>
    <row r="6" spans="1:18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45946</v>
      </c>
      <c r="H6" s="28">
        <v>38320</v>
      </c>
      <c r="I6" s="27">
        <v>15.08</v>
      </c>
      <c r="J6" s="25">
        <f>I6*H6</f>
        <v>577865.6</v>
      </c>
      <c r="K6" s="28">
        <v>13500</v>
      </c>
      <c r="L6" s="47">
        <v>29568</v>
      </c>
      <c r="M6" s="52">
        <v>620933</v>
      </c>
      <c r="N6" s="48">
        <v>45965</v>
      </c>
      <c r="O6" s="26">
        <v>45986</v>
      </c>
      <c r="P6" s="28">
        <v>579131.4</v>
      </c>
      <c r="Q6" s="21"/>
      <c r="R6" s="6"/>
    </row>
    <row r="7" spans="1:18">
      <c r="A7" s="81" t="s">
        <v>63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9" spans="1:18">
      <c r="E9" s="20"/>
      <c r="M9" s="22"/>
    </row>
    <row r="10" spans="1:18">
      <c r="E10" s="20"/>
      <c r="M10" s="22"/>
    </row>
    <row r="11" spans="1:18">
      <c r="J11" s="20"/>
      <c r="M11" s="46"/>
    </row>
    <row r="12" spans="1:18">
      <c r="L12" s="22"/>
      <c r="M12" s="22"/>
    </row>
    <row r="13" spans="1:18">
      <c r="L13" s="22"/>
    </row>
    <row r="14" spans="1:18">
      <c r="L14" s="22"/>
    </row>
    <row r="15" spans="1:18">
      <c r="L15" s="22"/>
    </row>
    <row r="16" spans="1:18">
      <c r="L16" s="22"/>
    </row>
    <row r="17" spans="2:17">
      <c r="L17" s="22"/>
    </row>
    <row r="18" spans="2:17">
      <c r="L18" s="22"/>
    </row>
    <row r="19" spans="2:17">
      <c r="L19" s="22"/>
    </row>
    <row r="20" spans="2:17">
      <c r="L20" s="22"/>
    </row>
    <row r="21" spans="2:17">
      <c r="L21" s="22"/>
    </row>
    <row r="22" spans="2:17">
      <c r="L22" s="22"/>
    </row>
    <row r="23" spans="2:17">
      <c r="L23" s="22"/>
    </row>
    <row r="24" spans="2:17">
      <c r="M24" s="22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7">
      <c r="B28" s="8"/>
      <c r="C28" s="14"/>
      <c r="D28" s="8"/>
      <c r="E28" s="51"/>
      <c r="F28" s="7"/>
      <c r="G28" s="51"/>
      <c r="H28" s="7"/>
      <c r="I28" s="7"/>
      <c r="J28" s="80"/>
      <c r="K28" s="80"/>
      <c r="L28" s="80"/>
      <c r="M28" s="80"/>
      <c r="N28" s="7"/>
    </row>
    <row r="29" spans="2:1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>
      <c r="B30" s="8" t="s">
        <v>25</v>
      </c>
      <c r="C30" s="14"/>
      <c r="D30" s="23" t="s">
        <v>48</v>
      </c>
      <c r="E30" s="7"/>
      <c r="F30" s="51" t="s">
        <v>26</v>
      </c>
      <c r="G30" s="7"/>
      <c r="H30" s="7"/>
      <c r="I30" s="7"/>
      <c r="K30" s="51" t="s">
        <v>27</v>
      </c>
      <c r="L30" s="7"/>
      <c r="M30" s="80" t="s">
        <v>28</v>
      </c>
      <c r="N30" s="80"/>
      <c r="O30" s="80"/>
      <c r="P30" s="7"/>
    </row>
    <row r="31" spans="2:17">
      <c r="B31" s="18" t="s">
        <v>29</v>
      </c>
      <c r="C31" s="19"/>
      <c r="D31" s="43" t="s">
        <v>64</v>
      </c>
      <c r="E31" s="7"/>
      <c r="F31" s="11" t="s">
        <v>30</v>
      </c>
      <c r="G31" s="7"/>
      <c r="H31" s="7"/>
      <c r="I31" s="7"/>
      <c r="K31" s="11" t="s">
        <v>31</v>
      </c>
      <c r="L31" s="17"/>
      <c r="M31" s="79" t="s">
        <v>32</v>
      </c>
      <c r="N31" s="79"/>
      <c r="O31" s="79"/>
      <c r="P31" s="17"/>
    </row>
    <row r="32" spans="2:17">
      <c r="B32" s="50" t="s">
        <v>33</v>
      </c>
      <c r="C32" s="15"/>
      <c r="D32" s="44" t="s">
        <v>34</v>
      </c>
      <c r="E32" s="7"/>
      <c r="F32" s="11" t="s">
        <v>34</v>
      </c>
      <c r="G32" s="7"/>
      <c r="H32" s="7"/>
      <c r="I32" s="7"/>
      <c r="K32" s="11" t="s">
        <v>60</v>
      </c>
      <c r="L32" s="7"/>
      <c r="M32" s="79" t="s">
        <v>36</v>
      </c>
      <c r="N32" s="79"/>
      <c r="O32" s="79"/>
      <c r="P32" s="7"/>
    </row>
    <row r="33" spans="2:17">
      <c r="B33" s="12" t="s">
        <v>37</v>
      </c>
      <c r="C33" s="16"/>
      <c r="D33" s="23" t="s">
        <v>40</v>
      </c>
      <c r="E33" s="7"/>
      <c r="F33" s="12" t="s">
        <v>37</v>
      </c>
      <c r="G33" s="7"/>
      <c r="H33" s="7"/>
      <c r="I33" s="13"/>
      <c r="K33" s="13" t="s">
        <v>37</v>
      </c>
      <c r="L33" s="13"/>
      <c r="M33" s="7"/>
      <c r="O33" s="7"/>
      <c r="P33" s="7"/>
      <c r="Q33" s="7"/>
    </row>
    <row r="40" spans="2:17">
      <c r="B40" s="23"/>
    </row>
    <row r="41" spans="2:17">
      <c r="B41" s="43"/>
    </row>
    <row r="42" spans="2:17">
      <c r="B42" s="43"/>
    </row>
    <row r="43" spans="2:17">
      <c r="B43" s="44"/>
    </row>
  </sheetData>
  <mergeCells count="16">
    <mergeCell ref="M32:O32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J3"/>
    <mergeCell ref="K3:Q3"/>
    <mergeCell ref="A7:R7"/>
    <mergeCell ref="J28:M28"/>
    <mergeCell ref="M30:O30"/>
    <mergeCell ref="M31:O31"/>
  </mergeCells>
  <pageMargins left="0.25" right="0.25" top="0.75" bottom="0.75" header="0.3" footer="0.3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5369-4F5F-4FDB-B07B-ED832CFA5D33}">
  <sheetPr>
    <pageSetUpPr fitToPage="1"/>
  </sheetPr>
  <dimension ref="A1:R33"/>
  <sheetViews>
    <sheetView topLeftCell="A19" zoomScaleNormal="100" workbookViewId="0">
      <selection sqref="A1:R34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11.898437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2.3984375" customWidth="1"/>
  </cols>
  <sheetData>
    <row r="1" spans="1:18" ht="34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9.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45965</v>
      </c>
      <c r="L3" s="77"/>
      <c r="M3" s="77"/>
      <c r="N3" s="77"/>
      <c r="O3" s="77"/>
      <c r="P3" s="77"/>
      <c r="Q3" s="78"/>
    </row>
    <row r="4" spans="1:18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</row>
    <row r="5" spans="1:18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45977</v>
      </c>
      <c r="H5" s="25">
        <v>14542</v>
      </c>
      <c r="I5" s="30">
        <v>15</v>
      </c>
      <c r="J5" s="25">
        <f>I5*H5</f>
        <v>218130</v>
      </c>
      <c r="K5" s="25">
        <v>4260</v>
      </c>
      <c r="L5" s="25"/>
      <c r="M5" s="49">
        <f>K5+J5</f>
        <v>222390</v>
      </c>
      <c r="N5" s="26">
        <v>45998</v>
      </c>
      <c r="O5" s="26">
        <v>46016</v>
      </c>
      <c r="P5" s="25">
        <v>250095</v>
      </c>
      <c r="Q5" s="5"/>
      <c r="R5" s="6"/>
    </row>
    <row r="6" spans="1:18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45977</v>
      </c>
      <c r="H6" s="28">
        <v>34960</v>
      </c>
      <c r="I6" s="27">
        <v>15.08</v>
      </c>
      <c r="J6" s="25">
        <v>527196</v>
      </c>
      <c r="K6" s="28">
        <v>13500</v>
      </c>
      <c r="L6" s="47">
        <v>27034</v>
      </c>
      <c r="M6" s="52">
        <f>J6+K6+L6</f>
        <v>567730</v>
      </c>
      <c r="N6" s="48">
        <v>45965</v>
      </c>
      <c r="O6" s="26">
        <v>45986</v>
      </c>
      <c r="P6" s="52">
        <v>620933</v>
      </c>
      <c r="Q6" s="21"/>
      <c r="R6" s="6"/>
    </row>
    <row r="7" spans="1:18">
      <c r="A7" s="81" t="s">
        <v>65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9" spans="1:18">
      <c r="E9" s="20"/>
      <c r="M9" s="22"/>
    </row>
    <row r="10" spans="1:18">
      <c r="E10" s="20"/>
      <c r="M10" s="22"/>
    </row>
    <row r="11" spans="1:18">
      <c r="J11" s="20"/>
      <c r="M11" s="46"/>
    </row>
    <row r="12" spans="1:18">
      <c r="L12" s="22"/>
      <c r="M12" s="22"/>
    </row>
    <row r="13" spans="1:18">
      <c r="L13" s="22"/>
    </row>
    <row r="14" spans="1:18">
      <c r="L14" s="22"/>
    </row>
    <row r="15" spans="1:18">
      <c r="L15" s="22"/>
    </row>
    <row r="16" spans="1:18">
      <c r="L16" s="22"/>
    </row>
    <row r="17" spans="2:17">
      <c r="L17" s="22"/>
    </row>
    <row r="18" spans="2:17">
      <c r="L18" s="22"/>
    </row>
    <row r="19" spans="2:17">
      <c r="L19" s="22"/>
    </row>
    <row r="20" spans="2:17">
      <c r="L20" s="22"/>
    </row>
    <row r="21" spans="2:17">
      <c r="L21" s="22"/>
    </row>
    <row r="22" spans="2:17">
      <c r="L22" s="22"/>
    </row>
    <row r="23" spans="2:17">
      <c r="L23" s="22"/>
    </row>
    <row r="24" spans="2:17">
      <c r="M24" s="22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7">
      <c r="B28" s="8"/>
      <c r="C28" s="14"/>
      <c r="D28" s="8"/>
      <c r="E28" s="54"/>
      <c r="F28" s="7"/>
      <c r="G28" s="54"/>
      <c r="H28" s="7"/>
      <c r="I28" s="7"/>
      <c r="J28" s="80"/>
      <c r="K28" s="80"/>
      <c r="L28" s="80"/>
      <c r="M28" s="80"/>
      <c r="N28" s="7"/>
    </row>
    <row r="29" spans="2:1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P29" s="7"/>
      <c r="Q29" s="7"/>
    </row>
    <row r="30" spans="2:17">
      <c r="B30" s="8" t="s">
        <v>25</v>
      </c>
      <c r="C30" s="14"/>
      <c r="D30" s="7"/>
      <c r="E30" s="54" t="s">
        <v>26</v>
      </c>
      <c r="F30" s="7"/>
      <c r="G30" s="7"/>
      <c r="H30" s="54" t="s">
        <v>27</v>
      </c>
      <c r="K30" s="7"/>
      <c r="L30" s="54" t="s">
        <v>28</v>
      </c>
      <c r="M30" s="54"/>
      <c r="N30" s="54"/>
      <c r="P30" s="7"/>
    </row>
    <row r="31" spans="2:17">
      <c r="B31" s="18" t="s">
        <v>29</v>
      </c>
      <c r="C31" s="19"/>
      <c r="D31" s="7"/>
      <c r="E31" s="11" t="s">
        <v>30</v>
      </c>
      <c r="F31" s="7"/>
      <c r="G31" s="7"/>
      <c r="H31" s="11" t="s">
        <v>31</v>
      </c>
      <c r="K31" s="17"/>
      <c r="L31" s="53" t="s">
        <v>32</v>
      </c>
      <c r="M31" s="53"/>
      <c r="N31" s="53"/>
      <c r="P31" s="17"/>
    </row>
    <row r="32" spans="2:17">
      <c r="B32" s="53" t="s">
        <v>33</v>
      </c>
      <c r="C32" s="15"/>
      <c r="D32" s="7"/>
      <c r="E32" s="11" t="s">
        <v>34</v>
      </c>
      <c r="F32" s="7"/>
      <c r="G32" s="7"/>
      <c r="H32" s="11" t="s">
        <v>60</v>
      </c>
      <c r="K32" s="7"/>
      <c r="L32" s="53" t="s">
        <v>36</v>
      </c>
      <c r="M32" s="53"/>
      <c r="N32" s="53"/>
      <c r="P32" s="7"/>
    </row>
    <row r="33" spans="2:17">
      <c r="B33" s="12" t="s">
        <v>37</v>
      </c>
      <c r="C33" s="16"/>
      <c r="D33" s="7"/>
      <c r="E33" s="12" t="s">
        <v>37</v>
      </c>
      <c r="F33" s="7"/>
      <c r="G33" s="7"/>
      <c r="H33" s="13" t="s">
        <v>37</v>
      </c>
      <c r="K33" s="13"/>
      <c r="L33" s="7"/>
      <c r="N33" s="7"/>
      <c r="P33" s="7"/>
      <c r="Q33" s="7"/>
    </row>
  </sheetData>
  <mergeCells count="13">
    <mergeCell ref="K3:Q3"/>
    <mergeCell ref="A7:R7"/>
    <mergeCell ref="J28:M28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J3"/>
  </mergeCells>
  <pageMargins left="0.25" right="0.25" top="0.75" bottom="0.75" header="0.3" footer="0.3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BF95-4458-4577-A31D-B6093535EFDA}">
  <sheetPr>
    <pageSetUpPr fitToPage="1"/>
  </sheetPr>
  <dimension ref="A1:R33"/>
  <sheetViews>
    <sheetView topLeftCell="B1" workbookViewId="0">
      <selection sqref="A1:R34"/>
    </sheetView>
  </sheetViews>
  <sheetFormatPr defaultRowHeight="13"/>
  <cols>
    <col min="1" max="1" width="5.09765625" customWidth="1"/>
    <col min="2" max="2" width="31.296875" customWidth="1"/>
    <col min="3" max="3" width="16.69921875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11.898437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2.3984375" customWidth="1"/>
  </cols>
  <sheetData>
    <row r="1" spans="1:18" ht="40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32.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46063</v>
      </c>
      <c r="L3" s="77"/>
      <c r="M3" s="77"/>
      <c r="N3" s="77"/>
      <c r="O3" s="77"/>
      <c r="P3" s="77"/>
      <c r="Q3" s="78"/>
    </row>
    <row r="4" spans="1:18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</row>
    <row r="5" spans="1:18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46038</v>
      </c>
      <c r="H5" s="25">
        <v>15247</v>
      </c>
      <c r="I5" s="30">
        <v>15</v>
      </c>
      <c r="J5" s="25">
        <f>I5*H5</f>
        <v>228705</v>
      </c>
      <c r="K5" s="25">
        <v>4940</v>
      </c>
      <c r="L5" s="25"/>
      <c r="M5" s="49">
        <f>K5+J5</f>
        <v>233645</v>
      </c>
      <c r="N5" s="26">
        <v>46061</v>
      </c>
      <c r="O5" s="26">
        <v>46073</v>
      </c>
      <c r="P5" s="25">
        <v>228430</v>
      </c>
      <c r="Q5" s="5"/>
      <c r="R5" s="6"/>
    </row>
    <row r="6" spans="1:18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46038</v>
      </c>
      <c r="H6" s="28">
        <v>33600</v>
      </c>
      <c r="I6" s="27">
        <v>15.08</v>
      </c>
      <c r="J6" s="25">
        <f>I6*H6</f>
        <v>506688</v>
      </c>
      <c r="K6" s="28">
        <v>13500</v>
      </c>
      <c r="L6" s="47">
        <v>26009</v>
      </c>
      <c r="M6" s="52">
        <f>J6+K6+L6</f>
        <v>546197</v>
      </c>
      <c r="N6" s="48">
        <v>46061</v>
      </c>
      <c r="O6" s="26">
        <v>46073</v>
      </c>
      <c r="P6" s="57">
        <v>528462.4</v>
      </c>
      <c r="Q6" s="21"/>
      <c r="R6" s="6"/>
    </row>
    <row r="7" spans="1:18">
      <c r="A7" s="81" t="s">
        <v>66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9" spans="1:18">
      <c r="E9" s="20"/>
      <c r="M9" s="22"/>
    </row>
    <row r="10" spans="1:18">
      <c r="E10" s="20"/>
      <c r="M10" s="22"/>
    </row>
    <row r="11" spans="1:18">
      <c r="J11" s="20"/>
      <c r="M11" s="46"/>
    </row>
    <row r="12" spans="1:18">
      <c r="L12" s="22"/>
      <c r="M12" s="22"/>
    </row>
    <row r="13" spans="1:18">
      <c r="L13" s="22"/>
    </row>
    <row r="14" spans="1:18">
      <c r="L14" s="22"/>
    </row>
    <row r="15" spans="1:18">
      <c r="L15" s="22"/>
    </row>
    <row r="16" spans="1:18">
      <c r="L16" s="22"/>
    </row>
    <row r="17" spans="2:17">
      <c r="L17" s="22"/>
    </row>
    <row r="18" spans="2:17">
      <c r="L18" s="22"/>
    </row>
    <row r="19" spans="2:17">
      <c r="L19" s="22"/>
    </row>
    <row r="20" spans="2:17">
      <c r="L20" s="22"/>
    </row>
    <row r="21" spans="2:17">
      <c r="L21" s="22"/>
    </row>
    <row r="22" spans="2:17">
      <c r="L22" s="22"/>
    </row>
    <row r="23" spans="2:17">
      <c r="L23" s="22"/>
    </row>
    <row r="24" spans="2:17">
      <c r="M24" s="22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7">
      <c r="B28" s="8"/>
      <c r="C28" s="14"/>
      <c r="D28" s="8"/>
      <c r="E28" s="56"/>
      <c r="F28" s="7"/>
      <c r="G28" s="56"/>
      <c r="H28" s="7"/>
      <c r="I28" s="7"/>
      <c r="J28" s="80"/>
      <c r="K28" s="80"/>
      <c r="L28" s="80"/>
      <c r="M28" s="80"/>
      <c r="N28" s="7"/>
    </row>
    <row r="29" spans="2:1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P29" s="7"/>
      <c r="Q29" s="7"/>
    </row>
    <row r="30" spans="2:17">
      <c r="B30" s="8" t="s">
        <v>25</v>
      </c>
      <c r="C30" s="23" t="s">
        <v>48</v>
      </c>
      <c r="D30" s="7"/>
      <c r="E30" s="56" t="s">
        <v>26</v>
      </c>
      <c r="F30" s="7"/>
      <c r="G30" s="7"/>
      <c r="H30" s="56" t="s">
        <v>27</v>
      </c>
      <c r="K30" s="7"/>
      <c r="L30" s="56" t="s">
        <v>28</v>
      </c>
      <c r="M30" s="56"/>
      <c r="N30" s="56"/>
      <c r="P30" s="7"/>
    </row>
    <row r="31" spans="2:17">
      <c r="B31" s="18" t="s">
        <v>29</v>
      </c>
      <c r="C31" s="43" t="s">
        <v>38</v>
      </c>
      <c r="D31" s="7"/>
      <c r="E31" s="11" t="s">
        <v>30</v>
      </c>
      <c r="F31" s="7"/>
      <c r="G31" s="7"/>
      <c r="H31" s="11" t="s">
        <v>31</v>
      </c>
      <c r="K31" s="17"/>
      <c r="L31" s="55" t="s">
        <v>32</v>
      </c>
      <c r="M31" s="55"/>
      <c r="N31" s="55"/>
      <c r="P31" s="17"/>
    </row>
    <row r="32" spans="2:17">
      <c r="B32" s="55" t="s">
        <v>33</v>
      </c>
      <c r="C32" s="43" t="s">
        <v>39</v>
      </c>
      <c r="D32" s="7"/>
      <c r="E32" s="11" t="s">
        <v>34</v>
      </c>
      <c r="F32" s="7"/>
      <c r="G32" s="7"/>
      <c r="H32" s="11" t="s">
        <v>60</v>
      </c>
      <c r="K32" s="7"/>
      <c r="L32" s="55" t="s">
        <v>36</v>
      </c>
      <c r="M32" s="55"/>
      <c r="N32" s="55"/>
      <c r="P32" s="7"/>
    </row>
    <row r="33" spans="2:17">
      <c r="B33" s="12" t="s">
        <v>37</v>
      </c>
      <c r="C33" s="44" t="s">
        <v>40</v>
      </c>
      <c r="D33" s="7"/>
      <c r="E33" s="12" t="s">
        <v>37</v>
      </c>
      <c r="F33" s="7"/>
      <c r="G33" s="7"/>
      <c r="H33" s="13" t="s">
        <v>37</v>
      </c>
      <c r="K33" s="13"/>
      <c r="L33" s="7"/>
      <c r="N33" s="7"/>
      <c r="P33" s="7"/>
      <c r="Q33" s="7"/>
    </row>
  </sheetData>
  <mergeCells count="13">
    <mergeCell ref="K3:Q3"/>
    <mergeCell ref="A7:R7"/>
    <mergeCell ref="J28:M28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J3"/>
  </mergeCells>
  <pageMargins left="0.25" right="0.25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1B7D-659B-464B-869F-DFEB4E1650F7}">
  <sheetPr>
    <pageSetUpPr fitToPage="1"/>
  </sheetPr>
  <dimension ref="A1:R33"/>
  <sheetViews>
    <sheetView workbookViewId="0">
      <selection sqref="A1:R33"/>
    </sheetView>
  </sheetViews>
  <sheetFormatPr defaultRowHeight="13"/>
  <cols>
    <col min="1" max="1" width="5.09765625" customWidth="1"/>
    <col min="2" max="2" width="31.296875" customWidth="1"/>
    <col min="3" max="3" width="16.69921875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11.898437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2.3984375" customWidth="1"/>
  </cols>
  <sheetData>
    <row r="1" spans="1:18" ht="49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7.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46084</v>
      </c>
      <c r="L3" s="77"/>
      <c r="M3" s="77"/>
      <c r="N3" s="77"/>
      <c r="O3" s="77"/>
      <c r="P3" s="77"/>
      <c r="Q3" s="78"/>
    </row>
    <row r="4" spans="1:18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</row>
    <row r="5" spans="1:18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46069</v>
      </c>
      <c r="H5" s="25">
        <v>14821</v>
      </c>
      <c r="I5" s="30">
        <v>15</v>
      </c>
      <c r="J5" s="25">
        <f>I5*H5</f>
        <v>222315</v>
      </c>
      <c r="K5" s="25">
        <v>4460</v>
      </c>
      <c r="L5" s="25"/>
      <c r="M5" s="49">
        <f>K5+J5</f>
        <v>226775</v>
      </c>
      <c r="N5" s="26">
        <v>46084</v>
      </c>
      <c r="O5" s="26">
        <v>46101</v>
      </c>
      <c r="P5" s="25">
        <v>233645</v>
      </c>
      <c r="Q5" s="5"/>
      <c r="R5" s="6"/>
    </row>
    <row r="6" spans="1:18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46069</v>
      </c>
      <c r="H6" s="28">
        <v>31200</v>
      </c>
      <c r="I6" s="27">
        <v>15.08</v>
      </c>
      <c r="J6" s="25">
        <f>I6*H6</f>
        <v>470496</v>
      </c>
      <c r="K6" s="28">
        <v>13500</v>
      </c>
      <c r="L6" s="62">
        <f>5%*(J6+K6)</f>
        <v>24199.800000000003</v>
      </c>
      <c r="M6" s="52">
        <f>J6+K6+L6</f>
        <v>508195.8</v>
      </c>
      <c r="N6" s="48">
        <v>46061</v>
      </c>
      <c r="O6" s="26">
        <v>46073</v>
      </c>
      <c r="P6" s="57">
        <v>546197</v>
      </c>
      <c r="Q6" s="21"/>
      <c r="R6" s="6"/>
    </row>
    <row r="7" spans="1:18">
      <c r="A7" s="81" t="s">
        <v>67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9" spans="1:18">
      <c r="E9" s="20"/>
      <c r="M9" s="22"/>
    </row>
    <row r="10" spans="1:18">
      <c r="E10" s="20"/>
      <c r="M10" s="22"/>
    </row>
    <row r="11" spans="1:18">
      <c r="J11" s="20"/>
      <c r="M11" s="46"/>
    </row>
    <row r="12" spans="1:18">
      <c r="L12" s="22"/>
      <c r="M12" s="22"/>
    </row>
    <row r="13" spans="1:18">
      <c r="L13" s="22"/>
    </row>
    <row r="14" spans="1:18">
      <c r="L14" s="22"/>
    </row>
    <row r="15" spans="1:18">
      <c r="L15" s="22"/>
    </row>
    <row r="16" spans="1:18">
      <c r="L16" s="22"/>
    </row>
    <row r="17" spans="2:17">
      <c r="L17" s="22"/>
    </row>
    <row r="18" spans="2:17">
      <c r="L18" s="22"/>
    </row>
    <row r="19" spans="2:17">
      <c r="L19" s="22"/>
    </row>
    <row r="20" spans="2:17">
      <c r="L20" s="22"/>
    </row>
    <row r="21" spans="2:17">
      <c r="L21" s="22"/>
    </row>
    <row r="22" spans="2:17">
      <c r="L22" s="22"/>
    </row>
    <row r="23" spans="2:17">
      <c r="L23" s="22"/>
    </row>
    <row r="24" spans="2:17">
      <c r="M24" s="22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7">
      <c r="B28" s="8"/>
      <c r="C28" s="14"/>
      <c r="D28" s="8"/>
      <c r="E28" s="59"/>
      <c r="F28" s="7"/>
      <c r="G28" s="59"/>
      <c r="H28" s="7"/>
      <c r="I28" s="7"/>
      <c r="J28" s="80"/>
      <c r="K28" s="80"/>
      <c r="L28" s="80"/>
      <c r="M28" s="80"/>
      <c r="N28" s="7"/>
    </row>
    <row r="29" spans="2:1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P29" s="7"/>
      <c r="Q29" s="7"/>
    </row>
    <row r="30" spans="2:17">
      <c r="B30" s="8" t="s">
        <v>25</v>
      </c>
      <c r="C30" s="23" t="s">
        <v>48</v>
      </c>
      <c r="D30" s="7"/>
      <c r="E30" s="59" t="s">
        <v>26</v>
      </c>
      <c r="F30" s="7"/>
      <c r="G30" s="7"/>
      <c r="H30" s="59" t="s">
        <v>27</v>
      </c>
      <c r="K30" s="7"/>
      <c r="L30" s="59" t="s">
        <v>28</v>
      </c>
      <c r="M30" s="59"/>
      <c r="N30" s="59"/>
      <c r="P30" s="7"/>
    </row>
    <row r="31" spans="2:17">
      <c r="B31" s="18" t="s">
        <v>29</v>
      </c>
      <c r="C31" s="43" t="s">
        <v>38</v>
      </c>
      <c r="D31" s="7"/>
      <c r="E31" s="11" t="s">
        <v>30</v>
      </c>
      <c r="F31" s="7"/>
      <c r="G31" s="7"/>
      <c r="H31" s="11" t="s">
        <v>31</v>
      </c>
      <c r="K31" s="17"/>
      <c r="L31" s="58" t="s">
        <v>32</v>
      </c>
      <c r="M31" s="58"/>
      <c r="N31" s="58"/>
      <c r="P31" s="17"/>
    </row>
    <row r="32" spans="2:17">
      <c r="B32" s="58" t="s">
        <v>33</v>
      </c>
      <c r="C32" s="43" t="s">
        <v>39</v>
      </c>
      <c r="D32" s="7"/>
      <c r="E32" s="11" t="s">
        <v>34</v>
      </c>
      <c r="F32" s="7"/>
      <c r="G32" s="7"/>
      <c r="H32" s="11" t="s">
        <v>60</v>
      </c>
      <c r="K32" s="7"/>
      <c r="L32" s="58" t="s">
        <v>36</v>
      </c>
      <c r="M32" s="58"/>
      <c r="N32" s="58"/>
      <c r="P32" s="7"/>
    </row>
    <row r="33" spans="2:17">
      <c r="B33" s="12" t="s">
        <v>37</v>
      </c>
      <c r="C33" s="44" t="s">
        <v>40</v>
      </c>
      <c r="D33" s="7"/>
      <c r="E33" s="12" t="s">
        <v>37</v>
      </c>
      <c r="F33" s="7"/>
      <c r="G33" s="7"/>
      <c r="H33" s="13" t="s">
        <v>37</v>
      </c>
      <c r="K33" s="13"/>
      <c r="L33" s="7"/>
      <c r="N33" s="7"/>
      <c r="P33" s="7"/>
      <c r="Q33" s="7"/>
    </row>
  </sheetData>
  <mergeCells count="13">
    <mergeCell ref="K3:Q3"/>
    <mergeCell ref="A7:R7"/>
    <mergeCell ref="J28:M28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J3"/>
  </mergeCells>
  <pageMargins left="0.25" right="0.25" top="0.75" bottom="0.75" header="0.3" footer="0.3"/>
  <pageSetup paperSize="9" scale="7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77DA-ACC1-4AAA-8CEE-350471736CC2}">
  <sheetPr>
    <pageSetUpPr fitToPage="1"/>
  </sheetPr>
  <dimension ref="A1:R33"/>
  <sheetViews>
    <sheetView workbookViewId="0">
      <selection activeCell="H6" sqref="H6"/>
    </sheetView>
  </sheetViews>
  <sheetFormatPr defaultRowHeight="13"/>
  <cols>
    <col min="1" max="1" width="5.09765625" customWidth="1"/>
    <col min="2" max="2" width="31.296875" customWidth="1"/>
    <col min="3" max="3" width="16.69921875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11.898437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2.3984375" customWidth="1"/>
  </cols>
  <sheetData>
    <row r="1" spans="1:18" ht="43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39.5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46119</v>
      </c>
      <c r="L3" s="77"/>
      <c r="M3" s="77"/>
      <c r="N3" s="77"/>
      <c r="O3" s="77"/>
      <c r="P3" s="77"/>
      <c r="Q3" s="78"/>
    </row>
    <row r="4" spans="1:18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</row>
    <row r="5" spans="1:18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46097</v>
      </c>
      <c r="H5" s="25">
        <v>16339</v>
      </c>
      <c r="I5" s="30">
        <v>15</v>
      </c>
      <c r="J5" s="25">
        <f>I5*H5</f>
        <v>245085</v>
      </c>
      <c r="K5" s="25">
        <v>5420</v>
      </c>
      <c r="L5" s="25"/>
      <c r="M5" s="49">
        <f>K5+J5</f>
        <v>250505</v>
      </c>
      <c r="N5" s="26">
        <v>46084</v>
      </c>
      <c r="O5" s="26">
        <v>46101</v>
      </c>
      <c r="P5" s="25">
        <v>226775</v>
      </c>
      <c r="Q5" s="5"/>
      <c r="R5" s="6"/>
    </row>
    <row r="6" spans="1:18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46097</v>
      </c>
      <c r="H6" s="28">
        <v>36320</v>
      </c>
      <c r="I6" s="27">
        <v>15.08</v>
      </c>
      <c r="J6" s="25">
        <f>I6*H6</f>
        <v>547705.59999999998</v>
      </c>
      <c r="K6" s="28">
        <v>13500</v>
      </c>
      <c r="L6" s="62">
        <f>5%*(J6+K6)</f>
        <v>28060.28</v>
      </c>
      <c r="M6" s="52">
        <v>589265</v>
      </c>
      <c r="N6" s="48">
        <v>46061</v>
      </c>
      <c r="O6" s="26">
        <v>46073</v>
      </c>
      <c r="P6" s="57">
        <v>508195.8</v>
      </c>
      <c r="Q6" s="21"/>
      <c r="R6" s="6"/>
    </row>
    <row r="7" spans="1:18">
      <c r="A7" s="81" t="s">
        <v>68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9" spans="1:18">
      <c r="E9" s="20"/>
      <c r="M9" s="22"/>
    </row>
    <row r="10" spans="1:18">
      <c r="E10" s="20"/>
      <c r="M10" s="22"/>
    </row>
    <row r="11" spans="1:18">
      <c r="J11" s="20"/>
      <c r="M11" s="46"/>
    </row>
    <row r="12" spans="1:18">
      <c r="L12" s="22"/>
      <c r="M12" s="22"/>
    </row>
    <row r="13" spans="1:18">
      <c r="L13" s="22"/>
    </row>
    <row r="14" spans="1:18">
      <c r="L14" s="22"/>
    </row>
    <row r="15" spans="1:18">
      <c r="L15" s="22"/>
    </row>
    <row r="16" spans="1:18">
      <c r="L16" s="22"/>
    </row>
    <row r="17" spans="2:17">
      <c r="L17" s="22"/>
    </row>
    <row r="18" spans="2:17">
      <c r="L18" s="22"/>
    </row>
    <row r="19" spans="2:17">
      <c r="L19" s="22"/>
    </row>
    <row r="20" spans="2:17">
      <c r="L20" s="22"/>
    </row>
    <row r="21" spans="2:17">
      <c r="L21" s="22"/>
    </row>
    <row r="22" spans="2:17">
      <c r="L22" s="22"/>
    </row>
    <row r="23" spans="2:17">
      <c r="L23" s="22"/>
    </row>
    <row r="24" spans="2:17">
      <c r="M24" s="22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7">
      <c r="B28" s="8"/>
      <c r="C28" s="14"/>
      <c r="D28" s="8"/>
      <c r="E28" s="61"/>
      <c r="F28" s="7"/>
      <c r="G28" s="61"/>
      <c r="H28" s="7"/>
      <c r="I28" s="7"/>
      <c r="J28" s="80"/>
      <c r="K28" s="80"/>
      <c r="L28" s="80"/>
      <c r="M28" s="80"/>
      <c r="N28" s="7"/>
    </row>
    <row r="29" spans="2:1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P29" s="7"/>
      <c r="Q29" s="7"/>
    </row>
    <row r="30" spans="2:17">
      <c r="B30" s="8" t="s">
        <v>25</v>
      </c>
      <c r="C30" s="23" t="s">
        <v>48</v>
      </c>
      <c r="D30" s="7"/>
      <c r="E30" s="61" t="s">
        <v>26</v>
      </c>
      <c r="F30" s="7"/>
      <c r="G30" s="7"/>
      <c r="H30" s="61" t="s">
        <v>27</v>
      </c>
      <c r="K30" s="7"/>
      <c r="L30" s="61" t="s">
        <v>28</v>
      </c>
      <c r="M30" s="61"/>
      <c r="N30" s="61"/>
      <c r="P30" s="7"/>
    </row>
    <row r="31" spans="2:17">
      <c r="B31" s="18" t="s">
        <v>29</v>
      </c>
      <c r="C31" s="43" t="s">
        <v>38</v>
      </c>
      <c r="D31" s="7"/>
      <c r="E31" s="11" t="s">
        <v>30</v>
      </c>
      <c r="F31" s="7"/>
      <c r="G31" s="7"/>
      <c r="H31" s="11" t="s">
        <v>31</v>
      </c>
      <c r="K31" s="17"/>
      <c r="L31" s="60" t="s">
        <v>32</v>
      </c>
      <c r="M31" s="60"/>
      <c r="N31" s="60"/>
      <c r="P31" s="17"/>
    </row>
    <row r="32" spans="2:17">
      <c r="B32" s="60" t="s">
        <v>33</v>
      </c>
      <c r="C32" s="43" t="s">
        <v>39</v>
      </c>
      <c r="D32" s="7"/>
      <c r="E32" s="11" t="s">
        <v>34</v>
      </c>
      <c r="F32" s="7"/>
      <c r="G32" s="7"/>
      <c r="H32" s="11" t="s">
        <v>60</v>
      </c>
      <c r="K32" s="7"/>
      <c r="L32" s="60" t="s">
        <v>36</v>
      </c>
      <c r="M32" s="60"/>
      <c r="N32" s="60"/>
      <c r="P32" s="7"/>
    </row>
    <row r="33" spans="2:17">
      <c r="B33" s="12" t="s">
        <v>37</v>
      </c>
      <c r="C33" s="44" t="s">
        <v>40</v>
      </c>
      <c r="D33" s="7"/>
      <c r="E33" s="12" t="s">
        <v>37</v>
      </c>
      <c r="F33" s="7"/>
      <c r="G33" s="7"/>
      <c r="H33" s="13" t="s">
        <v>37</v>
      </c>
      <c r="K33" s="13"/>
      <c r="L33" s="7"/>
      <c r="N33" s="7"/>
      <c r="P33" s="7"/>
      <c r="Q33" s="7"/>
    </row>
  </sheetData>
  <mergeCells count="13">
    <mergeCell ref="K3:Q3"/>
    <mergeCell ref="A7:R7"/>
    <mergeCell ref="J28:M28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J3"/>
  </mergeCells>
  <pageMargins left="0.25" right="0.25" top="0.75" bottom="0.75" header="0.3" footer="0.3"/>
  <pageSetup paperSize="9" scale="7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2C19-71C8-4EA2-B7C2-B68A6E0E583E}">
  <sheetPr>
    <pageSetUpPr fitToPage="1"/>
  </sheetPr>
  <dimension ref="A1:R33"/>
  <sheetViews>
    <sheetView topLeftCell="A13" workbookViewId="0">
      <selection sqref="A1:R33"/>
    </sheetView>
  </sheetViews>
  <sheetFormatPr defaultRowHeight="13"/>
  <cols>
    <col min="1" max="1" width="5.09765625" customWidth="1"/>
    <col min="2" max="2" width="31.296875" customWidth="1"/>
    <col min="3" max="3" width="16.69921875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11.898437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2.3984375" customWidth="1"/>
  </cols>
  <sheetData>
    <row r="1" spans="1:18" ht="45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7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46146</v>
      </c>
      <c r="L3" s="77"/>
      <c r="M3" s="77"/>
      <c r="N3" s="77"/>
      <c r="O3" s="77"/>
      <c r="P3" s="77"/>
      <c r="Q3" s="78"/>
    </row>
    <row r="4" spans="1:18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</row>
    <row r="5" spans="1:18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46128</v>
      </c>
      <c r="H5" s="25">
        <v>16367</v>
      </c>
      <c r="I5" s="30">
        <v>15</v>
      </c>
      <c r="J5" s="25">
        <f>I5*H5</f>
        <v>245505</v>
      </c>
      <c r="K5" s="25">
        <v>4785</v>
      </c>
      <c r="L5" s="25"/>
      <c r="M5" s="49">
        <f>K5+J5</f>
        <v>250290</v>
      </c>
      <c r="N5" s="26">
        <v>46146</v>
      </c>
      <c r="O5" s="26">
        <v>46162</v>
      </c>
      <c r="P5" s="67">
        <v>250505</v>
      </c>
      <c r="Q5" s="5"/>
      <c r="R5" s="6"/>
    </row>
    <row r="6" spans="1:18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46128</v>
      </c>
      <c r="H6" s="28">
        <v>35680</v>
      </c>
      <c r="I6" s="27">
        <v>15.08</v>
      </c>
      <c r="J6" s="25">
        <f>I6*H6</f>
        <v>538054.40000000002</v>
      </c>
      <c r="K6" s="28">
        <v>13500</v>
      </c>
      <c r="L6" s="62">
        <v>27577</v>
      </c>
      <c r="M6" s="52">
        <f>L6+K6+J6</f>
        <v>579131.4</v>
      </c>
      <c r="N6" s="48">
        <v>46146</v>
      </c>
      <c r="O6" s="26">
        <v>46162</v>
      </c>
      <c r="P6" s="52">
        <v>589265</v>
      </c>
      <c r="Q6" s="21"/>
      <c r="R6" s="6"/>
    </row>
    <row r="7" spans="1:18">
      <c r="A7" s="81" t="s">
        <v>69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18">
      <c r="M8" s="22"/>
    </row>
    <row r="9" spans="1:18">
      <c r="E9" s="20"/>
      <c r="M9" s="22"/>
    </row>
    <row r="10" spans="1:18">
      <c r="E10" s="20"/>
      <c r="M10" s="22"/>
    </row>
    <row r="11" spans="1:18">
      <c r="J11" s="20"/>
      <c r="M11" s="46"/>
    </row>
    <row r="12" spans="1:18">
      <c r="L12" s="22"/>
      <c r="M12" s="22"/>
    </row>
    <row r="13" spans="1:18">
      <c r="L13" s="22"/>
    </row>
    <row r="14" spans="1:18">
      <c r="L14" s="22"/>
    </row>
    <row r="15" spans="1:18">
      <c r="L15" s="22"/>
    </row>
    <row r="16" spans="1:18">
      <c r="L16" s="22"/>
    </row>
    <row r="17" spans="2:17">
      <c r="L17" s="22"/>
    </row>
    <row r="18" spans="2:17">
      <c r="L18" s="22"/>
    </row>
    <row r="19" spans="2:17">
      <c r="L19" s="22"/>
    </row>
    <row r="20" spans="2:17">
      <c r="L20" s="22"/>
    </row>
    <row r="21" spans="2:17">
      <c r="L21" s="22"/>
    </row>
    <row r="22" spans="2:17">
      <c r="L22" s="22"/>
    </row>
    <row r="23" spans="2:17">
      <c r="L23" s="22"/>
    </row>
    <row r="24" spans="2:17">
      <c r="M24" s="22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7">
      <c r="B28" s="8"/>
      <c r="C28" s="14"/>
      <c r="D28" s="8"/>
      <c r="E28" s="64"/>
      <c r="F28" s="7"/>
      <c r="G28" s="64"/>
      <c r="H28" s="7"/>
      <c r="I28" s="7"/>
      <c r="J28" s="80"/>
      <c r="K28" s="80"/>
      <c r="L28" s="80"/>
      <c r="M28" s="80"/>
      <c r="N28" s="7"/>
    </row>
    <row r="29" spans="2:1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P29" s="7"/>
      <c r="Q29" s="7"/>
    </row>
    <row r="30" spans="2:17">
      <c r="B30" s="8" t="s">
        <v>25</v>
      </c>
      <c r="C30" s="23" t="s">
        <v>48</v>
      </c>
      <c r="D30" s="7"/>
      <c r="E30" s="64" t="s">
        <v>26</v>
      </c>
      <c r="F30" s="7"/>
      <c r="G30" s="7"/>
      <c r="H30" s="64" t="s">
        <v>27</v>
      </c>
      <c r="K30" s="7"/>
      <c r="L30" s="64" t="s">
        <v>28</v>
      </c>
      <c r="M30" s="64"/>
      <c r="N30" s="64"/>
      <c r="P30" s="7"/>
    </row>
    <row r="31" spans="2:17">
      <c r="B31" s="18" t="s">
        <v>29</v>
      </c>
      <c r="C31" s="43" t="s">
        <v>38</v>
      </c>
      <c r="D31" s="7"/>
      <c r="E31" s="11" t="s">
        <v>30</v>
      </c>
      <c r="F31" s="7"/>
      <c r="G31" s="7"/>
      <c r="H31" s="11" t="s">
        <v>31</v>
      </c>
      <c r="K31" s="17"/>
      <c r="L31" s="63" t="s">
        <v>32</v>
      </c>
      <c r="M31" s="63"/>
      <c r="N31" s="63"/>
      <c r="P31" s="17"/>
    </row>
    <row r="32" spans="2:17">
      <c r="B32" s="63" t="s">
        <v>33</v>
      </c>
      <c r="C32" s="43" t="s">
        <v>39</v>
      </c>
      <c r="D32" s="7"/>
      <c r="E32" s="11" t="s">
        <v>34</v>
      </c>
      <c r="F32" s="7"/>
      <c r="G32" s="7"/>
      <c r="H32" s="11" t="s">
        <v>60</v>
      </c>
      <c r="K32" s="7"/>
      <c r="L32" s="63" t="s">
        <v>36</v>
      </c>
      <c r="M32" s="63"/>
      <c r="N32" s="63"/>
      <c r="P32" s="7"/>
    </row>
    <row r="33" spans="2:17">
      <c r="B33" s="12" t="s">
        <v>37</v>
      </c>
      <c r="C33" s="44" t="s">
        <v>40</v>
      </c>
      <c r="D33" s="7"/>
      <c r="E33" s="12" t="s">
        <v>37</v>
      </c>
      <c r="F33" s="7"/>
      <c r="G33" s="7"/>
      <c r="H33" s="13" t="s">
        <v>37</v>
      </c>
      <c r="K33" s="13"/>
      <c r="L33" s="7"/>
      <c r="N33" s="7"/>
      <c r="P33" s="7"/>
      <c r="Q33" s="7"/>
    </row>
  </sheetData>
  <mergeCells count="13">
    <mergeCell ref="K3:Q3"/>
    <mergeCell ref="A7:R7"/>
    <mergeCell ref="J28:M28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J3"/>
  </mergeCells>
  <pageMargins left="0.25" right="0.25" top="0.75" bottom="0.75" header="0.3" footer="0.3"/>
  <pageSetup paperSize="9" scale="7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C3A7-E7EF-4E38-8A39-16B28B887DFF}">
  <sheetPr>
    <pageSetUpPr fitToPage="1"/>
  </sheetPr>
  <dimension ref="A1:R33"/>
  <sheetViews>
    <sheetView tabSelected="1" workbookViewId="0">
      <selection sqref="A1:R33"/>
    </sheetView>
  </sheetViews>
  <sheetFormatPr defaultRowHeight="13"/>
  <cols>
    <col min="1" max="1" width="5.09765625" customWidth="1"/>
    <col min="2" max="2" width="31.296875" customWidth="1"/>
    <col min="3" max="3" width="16.69921875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2" width="8.69921875" customWidth="1"/>
    <col min="13" max="13" width="11.8984375" customWidth="1"/>
    <col min="14" max="14" width="8.19921875" customWidth="1"/>
    <col min="15" max="15" width="8" customWidth="1"/>
    <col min="16" max="16" width="9.59765625" customWidth="1"/>
    <col min="17" max="17" width="10.19921875" customWidth="1"/>
    <col min="18" max="18" width="2.3984375" customWidth="1"/>
  </cols>
  <sheetData>
    <row r="1" spans="1:18" ht="45.5" customHeight="1">
      <c r="A1" s="97" t="s">
        <v>73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8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3" t="s">
        <v>8</v>
      </c>
      <c r="I3" s="74"/>
      <c r="J3" s="75"/>
      <c r="K3" s="76">
        <v>46146</v>
      </c>
      <c r="L3" s="77"/>
      <c r="M3" s="77"/>
      <c r="N3" s="77"/>
      <c r="O3" s="77"/>
      <c r="P3" s="77"/>
      <c r="Q3" s="78"/>
    </row>
    <row r="4" spans="1:18" ht="27">
      <c r="A4" s="72"/>
      <c r="B4" s="72"/>
      <c r="C4" s="72"/>
      <c r="D4" s="72"/>
      <c r="E4" s="72"/>
      <c r="F4" s="72"/>
      <c r="G4" s="72"/>
      <c r="H4" s="41" t="s">
        <v>14</v>
      </c>
      <c r="I4" s="41" t="s">
        <v>15</v>
      </c>
      <c r="J4" s="35" t="s">
        <v>16</v>
      </c>
      <c r="K4" s="41" t="s">
        <v>50</v>
      </c>
      <c r="L4" s="41" t="s">
        <v>57</v>
      </c>
      <c r="M4" s="41" t="s">
        <v>17</v>
      </c>
      <c r="N4" s="41" t="s">
        <v>18</v>
      </c>
      <c r="O4" s="41" t="s">
        <v>19</v>
      </c>
      <c r="P4" s="41" t="s">
        <v>20</v>
      </c>
      <c r="Q4" s="41" t="s">
        <v>21</v>
      </c>
    </row>
    <row r="5" spans="1:18" ht="23">
      <c r="A5" s="39">
        <v>1</v>
      </c>
      <c r="B5" s="31" t="s">
        <v>49</v>
      </c>
      <c r="C5" s="32"/>
      <c r="D5" s="31" t="s">
        <v>22</v>
      </c>
      <c r="E5" s="31" t="s">
        <v>22</v>
      </c>
      <c r="F5" s="33" t="s">
        <v>23</v>
      </c>
      <c r="G5" s="34">
        <v>46158</v>
      </c>
      <c r="H5" s="25">
        <v>16151</v>
      </c>
      <c r="I5" s="30">
        <v>15</v>
      </c>
      <c r="J5" s="25">
        <f>I5*H5</f>
        <v>242265</v>
      </c>
      <c r="K5" s="25">
        <v>6160</v>
      </c>
      <c r="L5" s="25"/>
      <c r="M5" s="49">
        <f>K5+J5</f>
        <v>248425</v>
      </c>
      <c r="N5" s="26">
        <v>46180</v>
      </c>
      <c r="O5" s="26">
        <v>46193</v>
      </c>
      <c r="P5" s="67">
        <v>250505</v>
      </c>
      <c r="Q5" s="5"/>
      <c r="R5" s="6"/>
    </row>
    <row r="6" spans="1:18" ht="23">
      <c r="A6" s="40">
        <v>2</v>
      </c>
      <c r="B6" s="38" t="s">
        <v>45</v>
      </c>
      <c r="C6" s="35"/>
      <c r="D6" s="33" t="s">
        <v>46</v>
      </c>
      <c r="E6" s="33" t="s">
        <v>46</v>
      </c>
      <c r="F6" s="33" t="s">
        <v>47</v>
      </c>
      <c r="G6" s="34">
        <v>46158</v>
      </c>
      <c r="H6" s="28">
        <v>35280</v>
      </c>
      <c r="I6" s="27">
        <v>15.08</v>
      </c>
      <c r="J6" s="25">
        <f>I6*H6</f>
        <v>532022.4</v>
      </c>
      <c r="K6" s="28">
        <v>13500</v>
      </c>
      <c r="L6" s="62">
        <v>27276</v>
      </c>
      <c r="M6" s="96">
        <f>L6+K6+J6</f>
        <v>572798.4</v>
      </c>
      <c r="N6" s="48">
        <v>46180</v>
      </c>
      <c r="O6" s="26">
        <v>46193</v>
      </c>
      <c r="P6" s="52">
        <v>589265</v>
      </c>
      <c r="Q6" s="21"/>
      <c r="R6" s="6"/>
    </row>
    <row r="7" spans="1:18">
      <c r="A7" s="81" t="s">
        <v>72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18">
      <c r="M8" s="22"/>
    </row>
    <row r="9" spans="1:18">
      <c r="E9" s="20"/>
      <c r="M9" s="22"/>
    </row>
    <row r="10" spans="1:18">
      <c r="E10" s="20"/>
      <c r="M10" s="22"/>
    </row>
    <row r="11" spans="1:18">
      <c r="J11" s="20"/>
      <c r="M11" s="46"/>
    </row>
    <row r="12" spans="1:18">
      <c r="L12" s="22"/>
      <c r="M12" s="22"/>
    </row>
    <row r="13" spans="1:18">
      <c r="L13" s="22"/>
    </row>
    <row r="14" spans="1:18">
      <c r="L14" s="22"/>
    </row>
    <row r="15" spans="1:18">
      <c r="L15" s="22"/>
    </row>
    <row r="16" spans="1:18">
      <c r="L16" s="22"/>
    </row>
    <row r="17" spans="2:17">
      <c r="L17" s="22"/>
    </row>
    <row r="18" spans="2:17">
      <c r="L18" s="22"/>
    </row>
    <row r="19" spans="2:17">
      <c r="L19" s="22"/>
    </row>
    <row r="20" spans="2:17">
      <c r="L20" s="22"/>
    </row>
    <row r="21" spans="2:17">
      <c r="L21" s="22"/>
    </row>
    <row r="22" spans="2:17">
      <c r="L22" s="22"/>
    </row>
    <row r="23" spans="2:17">
      <c r="L23" s="22"/>
    </row>
    <row r="24" spans="2:17">
      <c r="M24" s="22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7">
      <c r="B28" s="8"/>
      <c r="C28" s="14"/>
      <c r="D28" s="8"/>
      <c r="E28" s="66"/>
      <c r="F28" s="7"/>
      <c r="G28" s="66"/>
      <c r="H28" s="7"/>
      <c r="I28" s="7"/>
      <c r="J28" s="80"/>
      <c r="K28" s="80"/>
      <c r="L28" s="80"/>
      <c r="M28" s="80"/>
      <c r="N28" s="7"/>
    </row>
    <row r="29" spans="2:1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P29" s="7"/>
      <c r="Q29" s="7"/>
    </row>
    <row r="30" spans="2:17">
      <c r="B30" s="8" t="s">
        <v>25</v>
      </c>
      <c r="C30" s="23" t="s">
        <v>48</v>
      </c>
      <c r="D30" s="7"/>
      <c r="E30" s="66" t="s">
        <v>26</v>
      </c>
      <c r="F30" s="7"/>
      <c r="G30" s="7"/>
      <c r="H30" s="66" t="s">
        <v>27</v>
      </c>
      <c r="K30" s="7"/>
      <c r="L30" s="66" t="s">
        <v>28</v>
      </c>
      <c r="M30" s="66"/>
      <c r="N30" s="66"/>
      <c r="P30" s="7"/>
    </row>
    <row r="31" spans="2:17">
      <c r="B31" s="18" t="s">
        <v>29</v>
      </c>
      <c r="C31" s="43" t="s">
        <v>38</v>
      </c>
      <c r="D31" s="7"/>
      <c r="E31" s="11" t="s">
        <v>30</v>
      </c>
      <c r="F31" s="7"/>
      <c r="G31" s="7"/>
      <c r="H31" s="11" t="s">
        <v>31</v>
      </c>
      <c r="K31" s="17"/>
      <c r="L31" s="65" t="s">
        <v>32</v>
      </c>
      <c r="M31" s="65"/>
      <c r="N31" s="65"/>
      <c r="P31" s="17"/>
    </row>
    <row r="32" spans="2:17">
      <c r="B32" s="65" t="s">
        <v>33</v>
      </c>
      <c r="C32" s="43" t="s">
        <v>39</v>
      </c>
      <c r="D32" s="7"/>
      <c r="E32" s="11" t="s">
        <v>34</v>
      </c>
      <c r="F32" s="7"/>
      <c r="G32" s="7"/>
      <c r="H32" s="11" t="s">
        <v>60</v>
      </c>
      <c r="K32" s="7"/>
      <c r="L32" s="65" t="s">
        <v>36</v>
      </c>
      <c r="M32" s="65"/>
      <c r="N32" s="65"/>
      <c r="P32" s="7"/>
    </row>
    <row r="33" spans="2:17">
      <c r="B33" s="12" t="s">
        <v>37</v>
      </c>
      <c r="C33" s="44" t="s">
        <v>40</v>
      </c>
      <c r="D33" s="7"/>
      <c r="E33" s="12" t="s">
        <v>37</v>
      </c>
      <c r="F33" s="7"/>
      <c r="G33" s="7"/>
      <c r="H33" s="13" t="s">
        <v>37</v>
      </c>
      <c r="K33" s="13"/>
      <c r="L33" s="7"/>
      <c r="N33" s="7"/>
      <c r="P33" s="7"/>
      <c r="Q33" s="7"/>
    </row>
  </sheetData>
  <mergeCells count="13">
    <mergeCell ref="K3:Q3"/>
    <mergeCell ref="A7:R7"/>
    <mergeCell ref="J28:M28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J3"/>
  </mergeCells>
  <pageMargins left="0.25" right="0.25" top="0.75" bottom="0.75" header="0.3" footer="0.3"/>
  <pageSetup paperSize="9" scale="7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ED5C-08F3-4650-885D-4A06086B6F74}">
  <sheetPr>
    <pageSetUpPr fitToPage="1"/>
  </sheetPr>
  <dimension ref="A1:V30"/>
  <sheetViews>
    <sheetView workbookViewId="0">
      <selection sqref="A1:V30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8.69921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0.19921875" customWidth="1"/>
    <col min="17" max="17" width="11.296875" customWidth="1"/>
    <col min="18" max="20" width="11.59765625" customWidth="1"/>
    <col min="21" max="21" width="13.59765625" customWidth="1"/>
    <col min="22" max="22" width="2.3984375" customWidth="1"/>
  </cols>
  <sheetData>
    <row r="1" spans="1:22" ht="48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2" ht="27" customHeight="1">
      <c r="A2" s="69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spans="1:22">
      <c r="A3" s="71" t="s">
        <v>1</v>
      </c>
      <c r="B3" s="84" t="s">
        <v>2</v>
      </c>
      <c r="C3" s="71" t="s">
        <v>3</v>
      </c>
      <c r="D3" s="71" t="s">
        <v>4</v>
      </c>
      <c r="E3" s="86" t="s">
        <v>5</v>
      </c>
      <c r="F3" s="86" t="s">
        <v>55</v>
      </c>
      <c r="G3" s="88" t="s">
        <v>7</v>
      </c>
      <c r="H3" s="90" t="s">
        <v>8</v>
      </c>
      <c r="I3" s="91"/>
      <c r="J3" s="92"/>
      <c r="K3" s="93">
        <v>46146</v>
      </c>
      <c r="L3" s="94"/>
      <c r="M3" s="94"/>
      <c r="N3" s="94"/>
      <c r="O3" s="94"/>
      <c r="P3" s="95"/>
      <c r="Q3" s="88" t="s">
        <v>9</v>
      </c>
      <c r="R3" s="71" t="s">
        <v>10</v>
      </c>
      <c r="S3" s="82" t="s">
        <v>11</v>
      </c>
      <c r="T3" s="71" t="s">
        <v>12</v>
      </c>
      <c r="U3" s="82" t="s">
        <v>13</v>
      </c>
    </row>
    <row r="4" spans="1:22" ht="27">
      <c r="A4" s="72"/>
      <c r="B4" s="85"/>
      <c r="C4" s="72"/>
      <c r="D4" s="72"/>
      <c r="E4" s="87"/>
      <c r="F4" s="87"/>
      <c r="G4" s="89"/>
      <c r="H4" s="2" t="s">
        <v>14</v>
      </c>
      <c r="I4" s="3" t="s">
        <v>15</v>
      </c>
      <c r="J4" s="4" t="s">
        <v>16</v>
      </c>
      <c r="K4" s="2" t="s">
        <v>53</v>
      </c>
      <c r="L4" s="2" t="s">
        <v>17</v>
      </c>
      <c r="M4" s="3" t="s">
        <v>18</v>
      </c>
      <c r="N4" s="1" t="s">
        <v>19</v>
      </c>
      <c r="O4" s="2" t="s">
        <v>20</v>
      </c>
      <c r="P4" s="3" t="s">
        <v>21</v>
      </c>
      <c r="Q4" s="89"/>
      <c r="R4" s="72"/>
      <c r="S4" s="83"/>
      <c r="T4" s="72"/>
      <c r="U4" s="83"/>
    </row>
    <row r="5" spans="1:22" ht="34.5">
      <c r="A5" s="25">
        <v>1</v>
      </c>
      <c r="B5" s="31" t="s">
        <v>54</v>
      </c>
      <c r="C5" s="32" t="s">
        <v>51</v>
      </c>
      <c r="D5" s="31" t="s">
        <v>52</v>
      </c>
      <c r="E5" s="31" t="s">
        <v>52</v>
      </c>
      <c r="F5" s="31" t="s">
        <v>56</v>
      </c>
      <c r="G5" s="34" t="s">
        <v>70</v>
      </c>
      <c r="H5" s="25">
        <v>880</v>
      </c>
      <c r="I5" s="30">
        <v>13.01</v>
      </c>
      <c r="J5" s="25">
        <f>H5*I5</f>
        <v>11448.8</v>
      </c>
      <c r="K5" s="25">
        <f>J5*5%</f>
        <v>572.43999999999994</v>
      </c>
      <c r="L5" s="25">
        <v>12020</v>
      </c>
      <c r="M5" s="26">
        <v>45769</v>
      </c>
      <c r="N5" s="26">
        <v>46162</v>
      </c>
      <c r="O5" s="25">
        <v>10368</v>
      </c>
      <c r="P5" s="5"/>
      <c r="Q5" s="5"/>
      <c r="R5" s="5"/>
      <c r="S5" s="5"/>
      <c r="T5" s="5"/>
      <c r="U5" s="5"/>
      <c r="V5" s="6"/>
    </row>
    <row r="6" spans="1:22">
      <c r="A6" s="81" t="s">
        <v>71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</row>
    <row r="8" spans="1:22">
      <c r="E8" s="20"/>
    </row>
    <row r="9" spans="1:22">
      <c r="E9" s="20"/>
      <c r="L9" s="22"/>
    </row>
    <row r="21" spans="2:19">
      <c r="L21" s="22"/>
    </row>
    <row r="24" spans="2:19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2:19">
      <c r="B25" s="8"/>
      <c r="C25" s="14"/>
      <c r="D25" s="8"/>
      <c r="E25" s="9"/>
      <c r="F25" s="7"/>
      <c r="G25" s="9"/>
      <c r="H25" s="7"/>
      <c r="I25" s="7"/>
      <c r="J25" s="80"/>
      <c r="K25" s="80"/>
      <c r="L25" s="80"/>
      <c r="M25" s="7"/>
    </row>
    <row r="26" spans="2:19">
      <c r="B26" s="7"/>
      <c r="C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2:19">
      <c r="B27" s="8" t="s">
        <v>25</v>
      </c>
      <c r="C27" s="14"/>
      <c r="D27" s="23" t="s">
        <v>48</v>
      </c>
      <c r="E27" s="7"/>
      <c r="F27" s="9" t="s">
        <v>26</v>
      </c>
      <c r="G27" s="7"/>
      <c r="H27" s="7"/>
      <c r="I27" s="7"/>
      <c r="K27" s="7"/>
      <c r="L27" s="7"/>
      <c r="M27" s="9" t="s">
        <v>27</v>
      </c>
      <c r="N27" s="7"/>
      <c r="O27" s="7"/>
      <c r="P27" s="80" t="s">
        <v>28</v>
      </c>
      <c r="Q27" s="80"/>
      <c r="R27" s="80"/>
      <c r="S27" s="7"/>
    </row>
    <row r="28" spans="2:19">
      <c r="B28" s="18" t="s">
        <v>29</v>
      </c>
      <c r="C28" s="19"/>
      <c r="D28" s="43" t="s">
        <v>38</v>
      </c>
      <c r="E28" s="7"/>
      <c r="F28" s="11" t="s">
        <v>30</v>
      </c>
      <c r="G28" s="7"/>
      <c r="H28" s="7"/>
      <c r="I28" s="7"/>
      <c r="K28" s="17"/>
      <c r="L28" s="17"/>
      <c r="M28" s="11" t="s">
        <v>31</v>
      </c>
      <c r="N28" s="17"/>
      <c r="O28" s="17"/>
      <c r="P28" s="79" t="s">
        <v>32</v>
      </c>
      <c r="Q28" s="79"/>
      <c r="R28" s="79"/>
      <c r="S28" s="7"/>
    </row>
    <row r="29" spans="2:19">
      <c r="B29" s="10" t="s">
        <v>33</v>
      </c>
      <c r="C29" s="15"/>
      <c r="D29" s="43" t="s">
        <v>39</v>
      </c>
      <c r="E29" s="7"/>
      <c r="F29" s="11" t="s">
        <v>34</v>
      </c>
      <c r="G29" s="7"/>
      <c r="H29" s="7"/>
      <c r="I29" s="7"/>
      <c r="K29" s="7"/>
      <c r="L29" s="7"/>
      <c r="M29" s="11" t="s">
        <v>35</v>
      </c>
      <c r="N29" s="7"/>
      <c r="O29" s="7"/>
      <c r="P29" s="79" t="s">
        <v>36</v>
      </c>
      <c r="Q29" s="79"/>
      <c r="R29" s="79"/>
      <c r="S29" s="7"/>
    </row>
    <row r="30" spans="2:19">
      <c r="B30" s="12" t="s">
        <v>37</v>
      </c>
      <c r="C30" s="16"/>
      <c r="D30" s="44" t="s">
        <v>40</v>
      </c>
      <c r="E30" s="7"/>
      <c r="F30" s="12" t="s">
        <v>37</v>
      </c>
      <c r="G30" s="7"/>
      <c r="H30" s="7"/>
      <c r="I30" s="13"/>
      <c r="K30" s="13"/>
      <c r="L30" s="7"/>
      <c r="M30" s="13" t="s">
        <v>37</v>
      </c>
      <c r="N30" s="7"/>
      <c r="O30" s="7"/>
      <c r="P30" s="7"/>
      <c r="Q30" s="7"/>
      <c r="R30" s="7"/>
      <c r="S30" s="7"/>
    </row>
  </sheetData>
  <mergeCells count="21">
    <mergeCell ref="A6:V6"/>
    <mergeCell ref="J25:L25"/>
    <mergeCell ref="P27:R27"/>
    <mergeCell ref="P28:R28"/>
    <mergeCell ref="P29:R29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</mergeCells>
  <pageMargins left="0.25" right="0.25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Kh. Nafiz Rahman/Administration SComm</cp:lastModifiedBy>
  <cp:lastPrinted>2026-06-07T06:04:04Z</cp:lastPrinted>
  <dcterms:created xsi:type="dcterms:W3CDTF">2024-06-23T07:04:52Z</dcterms:created>
  <dcterms:modified xsi:type="dcterms:W3CDTF">2026-06-07T06:06:55Z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2024-06-23T00:00:00Z</vt:filetime>
  </property>
  <property fmtid="{D5CDD505-2E9C-101B-9397-08002B2CF9AE}" pid="3" name="Creator">
    <vt:lpwstr>JasperReports Library version 6.6.0</vt:lpwstr>
  </property>
  <property fmtid="{D5CDD505-2E9C-101B-9397-08002B2CF9AE}" pid="4" name="LastSaved">
    <vt:filetime>2024-06-23T00:00:00Z</vt:filetime>
  </property>
  <property fmtid="{D5CDD505-2E9C-101B-9397-08002B2CF9AE}" pid="5" name="Producer">
    <vt:lpwstr>iText 2.1.7 by 1T3XT</vt:lpwstr>
  </property>
</Properties>
</file>