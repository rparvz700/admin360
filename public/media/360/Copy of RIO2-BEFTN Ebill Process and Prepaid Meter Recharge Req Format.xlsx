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L E.Bill Folder\"/>
    </mc:Choice>
  </mc:AlternateContent>
  <xr:revisionPtr revIDLastSave="0" documentId="8_{D4BC3AE1-A07B-496A-8A3E-28FB6FCCC483}" xr6:coauthVersionLast="47" xr6:coauthVersionMax="47" xr10:uidLastSave="{00000000-0000-0000-0000-000000000000}"/>
  <bookViews>
    <workbookView xWindow="-110" yWindow="-110" windowWidth="19420" windowHeight="10300" xr2:uid="{329B09E1-F8F8-481C-A3CF-B44266210649}"/>
  </bookViews>
  <sheets>
    <sheet name="Cox's Bazar SC EBill" sheetId="1" r:id="rId1"/>
    <sheet name="GEC CTG SC EBill" sheetId="2" r:id="rId2"/>
    <sheet name="Agrabad SC Ebill" sheetId="3" r:id="rId3"/>
    <sheet name="Ashugonj PGCB Pop Ebill" sheetId="4" r:id="rId4"/>
    <sheet name="Akhaura and Tongi BR Ebill" sheetId="5" r:id="rId5"/>
    <sheet name="CTG Railways Ebill" sheetId="6" r:id="rId6"/>
    <sheet name="RIO2 Prepaid Meter req of Info " sheetId="7" r:id="rId7"/>
    <sheet name="RIO2 Prepaid Meter req of SComm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8" l="1"/>
  <c r="I23" i="7"/>
  <c r="I16" i="6"/>
  <c r="I15" i="6"/>
  <c r="I14" i="6"/>
  <c r="I13" i="6"/>
  <c r="I12" i="6"/>
  <c r="I11" i="6"/>
  <c r="J14" i="5"/>
  <c r="J13" i="5"/>
  <c r="J12" i="5"/>
  <c r="I13" i="4"/>
  <c r="I12" i="4"/>
  <c r="K5" i="3"/>
  <c r="K5" i="2"/>
  <c r="K5" i="1"/>
  <c r="C9" i="8" l="1"/>
  <c r="B9" i="7"/>
  <c r="I17" i="6"/>
  <c r="B8" i="6" s="1"/>
  <c r="B9" i="5"/>
  <c r="B9" i="4"/>
  <c r="M5" i="3"/>
  <c r="M6" i="3" s="1"/>
  <c r="M5" i="2"/>
  <c r="M6" i="2" s="1"/>
  <c r="M5" i="1"/>
  <c r="M6" i="1" s="1"/>
</calcChain>
</file>

<file path=xl/sharedStrings.xml><?xml version="1.0" encoding="utf-8"?>
<sst xmlns="http://schemas.openxmlformats.org/spreadsheetml/2006/main" count="635" uniqueCount="266">
  <si>
    <r>
      <rPr>
        <b/>
        <sz val="11"/>
        <rFont val="Arial"/>
        <family val="2"/>
      </rPr>
      <t xml:space="preserve">Summit Communications Limited
</t>
    </r>
    <r>
      <rPr>
        <sz val="8"/>
        <rFont val="Arial MT"/>
        <family val="2"/>
      </rPr>
      <t>18, Karwan Bazar Commercial Area Dhaka-1205, Bangladesh</t>
    </r>
  </si>
  <si>
    <r>
      <rPr>
        <b/>
        <sz val="9"/>
        <rFont val="Arial"/>
        <family val="2"/>
      </rPr>
      <t xml:space="preserve">Project Name : Cox's Bazar Office (0375)
</t>
    </r>
    <r>
      <rPr>
        <b/>
        <sz val="8"/>
        <rFont val="Arial"/>
        <family val="2"/>
      </rPr>
      <t>Electricity Bill Summary (Cheque) - RTGS</t>
    </r>
  </si>
  <si>
    <r>
      <rPr>
        <b/>
        <sz val="7"/>
        <rFont val="Arial"/>
        <family val="2"/>
      </rPr>
      <t>S/L</t>
    </r>
  </si>
  <si>
    <r>
      <rPr>
        <b/>
        <sz val="7"/>
        <rFont val="Arial"/>
        <family val="2"/>
      </rPr>
      <t>Office/POP Code &amp; Name</t>
    </r>
  </si>
  <si>
    <r>
      <rPr>
        <b/>
        <sz val="7"/>
        <rFont val="Arial"/>
        <family val="2"/>
      </rPr>
      <t>Maintain From</t>
    </r>
  </si>
  <si>
    <r>
      <rPr>
        <b/>
        <sz val="7"/>
        <rFont val="Arial"/>
        <family val="2"/>
      </rPr>
      <t>Land owner Name</t>
    </r>
  </si>
  <si>
    <r>
      <rPr>
        <b/>
        <sz val="7"/>
        <rFont val="Arial"/>
        <family val="2"/>
      </rPr>
      <t>Account/Cheque Name</t>
    </r>
  </si>
  <si>
    <r>
      <rPr>
        <b/>
        <sz val="7"/>
        <rFont val="Arial"/>
        <family val="2"/>
      </rPr>
      <t>Line Owner Name</t>
    </r>
  </si>
  <si>
    <r>
      <rPr>
        <b/>
        <sz val="7"/>
        <rFont val="Arial"/>
        <family val="2"/>
      </rPr>
      <t>Month Name</t>
    </r>
  </si>
  <si>
    <r>
      <rPr>
        <b/>
        <sz val="7"/>
        <rFont val="Arial"/>
        <family val="2"/>
      </rPr>
      <t>Consumed</t>
    </r>
  </si>
  <si>
    <t>L.P.S</t>
  </si>
  <si>
    <t xml:space="preserve"> VAT</t>
  </si>
  <si>
    <t>Principal Amount</t>
  </si>
  <si>
    <r>
      <rPr>
        <b/>
        <sz val="7"/>
        <rFont val="Arial"/>
        <family val="2"/>
      </rPr>
      <t xml:space="preserve">Total Elec.
</t>
    </r>
    <r>
      <rPr>
        <b/>
        <sz val="7"/>
        <rFont val="Arial"/>
        <family val="2"/>
      </rPr>
      <t>Bill</t>
    </r>
  </si>
  <si>
    <r>
      <rPr>
        <b/>
        <sz val="7"/>
        <rFont val="Arial"/>
        <family val="2"/>
      </rPr>
      <t>Others</t>
    </r>
  </si>
  <si>
    <r>
      <rPr>
        <b/>
        <sz val="7"/>
        <rFont val="Arial"/>
        <family val="2"/>
      </rPr>
      <t>Total Bill Amount</t>
    </r>
  </si>
  <si>
    <r>
      <rPr>
        <b/>
        <sz val="7"/>
        <rFont val="Arial"/>
        <family val="2"/>
      </rPr>
      <t>Bill Received</t>
    </r>
  </si>
  <si>
    <r>
      <rPr>
        <b/>
        <sz val="7"/>
        <rFont val="Arial"/>
        <family val="2"/>
      </rPr>
      <t>Last Payment Date</t>
    </r>
  </si>
  <si>
    <r>
      <rPr>
        <b/>
        <sz val="7"/>
        <rFont val="Arial"/>
        <family val="2"/>
      </rPr>
      <t>Last M. Bill</t>
    </r>
  </si>
  <si>
    <t>Last M.Bill Amount</t>
  </si>
  <si>
    <t>(0375) Cox's Bazar Office</t>
  </si>
  <si>
    <t>Cox's Bazar</t>
  </si>
  <si>
    <t>Shafique Center</t>
  </si>
  <si>
    <t>Shafique Center
A/C No- 15431020012931</t>
  </si>
  <si>
    <r>
      <rPr>
        <sz val="8"/>
        <rFont val="Arial MT"/>
        <family val="2"/>
      </rPr>
      <t>SCL</t>
    </r>
  </si>
  <si>
    <t>May'26</t>
  </si>
  <si>
    <t>-</t>
  </si>
  <si>
    <t>Apr'26</t>
  </si>
  <si>
    <t xml:space="preserve">Amount In Words: One Lac Seventy Ninty Eight Thousand Five Hundred Fourty-eight Taka Only </t>
  </si>
  <si>
    <t>Total</t>
  </si>
  <si>
    <r>
      <rPr>
        <b/>
        <sz val="10"/>
        <color rgb="FF000000"/>
        <rFont val="Times New Roman"/>
        <family val="1"/>
      </rPr>
      <t>Note</t>
    </r>
    <r>
      <rPr>
        <sz val="10"/>
        <color rgb="FF000000"/>
        <rFont val="Times New Roman"/>
        <family val="1"/>
      </rPr>
      <t xml:space="preserve"> : Bills already uploaded in RUMs and in approval panel. To avoid any kind of inconvenience processing this month bill in hard copy. </t>
    </r>
  </si>
  <si>
    <t>Prepared By</t>
  </si>
  <si>
    <t>Checked by</t>
  </si>
  <si>
    <t>Verified by</t>
  </si>
  <si>
    <t>Recommended By</t>
  </si>
  <si>
    <t>Approved By</t>
  </si>
  <si>
    <t>Md. Akif Khan</t>
  </si>
  <si>
    <t>Central Power</t>
  </si>
  <si>
    <t>Kazi Shawon</t>
  </si>
  <si>
    <t>Md. Abdur Rashed</t>
  </si>
  <si>
    <t>Brig. Gen. Ali Murtoza Khan (Retd.)</t>
  </si>
  <si>
    <t>Executive</t>
  </si>
  <si>
    <t>Deputy Manager</t>
  </si>
  <si>
    <t>Deputy General Manager</t>
  </si>
  <si>
    <t>Chief Corporate Affairs Officer</t>
  </si>
  <si>
    <t>Administration</t>
  </si>
  <si>
    <r>
      <rPr>
        <b/>
        <sz val="9"/>
        <rFont val="Arial"/>
        <family val="2"/>
      </rPr>
      <t xml:space="preserve">Project Name :CTG- GEC Office (0390)
</t>
    </r>
    <r>
      <rPr>
        <b/>
        <sz val="8"/>
        <rFont val="Arial"/>
        <family val="2"/>
      </rPr>
      <t>Electricity Bill Summary (Cheque) - RTGS</t>
    </r>
  </si>
  <si>
    <t>5% VAT</t>
  </si>
  <si>
    <t>(0390) CTG- GEC Office</t>
  </si>
  <si>
    <t>Chottogram</t>
  </si>
  <si>
    <t>Dr. A.H.M. Ishaque Chowdury</t>
  </si>
  <si>
    <t>A/C Name: ISHAQUE CHY &amp; RAHMAN CHY
A/C no: 0123-0310002370
NCC Bank PLC</t>
  </si>
  <si>
    <t xml:space="preserve">Building Owner </t>
  </si>
  <si>
    <t>Mar'26</t>
  </si>
  <si>
    <t xml:space="preserve">Amount In Words: Seven Lacs Fourteen Thousand One Hundred Seventy-nine Taka Only </t>
  </si>
  <si>
    <r>
      <rPr>
        <b/>
        <sz val="9"/>
        <rFont val="Arial"/>
        <family val="2"/>
      </rPr>
      <t xml:space="preserve">Project Name : Chittagong Agrabad Office (2132)
</t>
    </r>
    <r>
      <rPr>
        <b/>
        <sz val="8"/>
        <rFont val="Arial"/>
        <family val="2"/>
      </rPr>
      <t>Electricity Bill Summary (Cheque) -</t>
    </r>
    <r>
      <rPr>
        <b/>
        <sz val="10"/>
        <rFont val="Arial"/>
        <family val="2"/>
      </rPr>
      <t xml:space="preserve"> RTGS</t>
    </r>
  </si>
  <si>
    <t>Account/Cheque Details for 
BEFTN</t>
  </si>
  <si>
    <t>(2132) Chittagong Agrabad</t>
  </si>
  <si>
    <t>CTG North</t>
  </si>
  <si>
    <t>Akhtarruzzaman Center</t>
  </si>
  <si>
    <r>
      <rPr>
        <b/>
        <sz val="8"/>
        <rFont val="Arial MT"/>
      </rPr>
      <t>A/C name: AKHTARUZZAMAN CENTER</t>
    </r>
    <r>
      <rPr>
        <sz val="8"/>
        <rFont val="Arial MT"/>
        <family val="2"/>
      </rPr>
      <t xml:space="preserve">
</t>
    </r>
    <r>
      <rPr>
        <b/>
        <sz val="8"/>
        <rFont val="Arial MT"/>
      </rPr>
      <t xml:space="preserve">A/C No : 1301000339513
</t>
    </r>
    <r>
      <rPr>
        <sz val="8"/>
        <rFont val="Arial MT"/>
        <family val="2"/>
      </rPr>
      <t xml:space="preserve"> </t>
    </r>
    <r>
      <rPr>
        <sz val="8"/>
        <rFont val="Arial MT"/>
      </rPr>
      <t xml:space="preserve">
Bank Name: Mutual Trust Bank PLC
Branch : Agrabad, Chittagong
</t>
    </r>
  </si>
  <si>
    <t xml:space="preserve">Amount In Words: Four Lacs Forty Four Thousand Five Hundred Taka Only </t>
  </si>
  <si>
    <t>Requisition for Electricity Bill - BEFTN</t>
  </si>
  <si>
    <t>Project Name</t>
  </si>
  <si>
    <t xml:space="preserve">Telco </t>
  </si>
  <si>
    <t>Ref. No</t>
  </si>
  <si>
    <t>Admin/E-bill/BEFTN/2026 June-15/F001</t>
  </si>
  <si>
    <t>Purposes:</t>
  </si>
  <si>
    <t xml:space="preserve">Electricity Bill Payment. </t>
  </si>
  <si>
    <t>Date:</t>
  </si>
  <si>
    <t>HR ID:</t>
  </si>
  <si>
    <t>Name:</t>
  </si>
  <si>
    <t>Designation:</t>
  </si>
  <si>
    <t>Total ( BDT)</t>
  </si>
  <si>
    <t>Description of Bill</t>
  </si>
  <si>
    <t>SL No</t>
  </si>
  <si>
    <t>Received Form Sub-Centre</t>
  </si>
  <si>
    <t>Site Code</t>
  </si>
  <si>
    <t>Site/ Office/ POP Neme</t>
  </si>
  <si>
    <t>Bill Month</t>
  </si>
  <si>
    <t>Last Paymnet Date</t>
  </si>
  <si>
    <t>Bill Amount</t>
  </si>
  <si>
    <t>Total Bill Amount</t>
  </si>
  <si>
    <t>Cheque Name</t>
  </si>
  <si>
    <t>Payment Mode</t>
  </si>
  <si>
    <t>Ashuganj PGCB</t>
  </si>
  <si>
    <t>Telco</t>
  </si>
  <si>
    <t>ASHUGANJ POWER STATION COMPANY LIMITED (APSCL)</t>
  </si>
  <si>
    <t>BEFTN</t>
  </si>
  <si>
    <t>Total (BDT)</t>
  </si>
  <si>
    <t xml:space="preserve">  </t>
  </si>
  <si>
    <t>Amount in Word:</t>
  </si>
  <si>
    <t>Fifty Thousand Six Hundred Eighty-eight Taka Only</t>
  </si>
  <si>
    <t>Bank Information</t>
  </si>
  <si>
    <t>A/C Name</t>
  </si>
  <si>
    <t>A/C no</t>
  </si>
  <si>
    <t xml:space="preserve">Bank Name </t>
  </si>
  <si>
    <t>Routing no</t>
  </si>
  <si>
    <t>011300031481</t>
  </si>
  <si>
    <t>EXIM BANK Ltd.</t>
  </si>
  <si>
    <t xml:space="preserve">                                                      </t>
  </si>
  <si>
    <t xml:space="preserve">                                                               </t>
  </si>
  <si>
    <t xml:space="preserve">                                             </t>
  </si>
  <si>
    <t>Requisition By</t>
  </si>
  <si>
    <t>Checked By</t>
  </si>
  <si>
    <t>Approve By</t>
  </si>
  <si>
    <t xml:space="preserve">Requisition for Electricity Bill - BEFTN 
</t>
  </si>
  <si>
    <t>BR Pop</t>
  </si>
  <si>
    <t>Admin/E-bill/BEFTN/2026/Jun-09/F001</t>
  </si>
  <si>
    <t>5% Late Fee</t>
  </si>
  <si>
    <t>Akhaura BR</t>
  </si>
  <si>
    <t>BR</t>
  </si>
  <si>
    <t>Govt. Revenue Collection</t>
  </si>
  <si>
    <t>Tongi BR</t>
  </si>
  <si>
    <t>Forty Thousand Three Hundred Sixty-eight Taka Only</t>
  </si>
  <si>
    <t xml:space="preserve"> </t>
  </si>
  <si>
    <t>BR Project</t>
  </si>
  <si>
    <t>Admin/E-bill/BEFTN/2026/May-10/F001</t>
  </si>
  <si>
    <t>Last Payment Date</t>
  </si>
  <si>
    <t>Chandpur (CDR)</t>
  </si>
  <si>
    <t>Laksham (LKM)</t>
  </si>
  <si>
    <t>Noakhali (NKA)</t>
  </si>
  <si>
    <t>Chattogram (CTG)</t>
  </si>
  <si>
    <t>Feni (FNI)</t>
  </si>
  <si>
    <t>Shitakunda (STK)</t>
  </si>
  <si>
    <t>Four Lac Six Thousand Eight Hundred Six Taka Only</t>
  </si>
  <si>
    <t>Requisition for Prepaid Meter Recharge (bKash Payment)</t>
  </si>
  <si>
    <t>Project:</t>
  </si>
  <si>
    <t>Info Sarker Phase -3</t>
  </si>
  <si>
    <r>
      <t>Admin/DSR/E-bill/Adv/2026/May-20</t>
    </r>
    <r>
      <rPr>
        <sz val="11"/>
        <color rgb="FFFF0000"/>
        <rFont val="Cambria"/>
        <family val="1"/>
      </rPr>
      <t>/01</t>
    </r>
  </si>
  <si>
    <t>Prepaid meter recharge for the month of Jun'26</t>
  </si>
  <si>
    <t>Date</t>
  </si>
  <si>
    <t xml:space="preserve">Location / District </t>
  </si>
  <si>
    <t>Site Type</t>
  </si>
  <si>
    <t xml:space="preserve">Maintain from </t>
  </si>
  <si>
    <t>Power Authority</t>
  </si>
  <si>
    <t xml:space="preserve">Prepaid Meter / Consumer Number </t>
  </si>
  <si>
    <t xml:space="preserve">Required Amount (BDT) </t>
  </si>
  <si>
    <t>Approx. Present Balance from 20-May- 26</t>
  </si>
  <si>
    <t>Last Recharge Amount (BDT)</t>
  </si>
  <si>
    <t>Last Recharge Date</t>
  </si>
  <si>
    <t>Balance After Last Recharge</t>
  </si>
  <si>
    <t>Line Owner</t>
  </si>
  <si>
    <t>Total amount for each site</t>
  </si>
  <si>
    <t>HR ID</t>
  </si>
  <si>
    <t>Name</t>
  </si>
  <si>
    <t>Amount should be disburse</t>
  </si>
  <si>
    <t>Designation</t>
  </si>
  <si>
    <t>A/C Number</t>
  </si>
  <si>
    <t>Sylhet Sadar</t>
  </si>
  <si>
    <t>Sylhet</t>
  </si>
  <si>
    <t>0771</t>
  </si>
  <si>
    <t>CORE</t>
  </si>
  <si>
    <t>Sylhet Office</t>
  </si>
  <si>
    <t>BPDB</t>
  </si>
  <si>
    <t>010232002218</t>
  </si>
  <si>
    <t>Scomm</t>
  </si>
  <si>
    <t>Sunamganj Sadar</t>
  </si>
  <si>
    <t>Sunamganj</t>
  </si>
  <si>
    <t>0432</t>
  </si>
  <si>
    <t>POP</t>
  </si>
  <si>
    <t>010230027091</t>
  </si>
  <si>
    <t>Chhatak</t>
  </si>
  <si>
    <t>0648</t>
  </si>
  <si>
    <t>010230024822</t>
  </si>
  <si>
    <t>SCL-0967</t>
  </si>
  <si>
    <t>Ruhi Afroze Hassan</t>
  </si>
  <si>
    <t>Sr. Executive</t>
  </si>
  <si>
    <t>4893 4052 6140 2682</t>
  </si>
  <si>
    <t>Dowarabazar</t>
  </si>
  <si>
    <t>0921</t>
  </si>
  <si>
    <t>010230063998</t>
  </si>
  <si>
    <t>Derai</t>
  </si>
  <si>
    <t>0739</t>
  </si>
  <si>
    <t>010230052147</t>
  </si>
  <si>
    <t>Shulla</t>
  </si>
  <si>
    <t>0766</t>
  </si>
  <si>
    <t>010230065757</t>
  </si>
  <si>
    <t>Jogonnathpur</t>
  </si>
  <si>
    <t>0907</t>
  </si>
  <si>
    <t>01023 0064516</t>
  </si>
  <si>
    <t>Moulovibazar Sadar</t>
  </si>
  <si>
    <t>Moulovibazar</t>
  </si>
  <si>
    <t>0454</t>
  </si>
  <si>
    <t>Kulaura</t>
  </si>
  <si>
    <t>0601</t>
  </si>
  <si>
    <t>Juri</t>
  </si>
  <si>
    <t>0602</t>
  </si>
  <si>
    <t>010230062583</t>
  </si>
  <si>
    <t>SCL</t>
  </si>
  <si>
    <t>Jaintapur</t>
  </si>
  <si>
    <t>1152</t>
  </si>
  <si>
    <t>010910104741</t>
  </si>
  <si>
    <t>Three Lacs Seventy Six Thousand Taka Only</t>
  </si>
  <si>
    <t xml:space="preserve">Total </t>
  </si>
  <si>
    <t xml:space="preserve">                                                       </t>
  </si>
  <si>
    <t>Ackhnowledged By</t>
  </si>
  <si>
    <t>Md. Tahmidur Rahman</t>
  </si>
  <si>
    <t>Manager</t>
  </si>
  <si>
    <t xml:space="preserve">Desg : </t>
  </si>
  <si>
    <t>Central Implementation &amp; Governance</t>
  </si>
  <si>
    <t>Central Power (CP)</t>
  </si>
  <si>
    <t xml:space="preserve">Requisition for Prepaid Meter Recharge for the month of June-26 (bKash Payment) </t>
  </si>
  <si>
    <t>Admin/Pre Paid/E-bill/Adv/2026/May-20/001</t>
  </si>
  <si>
    <t>Prepaid meter recharge for the month of June'26</t>
  </si>
  <si>
    <t>Admin/Cp Sign</t>
  </si>
  <si>
    <t>Authority</t>
  </si>
  <si>
    <t>Prepaid Meter No</t>
  </si>
  <si>
    <t>Required Amount (BDT)</t>
  </si>
  <si>
    <t>Current Balance
(27-Dec-21)</t>
  </si>
  <si>
    <t xml:space="preserve">Balance After Last Recharge </t>
  </si>
  <si>
    <t>Last Recharge Amount</t>
  </si>
  <si>
    <t>Last Recharge date</t>
  </si>
  <si>
    <t>Present Balance on 18-May-26 (appx.)</t>
  </si>
  <si>
    <t>Per Day Expence (Approx.)</t>
  </si>
  <si>
    <t xml:space="preserve">Dohazari </t>
  </si>
  <si>
    <t>Chattogram</t>
  </si>
  <si>
    <t>CTG-South</t>
  </si>
  <si>
    <t>Kaliaism-Dohazari</t>
  </si>
  <si>
    <t>Keranihat PoP- Shatkania</t>
  </si>
  <si>
    <t>Chattogram W/H</t>
  </si>
  <si>
    <t>CTG-North</t>
  </si>
  <si>
    <t>Sitakunda (Bashbaria) Pop</t>
  </si>
  <si>
    <t>Hathazari Pop</t>
  </si>
  <si>
    <t>010132004672</t>
  </si>
  <si>
    <t>Sitakunda (DHK-CTG 3rd Backbone)</t>
  </si>
  <si>
    <t>0822</t>
  </si>
  <si>
    <t xml:space="preserve">CTG North </t>
  </si>
  <si>
    <t>010132002672</t>
  </si>
  <si>
    <t>Kaptai_Rangamati PGCB</t>
  </si>
  <si>
    <t>011830003554</t>
  </si>
  <si>
    <t xml:space="preserve">Cumilla Office </t>
  </si>
  <si>
    <t xml:space="preserve">Cumilla </t>
  </si>
  <si>
    <t>1,40,000</t>
  </si>
  <si>
    <t>Cumilla PGCB</t>
  </si>
  <si>
    <t>Paduar Bazar Pop</t>
  </si>
  <si>
    <t>Chandpur Shodor Pop</t>
  </si>
  <si>
    <t>Kazipara Brahmanbaria (Office)</t>
  </si>
  <si>
    <t>B.Baria-Cumilla</t>
  </si>
  <si>
    <t>010132012054</t>
  </si>
  <si>
    <t xml:space="preserve">Pachgachia </t>
  </si>
  <si>
    <t>Feni</t>
  </si>
  <si>
    <t>Feni Office</t>
  </si>
  <si>
    <t>Chakaria (City Center)</t>
  </si>
  <si>
    <t>Chakaria (Vangarmukh)</t>
  </si>
  <si>
    <t>Sylhet Office (Meter-01)</t>
  </si>
  <si>
    <t>Sylhet office</t>
  </si>
  <si>
    <t>010230058714</t>
  </si>
  <si>
    <t>2,80,000</t>
  </si>
  <si>
    <t>Shahjibazar PGCB</t>
  </si>
  <si>
    <t>Sylhet SC</t>
  </si>
  <si>
    <t>010230055177</t>
  </si>
  <si>
    <t>Sylhet PGCB</t>
  </si>
  <si>
    <t>010230066528</t>
  </si>
  <si>
    <t>Sylhet Office (Meter-02)</t>
  </si>
  <si>
    <t>Sylhet BPDB</t>
  </si>
  <si>
    <t>010232002217</t>
  </si>
  <si>
    <t>Noakkhali MC</t>
  </si>
  <si>
    <t>Noakhali</t>
  </si>
  <si>
    <t>Lakshmipur BB Pop</t>
  </si>
  <si>
    <t>010132019378</t>
  </si>
  <si>
    <t>Chakaria MC Office</t>
  </si>
  <si>
    <t>011810112407</t>
  </si>
  <si>
    <t>Total Amount (BDT)</t>
  </si>
  <si>
    <t>Amount in words: Five Lacs Sixty six Thousand Five Hundred Taka Only.</t>
  </si>
  <si>
    <t xml:space="preserve">Md. Akif Khan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</si>
</sst>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[$-409]d\-mmm\-yy;@"/>
    <numFmt numFmtId="167" formatCode="[$-409]mmmmm;@"/>
    <numFmt numFmtId="168" formatCode="dd\-mm\-yy;@"/>
    <numFmt numFmtId="169" formatCode="dd\-mm\-yyyy;@"/>
    <numFmt numFmtId="170" formatCode="[$-409]d\-mmm\-yyyy;@"/>
    <numFmt numFmtId="171" formatCode="[$-409]mmm\-yy;@"/>
    <numFmt numFmtId="172" formatCode="[$-F800]dddd\,\ mmmm\ dd\,\ yyyy"/>
    <numFmt numFmtId="174" formatCode="[$-409]mmmm\-yy;@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Arial MT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9"/>
      <color rgb="FF000000"/>
      <name val="Times New Roman"/>
      <family val="1"/>
    </font>
    <font>
      <b/>
      <sz val="8"/>
      <name val="Arial MT"/>
    </font>
    <font>
      <sz val="10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Arial"/>
      <family val="2"/>
    </font>
    <font>
      <sz val="8"/>
      <color rgb="FF000000"/>
      <name val="Times New Roman"/>
      <family val="1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rgb="FFFF0000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1"/>
      <name val="Cambria"/>
      <family val="1"/>
    </font>
    <font>
      <sz val="12"/>
      <name val="Cambria"/>
      <family val="1"/>
    </font>
    <font>
      <b/>
      <sz val="10"/>
      <name val="Cambria"/>
      <family val="1"/>
    </font>
    <font>
      <b/>
      <sz val="12"/>
      <name val="Cambria"/>
      <family val="1"/>
    </font>
    <font>
      <sz val="11"/>
      <color rgb="FFFF0000"/>
      <name val="Cambria"/>
      <family val="1"/>
    </font>
    <font>
      <sz val="12"/>
      <color theme="1"/>
      <name val="Cambria"/>
      <family val="1"/>
    </font>
    <font>
      <u/>
      <sz val="11"/>
      <color theme="1"/>
      <name val="Cambria"/>
      <family val="1"/>
    </font>
    <font>
      <sz val="9"/>
      <color theme="1"/>
      <name val="Cambria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</font>
    <font>
      <u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rgb="FFFF0000"/>
      <name val="Trebuchet MS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Trebuchet MS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b/>
      <sz val="11"/>
      <color theme="1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0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2" xfId="0" applyNumberFormat="1" applyFont="1" applyBorder="1" applyAlignment="1">
      <alignment horizontal="center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shrinkToFit="1"/>
    </xf>
    <xf numFmtId="0" fontId="10" fillId="0" borderId="8" xfId="0" quotePrefix="1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17" fontId="10" fillId="0" borderId="8" xfId="0" applyNumberFormat="1" applyFont="1" applyBorder="1" applyAlignment="1">
      <alignment horizontal="center" vertical="center" wrapText="1"/>
    </xf>
    <xf numFmtId="43" fontId="14" fillId="0" borderId="9" xfId="1" quotePrefix="1" applyFont="1" applyBorder="1" applyAlignment="1">
      <alignment horizontal="center" vertical="center" shrinkToFit="1"/>
    </xf>
    <xf numFmtId="2" fontId="14" fillId="0" borderId="10" xfId="0" applyNumberFormat="1" applyFont="1" applyBorder="1" applyAlignment="1">
      <alignment horizontal="center" vertical="center" shrinkToFit="1"/>
    </xf>
    <xf numFmtId="2" fontId="14" fillId="0" borderId="11" xfId="0" applyNumberFormat="1" applyFont="1" applyBorder="1" applyAlignment="1">
      <alignment horizontal="center" vertical="center" shrinkToFit="1"/>
    </xf>
    <xf numFmtId="43" fontId="14" fillId="0" borderId="12" xfId="1" applyFont="1" applyBorder="1" applyAlignment="1">
      <alignment horizontal="center" vertical="center" shrinkToFit="1"/>
    </xf>
    <xf numFmtId="2" fontId="9" fillId="0" borderId="8" xfId="0" quotePrefix="1" applyNumberFormat="1" applyFont="1" applyBorder="1" applyAlignment="1">
      <alignment horizontal="center" vertical="center" shrinkToFit="1"/>
    </xf>
    <xf numFmtId="164" fontId="15" fillId="0" borderId="8" xfId="1" applyNumberFormat="1" applyFont="1" applyBorder="1" applyAlignment="1">
      <alignment horizontal="center"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6" fontId="16" fillId="0" borderId="13" xfId="0" applyNumberFormat="1" applyFont="1" applyBorder="1" applyAlignment="1">
      <alignment horizontal="center" vertical="center" shrinkToFit="1"/>
    </xf>
    <xf numFmtId="17" fontId="10" fillId="0" borderId="14" xfId="0" applyNumberFormat="1" applyFont="1" applyBorder="1" applyAlignment="1">
      <alignment horizontal="center" vertical="center" wrapText="1"/>
    </xf>
    <xf numFmtId="164" fontId="15" fillId="0" borderId="14" xfId="1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43" fontId="6" fillId="0" borderId="1" xfId="1" applyFont="1" applyBorder="1" applyAlignment="1">
      <alignment horizontal="left" vertical="top" wrapText="1"/>
    </xf>
    <xf numFmtId="43" fontId="6" fillId="0" borderId="3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15" xfId="1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top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 indent="3"/>
    </xf>
    <xf numFmtId="0" fontId="8" fillId="0" borderId="4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5"/>
    </xf>
    <xf numFmtId="0" fontId="8" fillId="0" borderId="6" xfId="0" applyFont="1" applyBorder="1" applyAlignment="1">
      <alignment horizontal="left" vertical="center" wrapText="1" indent="5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 indent="3"/>
    </xf>
    <xf numFmtId="0" fontId="8" fillId="0" borderId="7" xfId="0" applyFont="1" applyBorder="1" applyAlignment="1">
      <alignment horizontal="left" vertical="center" wrapText="1" indent="1"/>
    </xf>
    <xf numFmtId="0" fontId="0" fillId="0" borderId="7" xfId="0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/>
    </xf>
    <xf numFmtId="43" fontId="15" fillId="0" borderId="8" xfId="1" applyFont="1" applyBorder="1" applyAlignment="1">
      <alignment horizontal="center" vertical="center" shrinkToFit="1"/>
    </xf>
    <xf numFmtId="0" fontId="19" fillId="0" borderId="24" xfId="0" applyFont="1" applyBorder="1" applyAlignment="1">
      <alignment horizontal="center" vertical="center"/>
    </xf>
    <xf numFmtId="164" fontId="20" fillId="0" borderId="15" xfId="1" applyNumberFormat="1" applyFont="1" applyBorder="1" applyAlignment="1">
      <alignment horizontal="center" vertical="center"/>
    </xf>
    <xf numFmtId="43" fontId="6" fillId="0" borderId="0" xfId="1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164" fontId="7" fillId="2" borderId="15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15" fontId="8" fillId="0" borderId="1" xfId="0" applyNumberFormat="1" applyFont="1" applyBorder="1" applyAlignment="1">
      <alignment horizontal="right" vertical="center" wrapText="1"/>
    </xf>
    <xf numFmtId="15" fontId="8" fillId="0" borderId="2" xfId="0" applyNumberFormat="1" applyFont="1" applyBorder="1" applyAlignment="1">
      <alignment horizontal="right" vertical="center" wrapText="1"/>
    </xf>
    <xf numFmtId="15" fontId="8" fillId="0" borderId="3" xfId="0" applyNumberFormat="1" applyFont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top" wrapText="1"/>
    </xf>
    <xf numFmtId="43" fontId="14" fillId="0" borderId="25" xfId="1" applyFont="1" applyBorder="1" applyAlignment="1">
      <alignment horizontal="center" vertical="center" shrinkToFit="1"/>
    </xf>
    <xf numFmtId="164" fontId="9" fillId="0" borderId="14" xfId="1" quotePrefix="1" applyNumberFormat="1" applyFont="1" applyBorder="1" applyAlignment="1">
      <alignment horizontal="center" vertical="center" shrinkToFit="1"/>
    </xf>
    <xf numFmtId="168" fontId="9" fillId="0" borderId="13" xfId="0" applyNumberFormat="1" applyFont="1" applyBorder="1" applyAlignment="1">
      <alignment horizontal="center" vertical="center" shrinkToFit="1"/>
    </xf>
    <xf numFmtId="169" fontId="9" fillId="0" borderId="13" xfId="0" applyNumberFormat="1" applyFont="1" applyBorder="1" applyAlignment="1">
      <alignment horizontal="center" vertical="center" shrinkToFit="1"/>
    </xf>
    <xf numFmtId="17" fontId="10" fillId="0" borderId="24" xfId="0" applyNumberFormat="1" applyFont="1" applyBorder="1" applyAlignment="1">
      <alignment horizontal="center" vertical="center" wrapText="1"/>
    </xf>
    <xf numFmtId="164" fontId="7" fillId="0" borderId="15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164" fontId="7" fillId="3" borderId="15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1" fillId="0" borderId="15" xfId="0" applyFont="1" applyBorder="1" applyAlignment="1">
      <alignment horizontal="center" vertical="center"/>
    </xf>
    <xf numFmtId="0" fontId="22" fillId="0" borderId="0" xfId="0" applyFont="1"/>
    <xf numFmtId="0" fontId="23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170" fontId="25" fillId="0" borderId="15" xfId="0" applyNumberFormat="1" applyFont="1" applyBorder="1" applyAlignment="1" applyProtection="1">
      <alignment horizontal="left" vertical="center"/>
      <protection locked="0"/>
    </xf>
    <xf numFmtId="43" fontId="22" fillId="0" borderId="0" xfId="1" applyFont="1"/>
    <xf numFmtId="0" fontId="23" fillId="0" borderId="15" xfId="0" quotePrefix="1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1" fontId="26" fillId="0" borderId="15" xfId="1" applyNumberFormat="1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wrapText="1"/>
    </xf>
    <xf numFmtId="0" fontId="30" fillId="0" borderId="15" xfId="0" applyFont="1" applyBorder="1" applyAlignment="1">
      <alignment horizontal="center" vertical="center"/>
    </xf>
    <xf numFmtId="166" fontId="31" fillId="0" borderId="15" xfId="0" applyNumberFormat="1" applyFont="1" applyBorder="1" applyAlignment="1">
      <alignment horizontal="center" vertical="center"/>
    </xf>
    <xf numFmtId="1" fontId="31" fillId="0" borderId="15" xfId="0" applyNumberFormat="1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71" fontId="31" fillId="0" borderId="15" xfId="0" applyNumberFormat="1" applyFont="1" applyBorder="1" applyAlignment="1">
      <alignment horizontal="center" vertical="center" wrapText="1"/>
    </xf>
    <xf numFmtId="166" fontId="31" fillId="0" borderId="15" xfId="0" applyNumberFormat="1" applyFont="1" applyBorder="1" applyAlignment="1">
      <alignment horizontal="center" vertical="center" wrapText="1"/>
    </xf>
    <xf numFmtId="0" fontId="22" fillId="0" borderId="15" xfId="1" applyNumberFormat="1" applyFont="1" applyFill="1" applyBorder="1" applyAlignment="1">
      <alignment horizontal="center" vertical="center"/>
    </xf>
    <xf numFmtId="164" fontId="33" fillId="2" borderId="15" xfId="1" applyNumberFormat="1" applyFont="1" applyFill="1" applyBorder="1" applyAlignment="1">
      <alignment horizontal="center" vertical="center"/>
    </xf>
    <xf numFmtId="166" fontId="31" fillId="0" borderId="15" xfId="0" applyNumberFormat="1" applyFont="1" applyBorder="1" applyAlignment="1">
      <alignment horizontal="left" vertical="center" wrapText="1"/>
    </xf>
    <xf numFmtId="0" fontId="28" fillId="0" borderId="15" xfId="0" applyFont="1" applyBorder="1" applyAlignment="1">
      <alignment horizontal="center" vertical="center"/>
    </xf>
    <xf numFmtId="0" fontId="34" fillId="0" borderId="0" xfId="0" applyFont="1"/>
    <xf numFmtId="0" fontId="23" fillId="0" borderId="15" xfId="0" applyFont="1" applyBorder="1" applyAlignment="1">
      <alignment horizontal="right" vertical="center"/>
    </xf>
    <xf numFmtId="0" fontId="35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28" fillId="0" borderId="15" xfId="0" applyFont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5" borderId="15" xfId="0" applyFont="1" applyFill="1" applyBorder="1" applyAlignment="1">
      <alignment horizontal="center"/>
    </xf>
    <xf numFmtId="0" fontId="22" fillId="0" borderId="15" xfId="0" applyFont="1" applyBorder="1" applyAlignment="1">
      <alignment horizontal="center" vertical="center" wrapText="1"/>
    </xf>
    <xf numFmtId="0" fontId="22" fillId="0" borderId="15" xfId="0" quotePrefix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29" fillId="0" borderId="0" xfId="0" applyFont="1"/>
    <xf numFmtId="0" fontId="21" fillId="0" borderId="15" xfId="0" applyFont="1" applyBorder="1" applyAlignment="1">
      <alignment horizontal="center" vertical="center" wrapText="1"/>
    </xf>
    <xf numFmtId="172" fontId="25" fillId="0" borderId="15" xfId="0" applyNumberFormat="1" applyFont="1" applyBorder="1" applyAlignment="1">
      <alignment horizontal="left" vertical="center"/>
    </xf>
    <xf numFmtId="1" fontId="26" fillId="0" borderId="15" xfId="0" applyNumberFormat="1" applyFont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/>
    </xf>
    <xf numFmtId="171" fontId="31" fillId="0" borderId="26" xfId="0" applyNumberFormat="1" applyFont="1" applyBorder="1" applyAlignment="1">
      <alignment horizontal="center" vertical="center" wrapText="1"/>
    </xf>
    <xf numFmtId="166" fontId="33" fillId="0" borderId="15" xfId="1" applyNumberFormat="1" applyFont="1" applyBorder="1" applyAlignment="1">
      <alignment horizontal="center" vertical="center" wrapText="1"/>
    </xf>
    <xf numFmtId="43" fontId="22" fillId="0" borderId="15" xfId="1" applyFont="1" applyFill="1" applyBorder="1" applyAlignment="1">
      <alignment horizontal="center" vertical="center"/>
    </xf>
    <xf numFmtId="43" fontId="22" fillId="0" borderId="26" xfId="1" applyFont="1" applyFill="1" applyBorder="1" applyAlignment="1">
      <alignment horizontal="center" vertical="center"/>
    </xf>
    <xf numFmtId="164" fontId="33" fillId="2" borderId="26" xfId="1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3" fontId="26" fillId="0" borderId="15" xfId="0" applyNumberFormat="1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166" fontId="31" fillId="0" borderId="17" xfId="0" applyNumberFormat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/>
    </xf>
    <xf numFmtId="171" fontId="31" fillId="0" borderId="15" xfId="0" applyNumberFormat="1" applyFont="1" applyBorder="1" applyAlignment="1">
      <alignment horizontal="center" vertical="center" wrapText="1"/>
    </xf>
    <xf numFmtId="165" fontId="31" fillId="0" borderId="15" xfId="0" applyNumberFormat="1" applyFont="1" applyBorder="1" applyAlignment="1">
      <alignment horizontal="center" vertical="center" wrapText="1"/>
    </xf>
    <xf numFmtId="164" fontId="22" fillId="0" borderId="15" xfId="1" applyNumberFormat="1" applyFont="1" applyFill="1" applyBorder="1" applyAlignment="1">
      <alignment horizontal="center" vertical="center"/>
    </xf>
    <xf numFmtId="166" fontId="31" fillId="0" borderId="26" xfId="0" applyNumberFormat="1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1" fillId="0" borderId="27" xfId="0" applyNumberFormat="1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/>
    </xf>
    <xf numFmtId="166" fontId="31" fillId="0" borderId="22" xfId="0" applyNumberFormat="1" applyFont="1" applyBorder="1" applyAlignment="1">
      <alignment horizontal="center" vertical="center"/>
    </xf>
    <xf numFmtId="166" fontId="31" fillId="0" borderId="28" xfId="0" applyNumberFormat="1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164" fontId="26" fillId="2" borderId="15" xfId="1" applyNumberFormat="1" applyFont="1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64" fontId="21" fillId="0" borderId="15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164" fontId="27" fillId="0" borderId="2" xfId="0" applyNumberFormat="1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164" fontId="25" fillId="0" borderId="2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164" fontId="22" fillId="0" borderId="2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2" fontId="23" fillId="0" borderId="1" xfId="0" applyNumberFormat="1" applyFont="1" applyBorder="1" applyAlignment="1">
      <alignment horizontal="left" vertical="center"/>
    </xf>
    <xf numFmtId="172" fontId="23" fillId="0" borderId="2" xfId="0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172" fontId="23" fillId="0" borderId="3" xfId="0" applyNumberFormat="1" applyFont="1" applyBorder="1" applyAlignment="1">
      <alignment horizontal="left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/>
    </xf>
    <xf numFmtId="164" fontId="23" fillId="0" borderId="2" xfId="0" quotePrefix="1" applyNumberFormat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164" fontId="22" fillId="0" borderId="15" xfId="0" applyNumberFormat="1" applyFont="1" applyBorder="1" applyAlignment="1">
      <alignment horizontal="left" vertical="center"/>
    </xf>
    <xf numFmtId="3" fontId="23" fillId="0" borderId="1" xfId="1" applyNumberFormat="1" applyFont="1" applyBorder="1" applyAlignment="1">
      <alignment horizontal="left" vertical="center"/>
    </xf>
    <xf numFmtId="3" fontId="23" fillId="0" borderId="2" xfId="1" applyNumberFormat="1" applyFont="1" applyBorder="1" applyAlignment="1">
      <alignment horizontal="left" vertical="center"/>
    </xf>
    <xf numFmtId="164" fontId="23" fillId="0" borderId="2" xfId="1" applyNumberFormat="1" applyFont="1" applyBorder="1" applyAlignment="1">
      <alignment horizontal="left" vertical="center"/>
    </xf>
    <xf numFmtId="3" fontId="23" fillId="0" borderId="3" xfId="1" applyNumberFormat="1" applyFont="1" applyBorder="1" applyAlignment="1">
      <alignment horizontal="left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164" fontId="27" fillId="5" borderId="2" xfId="0" applyNumberFormat="1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left" vertical="center"/>
    </xf>
    <xf numFmtId="0" fontId="35" fillId="0" borderId="15" xfId="0" quotePrefix="1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26" fillId="2" borderId="15" xfId="0" quotePrefix="1" applyFont="1" applyFill="1" applyBorder="1" applyAlignment="1">
      <alignment horizontal="center" vertical="center"/>
    </xf>
    <xf numFmtId="164" fontId="26" fillId="7" borderId="15" xfId="1" applyNumberFormat="1" applyFont="1" applyFill="1" applyBorder="1" applyAlignment="1">
      <alignment horizontal="center" vertical="center"/>
    </xf>
    <xf numFmtId="164" fontId="35" fillId="0" borderId="15" xfId="1" applyNumberFormat="1" applyFont="1" applyFill="1" applyBorder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/>
    </xf>
    <xf numFmtId="174" fontId="35" fillId="0" borderId="1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38" fillId="0" borderId="0" xfId="0" applyFont="1"/>
    <xf numFmtId="0" fontId="26" fillId="0" borderId="15" xfId="0" applyFont="1" applyBorder="1" applyAlignment="1">
      <alignment horizontal="left" vertical="center"/>
    </xf>
    <xf numFmtId="0" fontId="26" fillId="2" borderId="15" xfId="0" applyFont="1" applyFill="1" applyBorder="1" applyAlignment="1">
      <alignment horizontal="center" vertical="center"/>
    </xf>
    <xf numFmtId="166" fontId="35" fillId="0" borderId="15" xfId="1" applyNumberFormat="1" applyFont="1" applyFill="1" applyBorder="1" applyAlignment="1">
      <alignment horizontal="center" vertical="center"/>
    </xf>
    <xf numFmtId="164" fontId="35" fillId="0" borderId="15" xfId="1" applyNumberFormat="1" applyFont="1" applyFill="1" applyBorder="1" applyAlignment="1">
      <alignment horizontal="center" vertical="center"/>
    </xf>
    <xf numFmtId="0" fontId="39" fillId="0" borderId="0" xfId="0" applyFont="1"/>
    <xf numFmtId="164" fontId="40" fillId="8" borderId="15" xfId="1" applyNumberFormat="1" applyFont="1" applyFill="1" applyBorder="1" applyAlignment="1">
      <alignment horizontal="center" vertical="center"/>
    </xf>
    <xf numFmtId="49" fontId="40" fillId="8" borderId="15" xfId="0" quotePrefix="1" applyNumberFormat="1" applyFont="1" applyFill="1" applyBorder="1" applyAlignment="1">
      <alignment horizontal="center" vertical="center"/>
    </xf>
    <xf numFmtId="0" fontId="40" fillId="8" borderId="15" xfId="0" applyFont="1" applyFill="1" applyBorder="1" applyAlignment="1">
      <alignment horizontal="center" vertical="center" wrapText="1"/>
    </xf>
    <xf numFmtId="164" fontId="40" fillId="8" borderId="15" xfId="1" applyNumberFormat="1" applyFont="1" applyFill="1" applyBorder="1" applyAlignment="1">
      <alignment vertical="center" wrapText="1"/>
    </xf>
    <xf numFmtId="0" fontId="40" fillId="8" borderId="15" xfId="0" quotePrefix="1" applyFont="1" applyFill="1" applyBorder="1" applyAlignment="1">
      <alignment horizontal="center" vertical="center" wrapText="1"/>
    </xf>
    <xf numFmtId="0" fontId="38" fillId="8" borderId="0" xfId="0" applyFont="1" applyFill="1"/>
    <xf numFmtId="164" fontId="40" fillId="8" borderId="28" xfId="1" applyNumberFormat="1" applyFont="1" applyFill="1" applyBorder="1" applyAlignment="1">
      <alignment horizontal="center" vertical="center"/>
    </xf>
    <xf numFmtId="49" fontId="40" fillId="8" borderId="28" xfId="0" quotePrefix="1" applyNumberFormat="1" applyFont="1" applyFill="1" applyBorder="1" applyAlignment="1">
      <alignment horizontal="center" vertical="center"/>
    </xf>
    <xf numFmtId="0" fontId="40" fillId="8" borderId="28" xfId="0" applyFont="1" applyFill="1" applyBorder="1" applyAlignment="1">
      <alignment horizontal="center" vertical="center" wrapText="1"/>
    </xf>
    <xf numFmtId="164" fontId="40" fillId="8" borderId="28" xfId="1" applyNumberFormat="1" applyFont="1" applyFill="1" applyBorder="1" applyAlignment="1">
      <alignment vertical="center" wrapText="1"/>
    </xf>
    <xf numFmtId="0" fontId="40" fillId="8" borderId="28" xfId="0" quotePrefix="1" applyFont="1" applyFill="1" applyBorder="1" applyAlignment="1">
      <alignment horizontal="center" vertical="center" wrapText="1"/>
    </xf>
    <xf numFmtId="0" fontId="40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164" fontId="35" fillId="0" borderId="15" xfId="1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3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26" fillId="9" borderId="28" xfId="0" applyFont="1" applyFill="1" applyBorder="1" applyAlignment="1">
      <alignment horizontal="center" vertical="center"/>
    </xf>
    <xf numFmtId="164" fontId="26" fillId="9" borderId="28" xfId="1" applyNumberFormat="1" applyFont="1" applyFill="1" applyBorder="1" applyAlignment="1">
      <alignment horizontal="center" vertical="center"/>
    </xf>
    <xf numFmtId="164" fontId="35" fillId="0" borderId="0" xfId="1" applyNumberFormat="1" applyFont="1" applyFill="1" applyBorder="1" applyAlignment="1">
      <alignment vertical="center"/>
    </xf>
    <xf numFmtId="164" fontId="35" fillId="0" borderId="0" xfId="1" applyNumberFormat="1" applyFont="1" applyFill="1" applyBorder="1" applyAlignment="1">
      <alignment horizontal="center" vertical="center"/>
    </xf>
    <xf numFmtId="166" fontId="35" fillId="0" borderId="0" xfId="1" applyNumberFormat="1" applyFont="1" applyFill="1" applyBorder="1" applyAlignment="1">
      <alignment horizontal="center" vertical="center"/>
    </xf>
    <xf numFmtId="174" fontId="35" fillId="0" borderId="0" xfId="0" applyNumberFormat="1" applyFont="1" applyAlignment="1">
      <alignment horizontal="center" vertical="center"/>
    </xf>
    <xf numFmtId="164" fontId="39" fillId="0" borderId="0" xfId="0" applyNumberFormat="1" applyFont="1"/>
    <xf numFmtId="0" fontId="39" fillId="0" borderId="0" xfId="0" applyFont="1" applyAlignment="1">
      <alignment wrapText="1"/>
    </xf>
    <xf numFmtId="0" fontId="35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42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43" fillId="0" borderId="15" xfId="0" applyFont="1" applyBorder="1" applyAlignment="1">
      <alignment horizontal="center" vertical="center"/>
    </xf>
    <xf numFmtId="0" fontId="44" fillId="0" borderId="15" xfId="0" applyFont="1" applyBorder="1" applyAlignment="1">
      <alignment horizontal="left" vertical="center"/>
    </xf>
    <xf numFmtId="0" fontId="45" fillId="0" borderId="15" xfId="0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172" fontId="23" fillId="0" borderId="15" xfId="0" applyNumberFormat="1" applyFont="1" applyBorder="1" applyAlignment="1">
      <alignment horizontal="left" vertical="center"/>
    </xf>
    <xf numFmtId="172" fontId="23" fillId="0" borderId="15" xfId="0" applyNumberFormat="1" applyFont="1" applyBorder="1" applyAlignment="1">
      <alignment vertical="center"/>
    </xf>
    <xf numFmtId="172" fontId="23" fillId="0" borderId="0" xfId="0" applyNumberFormat="1" applyFont="1" applyAlignment="1">
      <alignment vertical="center"/>
    </xf>
    <xf numFmtId="0" fontId="45" fillId="0" borderId="15" xfId="0" quotePrefix="1" applyFont="1" applyBorder="1" applyAlignment="1">
      <alignment horizontal="left" vertical="center"/>
    </xf>
    <xf numFmtId="3" fontId="44" fillId="0" borderId="15" xfId="1" applyNumberFormat="1" applyFont="1" applyBorder="1" applyAlignment="1">
      <alignment horizontal="left" vertical="center"/>
    </xf>
    <xf numFmtId="0" fontId="44" fillId="2" borderId="15" xfId="0" applyFont="1" applyFill="1" applyBorder="1" applyAlignment="1">
      <alignment horizontal="center" vertical="center"/>
    </xf>
    <xf numFmtId="0" fontId="0" fillId="10" borderId="15" xfId="0" applyFill="1" applyBorder="1"/>
    <xf numFmtId="0" fontId="44" fillId="2" borderId="15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center" vertical="center" wrapText="1"/>
    </xf>
    <xf numFmtId="15" fontId="0" fillId="10" borderId="15" xfId="0" applyNumberFormat="1" applyFill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4" fillId="0" borderId="15" xfId="0" applyFont="1" applyBorder="1" applyAlignment="1">
      <alignment horizontal="left" vertical="center" wrapText="1"/>
    </xf>
    <xf numFmtId="0" fontId="47" fillId="0" borderId="15" xfId="0" applyFont="1" applyBorder="1" applyAlignment="1">
      <alignment horizontal="center" vertical="center"/>
    </xf>
    <xf numFmtId="0" fontId="48" fillId="0" borderId="15" xfId="0" quotePrefix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4" fillId="0" borderId="15" xfId="0" quotePrefix="1" applyFont="1" applyBorder="1" applyAlignment="1">
      <alignment horizontal="center" vertical="center" wrapText="1"/>
    </xf>
    <xf numFmtId="1" fontId="44" fillId="6" borderId="15" xfId="1" applyNumberFormat="1" applyFont="1" applyFill="1" applyBorder="1" applyAlignment="1">
      <alignment vertical="center" wrapText="1"/>
    </xf>
    <xf numFmtId="0" fontId="44" fillId="11" borderId="15" xfId="0" applyFont="1" applyFill="1" applyBorder="1" applyAlignment="1">
      <alignment horizontal="center" vertical="center" wrapText="1"/>
    </xf>
    <xf numFmtId="164" fontId="45" fillId="0" borderId="15" xfId="1" applyNumberFormat="1" applyFont="1" applyFill="1" applyBorder="1" applyAlignment="1">
      <alignment horizontal="right" vertical="center" wrapText="1"/>
    </xf>
    <xf numFmtId="164" fontId="44" fillId="0" borderId="15" xfId="1" applyNumberFormat="1" applyFont="1" applyFill="1" applyBorder="1" applyAlignment="1">
      <alignment horizontal="center" vertical="center" wrapText="1"/>
    </xf>
    <xf numFmtId="166" fontId="49" fillId="0" borderId="15" xfId="1" applyNumberFormat="1" applyFont="1" applyFill="1" applyBorder="1" applyAlignment="1">
      <alignment horizontal="center" vertical="center" wrapText="1"/>
    </xf>
    <xf numFmtId="164" fontId="50" fillId="0" borderId="15" xfId="1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2" fontId="44" fillId="0" borderId="0" xfId="1" applyNumberFormat="1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center"/>
    </xf>
    <xf numFmtId="164" fontId="45" fillId="11" borderId="15" xfId="1" applyNumberFormat="1" applyFont="1" applyFill="1" applyBorder="1" applyAlignment="1">
      <alignment vertical="center"/>
    </xf>
    <xf numFmtId="164" fontId="44" fillId="0" borderId="15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" fontId="44" fillId="6" borderId="15" xfId="1" applyNumberFormat="1" applyFont="1" applyFill="1" applyBorder="1" applyAlignment="1">
      <alignment vertical="center"/>
    </xf>
    <xf numFmtId="164" fontId="49" fillId="0" borderId="15" xfId="1" applyNumberFormat="1" applyFont="1" applyFill="1" applyBorder="1" applyAlignment="1">
      <alignment horizontal="center" vertical="center" wrapText="1"/>
    </xf>
    <xf numFmtId="164" fontId="51" fillId="0" borderId="15" xfId="1" applyNumberFormat="1" applyFont="1" applyFill="1" applyBorder="1" applyAlignment="1">
      <alignment horizontal="center" vertical="center" wrapText="1"/>
    </xf>
    <xf numFmtId="2" fontId="44" fillId="0" borderId="0" xfId="1" applyNumberFormat="1" applyFont="1" applyFill="1" applyBorder="1" applyAlignment="1">
      <alignment horizontal="center" vertical="center"/>
    </xf>
    <xf numFmtId="0" fontId="0" fillId="0" borderId="15" xfId="0" applyBorder="1"/>
    <xf numFmtId="0" fontId="52" fillId="0" borderId="15" xfId="0" applyFont="1" applyBorder="1" applyAlignment="1">
      <alignment horizontal="center" vertical="center"/>
    </xf>
    <xf numFmtId="164" fontId="45" fillId="10" borderId="15" xfId="1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4" fontId="53" fillId="0" borderId="15" xfId="1" applyNumberFormat="1" applyFont="1" applyBorder="1" applyAlignment="1">
      <alignment vertical="center"/>
    </xf>
    <xf numFmtId="0" fontId="44" fillId="0" borderId="0" xfId="0" applyFont="1" applyAlignment="1">
      <alignment vertical="center"/>
    </xf>
    <xf numFmtId="164" fontId="4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2" fillId="0" borderId="15" xfId="0" applyFont="1" applyBorder="1" applyAlignment="1">
      <alignment vertical="center"/>
    </xf>
    <xf numFmtId="0" fontId="45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44" fillId="8" borderId="15" xfId="0" quotePrefix="1" applyFont="1" applyFill="1" applyBorder="1" applyAlignment="1">
      <alignment horizontal="center" vertical="center" wrapText="1"/>
    </xf>
    <xf numFmtId="1" fontId="44" fillId="6" borderId="28" xfId="1" applyNumberFormat="1" applyFont="1" applyFill="1" applyBorder="1" applyAlignment="1">
      <alignment vertical="center"/>
    </xf>
    <xf numFmtId="164" fontId="45" fillId="10" borderId="28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44" fillId="0" borderId="28" xfId="1" applyNumberFormat="1" applyFont="1" applyFill="1" applyBorder="1" applyAlignment="1">
      <alignment vertical="center"/>
    </xf>
    <xf numFmtId="166" fontId="49" fillId="0" borderId="28" xfId="1" applyNumberFormat="1" applyFont="1" applyFill="1" applyBorder="1" applyAlignment="1">
      <alignment horizontal="center" vertical="center" wrapText="1"/>
    </xf>
    <xf numFmtId="3" fontId="0" fillId="0" borderId="15" xfId="0" applyNumberFormat="1" applyBorder="1" applyAlignment="1">
      <alignment vertical="center"/>
    </xf>
    <xf numFmtId="2" fontId="44" fillId="0" borderId="0" xfId="1" applyNumberFormat="1" applyFont="1" applyFill="1" applyBorder="1" applyAlignment="1">
      <alignment vertical="center"/>
    </xf>
    <xf numFmtId="0" fontId="44" fillId="0" borderId="28" xfId="0" applyFont="1" applyBorder="1" applyAlignment="1">
      <alignment horizontal="left" vertical="center"/>
    </xf>
    <xf numFmtId="0" fontId="47" fillId="0" borderId="28" xfId="0" applyFont="1" applyBorder="1" applyAlignment="1">
      <alignment horizontal="center" vertical="center"/>
    </xf>
    <xf numFmtId="0" fontId="48" fillId="0" borderId="28" xfId="0" quotePrefix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4" fillId="0" borderId="28" xfId="0" quotePrefix="1" applyFont="1" applyBorder="1" applyAlignment="1">
      <alignment horizontal="center" vertical="center" wrapText="1"/>
    </xf>
    <xf numFmtId="1" fontId="44" fillId="6" borderId="15" xfId="1" applyNumberFormat="1" applyFont="1" applyFill="1" applyBorder="1" applyAlignment="1">
      <alignment horizontal="right" vertical="center"/>
    </xf>
    <xf numFmtId="164" fontId="49" fillId="0" borderId="15" xfId="1" applyNumberFormat="1" applyFont="1" applyFill="1" applyBorder="1" applyAlignment="1">
      <alignment horizontal="right" vertical="center" wrapText="1"/>
    </xf>
    <xf numFmtId="164" fontId="54" fillId="0" borderId="15" xfId="1" applyNumberFormat="1" applyFont="1" applyFill="1" applyBorder="1" applyAlignment="1">
      <alignment horizontal="center" vertical="center" wrapText="1"/>
    </xf>
    <xf numFmtId="2" fontId="44" fillId="0" borderId="0" xfId="1" applyNumberFormat="1" applyFont="1" applyFill="1" applyBorder="1" applyAlignment="1">
      <alignment horizontal="right" vertical="center"/>
    </xf>
    <xf numFmtId="164" fontId="49" fillId="8" borderId="15" xfId="1" applyNumberFormat="1" applyFont="1" applyFill="1" applyBorder="1" applyAlignment="1">
      <alignment horizontal="right" vertical="center" wrapText="1"/>
    </xf>
    <xf numFmtId="164" fontId="44" fillId="0" borderId="15" xfId="1" applyNumberFormat="1" applyFont="1" applyFill="1" applyBorder="1" applyAlignment="1">
      <alignment vertical="center"/>
    </xf>
    <xf numFmtId="164" fontId="51" fillId="0" borderId="15" xfId="1" applyNumberFormat="1" applyFont="1" applyFill="1" applyBorder="1" applyAlignment="1">
      <alignment horizontal="right" vertical="center" wrapText="1"/>
    </xf>
    <xf numFmtId="164" fontId="44" fillId="0" borderId="15" xfId="1" applyNumberFormat="1" applyFont="1" applyFill="1" applyBorder="1" applyAlignment="1">
      <alignment horizontal="right" vertical="center"/>
    </xf>
    <xf numFmtId="0" fontId="23" fillId="0" borderId="0" xfId="0" applyFont="1"/>
    <xf numFmtId="0" fontId="2" fillId="0" borderId="0" xfId="0" applyFont="1"/>
    <xf numFmtId="0" fontId="0" fillId="8" borderId="28" xfId="0" applyFill="1" applyBorder="1" applyAlignment="1">
      <alignment horizontal="center" vertical="center"/>
    </xf>
    <xf numFmtId="0" fontId="44" fillId="8" borderId="28" xfId="0" quotePrefix="1" applyFont="1" applyFill="1" applyBorder="1" applyAlignment="1">
      <alignment horizontal="center" vertical="center" wrapText="1"/>
    </xf>
    <xf numFmtId="164" fontId="45" fillId="10" borderId="19" xfId="1" applyNumberFormat="1" applyFont="1" applyFill="1" applyBorder="1" applyAlignment="1">
      <alignment vertical="center"/>
    </xf>
    <xf numFmtId="0" fontId="44" fillId="0" borderId="28" xfId="0" applyFont="1" applyBorder="1" applyAlignment="1">
      <alignment horizontal="left" vertical="center" wrapText="1"/>
    </xf>
    <xf numFmtId="164" fontId="45" fillId="11" borderId="19" xfId="1" applyNumberFormat="1" applyFont="1" applyFill="1" applyBorder="1" applyAlignment="1">
      <alignment vertical="center"/>
    </xf>
    <xf numFmtId="164" fontId="44" fillId="0" borderId="28" xfId="1" applyNumberFormat="1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164" fontId="44" fillId="11" borderId="21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44" fillId="6" borderId="27" xfId="1" applyNumberFormat="1" applyFont="1" applyFill="1" applyBorder="1" applyAlignment="1">
      <alignment vertical="center"/>
    </xf>
    <xf numFmtId="0" fontId="44" fillId="11" borderId="28" xfId="0" applyFont="1" applyFill="1" applyBorder="1" applyAlignment="1">
      <alignment vertical="center"/>
    </xf>
    <xf numFmtId="164" fontId="44" fillId="0" borderId="27" xfId="1" applyNumberFormat="1" applyFont="1" applyFill="1" applyBorder="1" applyAlignment="1">
      <alignment horizontal="center" vertical="center"/>
    </xf>
    <xf numFmtId="164" fontId="45" fillId="0" borderId="15" xfId="1" applyNumberFormat="1" applyFont="1" applyFill="1" applyBorder="1" applyAlignment="1">
      <alignment vertical="center"/>
    </xf>
    <xf numFmtId="164" fontId="44" fillId="0" borderId="0" xfId="1" applyNumberFormat="1" applyFont="1" applyFill="1" applyBorder="1" applyAlignment="1">
      <alignment horizontal="center" vertical="center"/>
    </xf>
    <xf numFmtId="0" fontId="48" fillId="8" borderId="15" xfId="0" quotePrefix="1" applyFont="1" applyFill="1" applyBorder="1" applyAlignment="1">
      <alignment horizontal="center" vertical="center"/>
    </xf>
    <xf numFmtId="0" fontId="55" fillId="0" borderId="0" xfId="0" quotePrefix="1" applyFont="1" applyAlignment="1">
      <alignment horizontal="center"/>
    </xf>
    <xf numFmtId="164" fontId="51" fillId="8" borderId="15" xfId="1" applyNumberFormat="1" applyFont="1" applyFill="1" applyBorder="1" applyAlignment="1">
      <alignment horizontal="right" vertical="center" wrapText="1"/>
    </xf>
    <xf numFmtId="164" fontId="44" fillId="0" borderId="0" xfId="1" applyNumberFormat="1" applyFont="1" applyFill="1" applyBorder="1" applyAlignment="1">
      <alignment vertical="center"/>
    </xf>
    <xf numFmtId="0" fontId="55" fillId="0" borderId="15" xfId="0" applyFont="1" applyBorder="1" applyAlignment="1">
      <alignment horizontal="center" vertical="center"/>
    </xf>
    <xf numFmtId="0" fontId="55" fillId="0" borderId="15" xfId="0" quotePrefix="1" applyFont="1" applyBorder="1" applyAlignment="1">
      <alignment horizontal="center" vertical="center"/>
    </xf>
    <xf numFmtId="0" fontId="56" fillId="8" borderId="28" xfId="0" quotePrefix="1" applyFont="1" applyFill="1" applyBorder="1" applyAlignment="1">
      <alignment horizontal="right" vertical="center" wrapText="1"/>
    </xf>
    <xf numFmtId="164" fontId="2" fillId="0" borderId="15" xfId="0" applyNumberFormat="1" applyFont="1" applyBorder="1" applyAlignment="1">
      <alignment vertical="center"/>
    </xf>
    <xf numFmtId="0" fontId="44" fillId="8" borderId="0" xfId="0" applyFont="1" applyFill="1" applyAlignment="1">
      <alignment vertical="center"/>
    </xf>
    <xf numFmtId="0" fontId="36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32599</xdr:colOff>
      <xdr:row>0</xdr:row>
      <xdr:rowOff>1</xdr:rowOff>
    </xdr:from>
    <xdr:ext cx="684578" cy="282036"/>
    <xdr:pic>
      <xdr:nvPicPr>
        <xdr:cNvPr id="2" name="image1.png">
          <a:extLst>
            <a:ext uri="{FF2B5EF4-FFF2-40B4-BE49-F238E27FC236}">
              <a16:creationId xmlns:a16="http://schemas.microsoft.com/office/drawing/2014/main" id="{BF96966E-D60A-4256-83B2-7BC0F6D9D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99" y="1"/>
          <a:ext cx="684578" cy="282036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979706" cy="45719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5FF025B8-F260-41F5-BB71-CC3D8075664A}"/>
            </a:ext>
          </a:extLst>
        </xdr:cNvPr>
        <xdr:cNvSpPr/>
      </xdr:nvSpPr>
      <xdr:spPr>
        <a:xfrm>
          <a:off x="6553200" y="3695700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119529</xdr:colOff>
      <xdr:row>16</xdr:row>
      <xdr:rowOff>0</xdr:rowOff>
    </xdr:from>
    <xdr:ext cx="1979706" cy="45719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7B3870A0-39E3-4F48-AFBA-0C9EBE55DEFC}"/>
            </a:ext>
          </a:extLst>
        </xdr:cNvPr>
        <xdr:cNvSpPr/>
      </xdr:nvSpPr>
      <xdr:spPr>
        <a:xfrm>
          <a:off x="9523879" y="3695700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956235</xdr:colOff>
      <xdr:row>15</xdr:row>
      <xdr:rowOff>164352</xdr:rowOff>
    </xdr:from>
    <xdr:ext cx="1979706" cy="45719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EB81851-678E-4944-8E88-C92D533E26BC}"/>
            </a:ext>
          </a:extLst>
        </xdr:cNvPr>
        <xdr:cNvSpPr/>
      </xdr:nvSpPr>
      <xdr:spPr>
        <a:xfrm>
          <a:off x="4074085" y="3694952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16</xdr:row>
      <xdr:rowOff>0</xdr:rowOff>
    </xdr:from>
    <xdr:ext cx="1979706" cy="45719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77EFB384-29CA-4646-A7E0-05EDD3447C2F}"/>
            </a:ext>
          </a:extLst>
        </xdr:cNvPr>
        <xdr:cNvSpPr/>
      </xdr:nvSpPr>
      <xdr:spPr>
        <a:xfrm>
          <a:off x="6553200" y="3695700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15</xdr:row>
      <xdr:rowOff>156883</xdr:rowOff>
    </xdr:from>
    <xdr:ext cx="1038412" cy="69103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5469484E-DF9A-4D93-9DC6-D9AD4C3933CF}"/>
            </a:ext>
          </a:extLst>
        </xdr:cNvPr>
        <xdr:cNvSpPr/>
      </xdr:nvSpPr>
      <xdr:spPr>
        <a:xfrm>
          <a:off x="323850" y="3687483"/>
          <a:ext cx="1038412" cy="691030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1733177</xdr:colOff>
      <xdr:row>16</xdr:row>
      <xdr:rowOff>7469</xdr:rowOff>
    </xdr:from>
    <xdr:ext cx="1262529" cy="45719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9F34AB96-CF3C-4744-8103-F2C6AD6446F3}"/>
            </a:ext>
          </a:extLst>
        </xdr:cNvPr>
        <xdr:cNvSpPr/>
      </xdr:nvSpPr>
      <xdr:spPr>
        <a:xfrm>
          <a:off x="2057027" y="3703169"/>
          <a:ext cx="1262529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29883</xdr:colOff>
      <xdr:row>0</xdr:row>
      <xdr:rowOff>0</xdr:rowOff>
    </xdr:from>
    <xdr:ext cx="1153526" cy="493058"/>
    <xdr:pic>
      <xdr:nvPicPr>
        <xdr:cNvPr id="2" name="image1.png">
          <a:extLst>
            <a:ext uri="{FF2B5EF4-FFF2-40B4-BE49-F238E27FC236}">
              <a16:creationId xmlns:a16="http://schemas.microsoft.com/office/drawing/2014/main" id="{4EA5A0D9-CA4A-42B4-8483-96B7C4F17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83" y="0"/>
          <a:ext cx="1153526" cy="493058"/>
        </a:xfrm>
        <a:prstGeom prst="rect">
          <a:avLst/>
        </a:prstGeom>
      </xdr:spPr>
    </xdr:pic>
    <xdr:clientData/>
  </xdr:oneCellAnchor>
  <xdr:oneCellAnchor>
    <xdr:from>
      <xdr:col>3</xdr:col>
      <xdr:colOff>993588</xdr:colOff>
      <xdr:row>12</xdr:row>
      <xdr:rowOff>156883</xdr:rowOff>
    </xdr:from>
    <xdr:ext cx="1561353" cy="45719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616E012C-C65A-41DF-85D4-E70580E27C96}"/>
            </a:ext>
          </a:extLst>
        </xdr:cNvPr>
        <xdr:cNvSpPr/>
      </xdr:nvSpPr>
      <xdr:spPr>
        <a:xfrm>
          <a:off x="4111438" y="3820833"/>
          <a:ext cx="1561353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6</xdr:col>
      <xdr:colOff>351118</xdr:colOff>
      <xdr:row>13</xdr:row>
      <xdr:rowOff>7471</xdr:rowOff>
    </xdr:from>
    <xdr:ext cx="1979706" cy="45719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577911E5-9EF8-4363-ADE1-7903A90C2D40}"/>
            </a:ext>
          </a:extLst>
        </xdr:cNvPr>
        <xdr:cNvSpPr/>
      </xdr:nvSpPr>
      <xdr:spPr>
        <a:xfrm>
          <a:off x="6688418" y="3836521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201704</xdr:colOff>
      <xdr:row>13</xdr:row>
      <xdr:rowOff>7469</xdr:rowOff>
    </xdr:from>
    <xdr:ext cx="1964765" cy="45719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19AF7086-2E88-4316-A098-109EEC22AB8D}"/>
            </a:ext>
          </a:extLst>
        </xdr:cNvPr>
        <xdr:cNvSpPr/>
      </xdr:nvSpPr>
      <xdr:spPr>
        <a:xfrm>
          <a:off x="9891804" y="3836519"/>
          <a:ext cx="1964765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12</xdr:row>
      <xdr:rowOff>156883</xdr:rowOff>
    </xdr:from>
    <xdr:ext cx="1284941" cy="69103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C1BFC1A-5D68-4BA2-8BCF-B26C41705374}"/>
            </a:ext>
          </a:extLst>
        </xdr:cNvPr>
        <xdr:cNvSpPr/>
      </xdr:nvSpPr>
      <xdr:spPr>
        <a:xfrm>
          <a:off x="323850" y="3820833"/>
          <a:ext cx="1284941" cy="691030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1897530</xdr:colOff>
      <xdr:row>12</xdr:row>
      <xdr:rowOff>164352</xdr:rowOff>
    </xdr:from>
    <xdr:ext cx="1262529" cy="45719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DB651F3E-F6E8-4010-B455-5332390801AB}"/>
            </a:ext>
          </a:extLst>
        </xdr:cNvPr>
        <xdr:cNvSpPr/>
      </xdr:nvSpPr>
      <xdr:spPr>
        <a:xfrm>
          <a:off x="2221380" y="3828302"/>
          <a:ext cx="1262529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01821" cy="478118"/>
    <xdr:pic>
      <xdr:nvPicPr>
        <xdr:cNvPr id="2" name="image1.png">
          <a:extLst>
            <a:ext uri="{FF2B5EF4-FFF2-40B4-BE49-F238E27FC236}">
              <a16:creationId xmlns:a16="http://schemas.microsoft.com/office/drawing/2014/main" id="{5F985692-54C6-4A4A-A09D-42FFB0EF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0"/>
          <a:ext cx="1001821" cy="478118"/>
        </a:xfrm>
        <a:prstGeom prst="rect">
          <a:avLst/>
        </a:prstGeom>
      </xdr:spPr>
    </xdr:pic>
    <xdr:clientData/>
  </xdr:oneCellAnchor>
  <xdr:oneCellAnchor>
    <xdr:from>
      <xdr:col>4</xdr:col>
      <xdr:colOff>261470</xdr:colOff>
      <xdr:row>8</xdr:row>
      <xdr:rowOff>156882</xdr:rowOff>
    </xdr:from>
    <xdr:ext cx="1979706" cy="45719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A21D7BAC-966A-43B1-8E20-1D1F5658D77D}"/>
            </a:ext>
          </a:extLst>
        </xdr:cNvPr>
        <xdr:cNvSpPr/>
      </xdr:nvSpPr>
      <xdr:spPr>
        <a:xfrm>
          <a:off x="3880970" y="3731932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9</xdr:row>
      <xdr:rowOff>0</xdr:rowOff>
    </xdr:from>
    <xdr:ext cx="1979706" cy="45719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84A0CE11-7F0D-4AF9-96DD-9D42C3D8A461}"/>
            </a:ext>
          </a:extLst>
        </xdr:cNvPr>
        <xdr:cNvSpPr/>
      </xdr:nvSpPr>
      <xdr:spPr>
        <a:xfrm>
          <a:off x="6324600" y="3740150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119529</xdr:colOff>
      <xdr:row>8</xdr:row>
      <xdr:rowOff>141940</xdr:rowOff>
    </xdr:from>
    <xdr:ext cx="1979706" cy="45719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E1E4A01D-62B6-4D76-AA7C-3C145CFC07C4}"/>
            </a:ext>
          </a:extLst>
        </xdr:cNvPr>
        <xdr:cNvSpPr/>
      </xdr:nvSpPr>
      <xdr:spPr>
        <a:xfrm>
          <a:off x="9295279" y="3716990"/>
          <a:ext cx="1979706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8</xdr:row>
      <xdr:rowOff>156883</xdr:rowOff>
    </xdr:from>
    <xdr:ext cx="1038412" cy="69103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BF6A19C4-DE33-4A70-9355-AEC37E113133}"/>
            </a:ext>
          </a:extLst>
        </xdr:cNvPr>
        <xdr:cNvSpPr/>
      </xdr:nvSpPr>
      <xdr:spPr>
        <a:xfrm>
          <a:off x="323850" y="3731933"/>
          <a:ext cx="1038412" cy="691030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1613647</xdr:colOff>
      <xdr:row>8</xdr:row>
      <xdr:rowOff>149411</xdr:rowOff>
    </xdr:from>
    <xdr:ext cx="1262529" cy="45719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1CC62D17-2C0B-4497-A550-4D6DC9CFB78E}"/>
            </a:ext>
          </a:extLst>
        </xdr:cNvPr>
        <xdr:cNvSpPr/>
      </xdr:nvSpPr>
      <xdr:spPr>
        <a:xfrm>
          <a:off x="1937497" y="3724461"/>
          <a:ext cx="1262529" cy="45719"/>
        </a:xfrm>
        <a:custGeom>
          <a:avLst/>
          <a:gdLst/>
          <a:ahLst/>
          <a:cxnLst/>
          <a:rect l="0" t="0" r="0" b="0"/>
          <a:pathLst>
            <a:path w="2019300">
              <a:moveTo>
                <a:pt x="0" y="0"/>
              </a:moveTo>
              <a:lnTo>
                <a:pt x="20193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24644</xdr:colOff>
      <xdr:row>0</xdr:row>
      <xdr:rowOff>9071</xdr:rowOff>
    </xdr:from>
    <xdr:ext cx="1281642" cy="480786"/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C916083B-4C68-4E78-9206-719A80320C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44" y="9071"/>
          <a:ext cx="1281642" cy="48078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26</xdr:row>
      <xdr:rowOff>0</xdr:rowOff>
    </xdr:from>
    <xdr:to>
      <xdr:col>1</xdr:col>
      <xdr:colOff>306387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04B01F-5B36-420F-AAB5-7C7E17D973DE}"/>
            </a:ext>
          </a:extLst>
        </xdr:cNvPr>
        <xdr:cNvCxnSpPr/>
      </xdr:nvCxnSpPr>
      <xdr:spPr>
        <a:xfrm>
          <a:off x="19050" y="7829550"/>
          <a:ext cx="16017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1476071</xdr:colOff>
      <xdr:row>25</xdr:row>
      <xdr:rowOff>165249</xdr:rowOff>
    </xdr:from>
    <xdr:to>
      <xdr:col>4</xdr:col>
      <xdr:colOff>1460272</xdr:colOff>
      <xdr:row>25</xdr:row>
      <xdr:rowOff>165249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FBDF57-6065-492C-946F-219A69B1AD34}"/>
            </a:ext>
          </a:extLst>
        </xdr:cNvPr>
        <xdr:cNvCxnSpPr/>
      </xdr:nvCxnSpPr>
      <xdr:spPr>
        <a:xfrm>
          <a:off x="5381321" y="7810649"/>
          <a:ext cx="162250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1022047</xdr:colOff>
      <xdr:row>26</xdr:row>
      <xdr:rowOff>9071</xdr:rowOff>
    </xdr:from>
    <xdr:to>
      <xdr:col>10</xdr:col>
      <xdr:colOff>716643</xdr:colOff>
      <xdr:row>26</xdr:row>
      <xdr:rowOff>9071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4E0740-D234-4C99-9D61-465669C8B02C}"/>
            </a:ext>
          </a:extLst>
        </xdr:cNvPr>
        <xdr:cNvCxnSpPr/>
      </xdr:nvCxnSpPr>
      <xdr:spPr>
        <a:xfrm>
          <a:off x="11950397" y="7838621"/>
          <a:ext cx="22409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51858</xdr:colOff>
      <xdr:row>0</xdr:row>
      <xdr:rowOff>0</xdr:rowOff>
    </xdr:from>
    <xdr:ext cx="1190625" cy="457202"/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BA5B60F-1A37-47FE-9835-79E913F793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58" y="0"/>
          <a:ext cx="1190625" cy="4572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617764</xdr:colOff>
      <xdr:row>20</xdr:row>
      <xdr:rowOff>172356</xdr:rowOff>
    </xdr:from>
    <xdr:to>
      <xdr:col>1</xdr:col>
      <xdr:colOff>905101</xdr:colOff>
      <xdr:row>20</xdr:row>
      <xdr:rowOff>172356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2FB632-C3E0-400D-A36A-F6CFFCF50B40}"/>
            </a:ext>
          </a:extLst>
        </xdr:cNvPr>
        <xdr:cNvCxnSpPr/>
      </xdr:nvCxnSpPr>
      <xdr:spPr>
        <a:xfrm>
          <a:off x="617764" y="5842906"/>
          <a:ext cx="14684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1735931</xdr:colOff>
      <xdr:row>20</xdr:row>
      <xdr:rowOff>184218</xdr:rowOff>
    </xdr:from>
    <xdr:to>
      <xdr:col>5</xdr:col>
      <xdr:colOff>231510</xdr:colOff>
      <xdr:row>20</xdr:row>
      <xdr:rowOff>184218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02C957-4CA5-490B-B541-6C05FDAFA897}"/>
            </a:ext>
          </a:extLst>
        </xdr:cNvPr>
        <xdr:cNvCxnSpPr/>
      </xdr:nvCxnSpPr>
      <xdr:spPr>
        <a:xfrm>
          <a:off x="5037931" y="5854768"/>
          <a:ext cx="169597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214690</xdr:colOff>
      <xdr:row>21</xdr:row>
      <xdr:rowOff>13104</xdr:rowOff>
    </xdr:from>
    <xdr:to>
      <xdr:col>11</xdr:col>
      <xdr:colOff>594985</xdr:colOff>
      <xdr:row>21</xdr:row>
      <xdr:rowOff>18143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24F3C49-8E89-4853-B5FE-6A53E720BBBB}"/>
            </a:ext>
          </a:extLst>
        </xdr:cNvPr>
        <xdr:cNvCxnSpPr/>
      </xdr:nvCxnSpPr>
      <xdr:spPr>
        <a:xfrm flipV="1">
          <a:off x="11898690" y="5867804"/>
          <a:ext cx="2056695" cy="503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51858</xdr:colOff>
      <xdr:row>0</xdr:row>
      <xdr:rowOff>0</xdr:rowOff>
    </xdr:from>
    <xdr:ext cx="1190625" cy="457202"/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3141AFF-F3C6-4461-910D-81D94B57D9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58" y="0"/>
          <a:ext cx="1190625" cy="4572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800589</xdr:colOff>
      <xdr:row>24</xdr:row>
      <xdr:rowOff>166077</xdr:rowOff>
    </xdr:from>
    <xdr:to>
      <xdr:col>1</xdr:col>
      <xdr:colOff>1087926</xdr:colOff>
      <xdr:row>24</xdr:row>
      <xdr:rowOff>166077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FFDD7B-87F7-47EB-AA1F-E8DA8A716F17}"/>
            </a:ext>
          </a:extLst>
        </xdr:cNvPr>
        <xdr:cNvCxnSpPr/>
      </xdr:nvCxnSpPr>
      <xdr:spPr>
        <a:xfrm>
          <a:off x="800589" y="6916127"/>
          <a:ext cx="16017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779456</xdr:colOff>
      <xdr:row>25</xdr:row>
      <xdr:rowOff>0</xdr:rowOff>
    </xdr:from>
    <xdr:to>
      <xdr:col>4</xdr:col>
      <xdr:colOff>426357</xdr:colOff>
      <xdr:row>25</xdr:row>
      <xdr:rowOff>3362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C1A4F45-6D42-4A30-BF28-3039E384E355}"/>
            </a:ext>
          </a:extLst>
        </xdr:cNvPr>
        <xdr:cNvCxnSpPr/>
      </xdr:nvCxnSpPr>
      <xdr:spPr>
        <a:xfrm flipV="1">
          <a:off x="4595806" y="6934200"/>
          <a:ext cx="1926551" cy="33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107462</xdr:colOff>
      <xdr:row>24</xdr:row>
      <xdr:rowOff>175846</xdr:rowOff>
    </xdr:from>
    <xdr:to>
      <xdr:col>10</xdr:col>
      <xdr:colOff>1250462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8857384-02E8-42FD-8235-5BF307D02C28}"/>
            </a:ext>
          </a:extLst>
        </xdr:cNvPr>
        <xdr:cNvCxnSpPr/>
      </xdr:nvCxnSpPr>
      <xdr:spPr>
        <a:xfrm>
          <a:off x="10311912" y="6925896"/>
          <a:ext cx="2197100" cy="83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36287</xdr:colOff>
      <xdr:row>0</xdr:row>
      <xdr:rowOff>38099</xdr:rowOff>
    </xdr:from>
    <xdr:ext cx="1016000" cy="451757"/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DFF937A2-0775-4D92-BDED-1BDB2A0052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7" y="38099"/>
          <a:ext cx="1016000" cy="4517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452962</xdr:colOff>
      <xdr:row>27</xdr:row>
      <xdr:rowOff>9071</xdr:rowOff>
    </xdr:from>
    <xdr:to>
      <xdr:col>1</xdr:col>
      <xdr:colOff>1106718</xdr:colOff>
      <xdr:row>27</xdr:row>
      <xdr:rowOff>9072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7E2E38-16EB-4B17-AEB8-71E14503DA0B}"/>
            </a:ext>
          </a:extLst>
        </xdr:cNvPr>
        <xdr:cNvCxnSpPr/>
      </xdr:nvCxnSpPr>
      <xdr:spPr>
        <a:xfrm>
          <a:off x="452962" y="6378121"/>
          <a:ext cx="1574506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900296</xdr:colOff>
      <xdr:row>26</xdr:row>
      <xdr:rowOff>190498</xdr:rowOff>
    </xdr:from>
    <xdr:to>
      <xdr:col>9</xdr:col>
      <xdr:colOff>136070</xdr:colOff>
      <xdr:row>26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F123897-248D-444C-8FA6-B670C04F39B8}"/>
            </a:ext>
          </a:extLst>
        </xdr:cNvPr>
        <xdr:cNvCxnSpPr/>
      </xdr:nvCxnSpPr>
      <xdr:spPr>
        <a:xfrm>
          <a:off x="7847196" y="6362698"/>
          <a:ext cx="1496374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9732</xdr:colOff>
      <xdr:row>26</xdr:row>
      <xdr:rowOff>190500</xdr:rowOff>
    </xdr:from>
    <xdr:to>
      <xdr:col>5</xdr:col>
      <xdr:colOff>452905</xdr:colOff>
      <xdr:row>26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A10DA0B-7B20-41C3-9CA3-655B2FCCCB23}"/>
            </a:ext>
          </a:extLst>
        </xdr:cNvPr>
        <xdr:cNvCxnSpPr/>
      </xdr:nvCxnSpPr>
      <xdr:spPr>
        <a:xfrm>
          <a:off x="4238832" y="6362700"/>
          <a:ext cx="13321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653143</xdr:colOff>
      <xdr:row>27</xdr:row>
      <xdr:rowOff>0</xdr:rowOff>
    </xdr:from>
    <xdr:to>
      <xdr:col>13</xdr:col>
      <xdr:colOff>379202</xdr:colOff>
      <xdr:row>27</xdr:row>
      <xdr:rowOff>1140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8CAFD89-D71F-4796-BE2B-EC4EB1214737}"/>
            </a:ext>
          </a:extLst>
        </xdr:cNvPr>
        <xdr:cNvCxnSpPr/>
      </xdr:nvCxnSpPr>
      <xdr:spPr>
        <a:xfrm>
          <a:off x="11613243" y="6369050"/>
          <a:ext cx="1846959" cy="1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1119909</xdr:colOff>
      <xdr:row>35</xdr:row>
      <xdr:rowOff>11546</xdr:rowOff>
    </xdr:from>
    <xdr:to>
      <xdr:col>5</xdr:col>
      <xdr:colOff>13566</xdr:colOff>
      <xdr:row>35</xdr:row>
      <xdr:rowOff>11546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E0925F1-F657-4F0F-AD8B-0D9791320C84}"/>
            </a:ext>
          </a:extLst>
        </xdr:cNvPr>
        <xdr:cNvCxnSpPr/>
      </xdr:nvCxnSpPr>
      <xdr:spPr>
        <a:xfrm>
          <a:off x="3590059" y="7891896"/>
          <a:ext cx="15416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767425</xdr:colOff>
      <xdr:row>35</xdr:row>
      <xdr:rowOff>0</xdr:rowOff>
    </xdr:from>
    <xdr:to>
      <xdr:col>8</xdr:col>
      <xdr:colOff>625928</xdr:colOff>
      <xdr:row>35</xdr:row>
      <xdr:rowOff>2570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8AA02AA-1AA1-4A8C-90BD-28BB249EA9BE}"/>
            </a:ext>
          </a:extLst>
        </xdr:cNvPr>
        <xdr:cNvCxnSpPr/>
      </xdr:nvCxnSpPr>
      <xdr:spPr>
        <a:xfrm flipV="1">
          <a:off x="6914225" y="7880350"/>
          <a:ext cx="2011153" cy="25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52039</xdr:colOff>
      <xdr:row>0</xdr:row>
      <xdr:rowOff>34432</xdr:rowOff>
    </xdr:from>
    <xdr:ext cx="1054676" cy="428211"/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1FB3A7-938D-48D9-A05E-2D5F145566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39" y="34432"/>
          <a:ext cx="1054676" cy="4282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546263</xdr:colOff>
      <xdr:row>40</xdr:row>
      <xdr:rowOff>179828</xdr:rowOff>
    </xdr:from>
    <xdr:to>
      <xdr:col>1</xdr:col>
      <xdr:colOff>1626990</xdr:colOff>
      <xdr:row>40</xdr:row>
      <xdr:rowOff>179828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6125E8-F472-4030-8E97-BEACB8A012D4}"/>
            </a:ext>
          </a:extLst>
        </xdr:cNvPr>
        <xdr:cNvCxnSpPr/>
      </xdr:nvCxnSpPr>
      <xdr:spPr>
        <a:xfrm>
          <a:off x="1060613" y="9298428"/>
          <a:ext cx="108072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440768</xdr:colOff>
      <xdr:row>40</xdr:row>
      <xdr:rowOff>171823</xdr:rowOff>
    </xdr:from>
    <xdr:to>
      <xdr:col>6</xdr:col>
      <xdr:colOff>276415</xdr:colOff>
      <xdr:row>40</xdr:row>
      <xdr:rowOff>179294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33415B9-9327-4F2F-A1F4-9FDCD237CE0F}"/>
            </a:ext>
          </a:extLst>
        </xdr:cNvPr>
        <xdr:cNvCxnSpPr/>
      </xdr:nvCxnSpPr>
      <xdr:spPr>
        <a:xfrm flipV="1">
          <a:off x="4130118" y="9290423"/>
          <a:ext cx="1575547" cy="74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29883</xdr:colOff>
      <xdr:row>40</xdr:row>
      <xdr:rowOff>171823</xdr:rowOff>
    </xdr:from>
    <xdr:to>
      <xdr:col>12</xdr:col>
      <xdr:colOff>1008529</xdr:colOff>
      <xdr:row>40</xdr:row>
      <xdr:rowOff>171823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E97BF0E-3E5D-4314-9DD3-56415613ED8F}"/>
            </a:ext>
          </a:extLst>
        </xdr:cNvPr>
        <xdr:cNvCxnSpPr/>
      </xdr:nvCxnSpPr>
      <xdr:spPr>
        <a:xfrm>
          <a:off x="9256433" y="9290423"/>
          <a:ext cx="18041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231587</xdr:colOff>
      <xdr:row>40</xdr:row>
      <xdr:rowOff>171824</xdr:rowOff>
    </xdr:from>
    <xdr:to>
      <xdr:col>9</xdr:col>
      <xdr:colOff>612588</xdr:colOff>
      <xdr:row>40</xdr:row>
      <xdr:rowOff>179294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D98721C-A570-4DD5-81A1-AE2E725C143E}"/>
            </a:ext>
          </a:extLst>
        </xdr:cNvPr>
        <xdr:cNvCxnSpPr/>
      </xdr:nvCxnSpPr>
      <xdr:spPr>
        <a:xfrm>
          <a:off x="6714937" y="9290424"/>
          <a:ext cx="1485901" cy="74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B38F-1E04-482A-8F57-04BA9C8B6B05}">
  <dimension ref="A1:Q20"/>
  <sheetViews>
    <sheetView tabSelected="1" zoomScale="85" zoomScaleNormal="85" workbookViewId="0">
      <selection activeCell="C21" sqref="C21"/>
    </sheetView>
  </sheetViews>
  <sheetFormatPr defaultRowHeight="14.5"/>
  <cols>
    <col min="1" max="1" width="4.6328125" style="4" customWidth="1"/>
    <col min="2" max="2" width="27.26953125" style="4" customWidth="1"/>
    <col min="3" max="3" width="12.7265625" style="4" customWidth="1"/>
    <col min="4" max="4" width="14.6328125" style="4" customWidth="1"/>
    <col min="5" max="5" width="16.54296875" style="4" customWidth="1"/>
    <col min="6" max="6" width="11.7265625" style="4" customWidth="1"/>
    <col min="7" max="7" width="6.26953125" style="4" customWidth="1"/>
    <col min="8" max="8" width="8.453125" style="4" customWidth="1"/>
    <col min="9" max="9" width="7.1796875" style="4" customWidth="1"/>
    <col min="10" max="10" width="7.54296875" style="4" customWidth="1"/>
    <col min="11" max="11" width="8.90625" style="4" customWidth="1"/>
    <col min="12" max="12" width="8.7265625" style="4"/>
    <col min="13" max="13" width="8.08984375" style="4" customWidth="1"/>
    <col min="14" max="14" width="7.90625" style="4" customWidth="1"/>
    <col min="15" max="15" width="8.90625" style="4" customWidth="1"/>
    <col min="16" max="16" width="9.26953125" style="4" customWidth="1"/>
    <col min="17" max="17" width="8.81640625" style="4" customWidth="1"/>
    <col min="18" max="16384" width="8.7265625" style="4"/>
  </cols>
  <sheetData>
    <row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10"/>
      <c r="J3" s="10"/>
      <c r="K3" s="11">
        <v>46180</v>
      </c>
      <c r="L3" s="12"/>
      <c r="M3" s="12"/>
      <c r="N3" s="12"/>
      <c r="O3" s="12"/>
      <c r="P3" s="12"/>
      <c r="Q3" s="13"/>
    </row>
    <row r="4" spans="1:17" ht="27">
      <c r="A4" s="14"/>
      <c r="B4" s="14"/>
      <c r="C4" s="14"/>
      <c r="D4" s="14"/>
      <c r="E4" s="14"/>
      <c r="F4" s="14"/>
      <c r="G4" s="14"/>
      <c r="H4" s="15" t="s">
        <v>10</v>
      </c>
      <c r="I4" s="16" t="s">
        <v>11</v>
      </c>
      <c r="J4" s="16" t="s">
        <v>12</v>
      </c>
      <c r="K4" s="17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18" t="s">
        <v>19</v>
      </c>
    </row>
    <row r="5" spans="1:17" ht="31.5">
      <c r="A5" s="19">
        <v>1</v>
      </c>
      <c r="B5" s="20" t="s">
        <v>20</v>
      </c>
      <c r="C5" s="21" t="s">
        <v>21</v>
      </c>
      <c r="D5" s="22" t="s">
        <v>22</v>
      </c>
      <c r="E5" s="23" t="s">
        <v>23</v>
      </c>
      <c r="F5" s="22" t="s">
        <v>24</v>
      </c>
      <c r="G5" s="24" t="s">
        <v>25</v>
      </c>
      <c r="H5" s="25" t="s">
        <v>26</v>
      </c>
      <c r="I5" s="26">
        <v>9454.65</v>
      </c>
      <c r="J5" s="27">
        <v>189093</v>
      </c>
      <c r="K5" s="28">
        <f>SUM(I5:J5)</f>
        <v>198547.65</v>
      </c>
      <c r="L5" s="29" t="s">
        <v>26</v>
      </c>
      <c r="M5" s="30">
        <f>K5</f>
        <v>198547.65</v>
      </c>
      <c r="N5" s="31">
        <v>46180</v>
      </c>
      <c r="O5" s="32">
        <v>46198</v>
      </c>
      <c r="P5" s="33" t="s">
        <v>27</v>
      </c>
      <c r="Q5" s="34">
        <v>173645.32</v>
      </c>
    </row>
    <row r="6" spans="1:17">
      <c r="A6" s="35" t="s">
        <v>28</v>
      </c>
      <c r="B6" s="36"/>
      <c r="C6" s="36"/>
      <c r="D6" s="36"/>
      <c r="E6" s="36"/>
      <c r="F6" s="36"/>
      <c r="G6" s="36"/>
      <c r="H6" s="37"/>
      <c r="I6" s="38"/>
      <c r="J6" s="39"/>
      <c r="K6" s="40" t="s">
        <v>29</v>
      </c>
      <c r="L6" s="41"/>
      <c r="M6" s="42">
        <f>M5</f>
        <v>198547.65</v>
      </c>
      <c r="N6" s="43"/>
      <c r="O6" s="43"/>
      <c r="P6" s="43"/>
    </row>
    <row r="7" spans="1:17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11" spans="1:17" hidden="1">
      <c r="A11" s="46" t="s">
        <v>30</v>
      </c>
      <c r="B11" s="47"/>
      <c r="C11" s="47"/>
      <c r="D11" s="47"/>
      <c r="E11" s="47"/>
      <c r="F11" s="48"/>
    </row>
    <row r="12" spans="1:17" hidden="1">
      <c r="A12" s="49"/>
      <c r="B12" s="50"/>
      <c r="C12" s="50"/>
      <c r="D12" s="50"/>
      <c r="E12" s="50"/>
      <c r="F12" s="51"/>
    </row>
    <row r="13" spans="1:17" hidden="1">
      <c r="A13" s="52"/>
      <c r="B13" s="53"/>
      <c r="C13" s="53"/>
      <c r="D13" s="53"/>
      <c r="E13" s="53"/>
      <c r="F13" s="54"/>
    </row>
    <row r="17" spans="2:16">
      <c r="B17" s="55" t="s">
        <v>31</v>
      </c>
      <c r="C17" s="56" t="s">
        <v>32</v>
      </c>
      <c r="E17" s="57" t="s">
        <v>33</v>
      </c>
      <c r="F17" s="57"/>
      <c r="G17" s="58"/>
      <c r="H17" s="57" t="s">
        <v>34</v>
      </c>
      <c r="I17" s="57"/>
      <c r="J17" s="57"/>
      <c r="K17" s="56"/>
      <c r="M17" s="57" t="s">
        <v>35</v>
      </c>
      <c r="N17" s="57"/>
      <c r="O17" s="57"/>
      <c r="P17" s="57"/>
    </row>
    <row r="18" spans="2:16">
      <c r="B18" s="55" t="s">
        <v>36</v>
      </c>
      <c r="C18" s="59" t="s">
        <v>37</v>
      </c>
      <c r="E18" s="57" t="s">
        <v>38</v>
      </c>
      <c r="F18" s="57"/>
      <c r="G18" s="58"/>
      <c r="H18" s="57" t="s">
        <v>39</v>
      </c>
      <c r="I18" s="57"/>
      <c r="J18" s="57"/>
      <c r="M18" s="57" t="s">
        <v>40</v>
      </c>
      <c r="N18" s="57"/>
      <c r="O18" s="57"/>
      <c r="P18" s="57"/>
    </row>
    <row r="19" spans="2:16">
      <c r="B19" s="59" t="s">
        <v>41</v>
      </c>
      <c r="C19" s="59"/>
      <c r="E19" s="60" t="s">
        <v>42</v>
      </c>
      <c r="F19" s="60"/>
      <c r="G19" s="61"/>
      <c r="H19" s="60" t="s">
        <v>43</v>
      </c>
      <c r="I19" s="60"/>
      <c r="J19" s="60"/>
      <c r="M19" s="62" t="s">
        <v>44</v>
      </c>
      <c r="N19" s="60"/>
      <c r="O19" s="60"/>
      <c r="P19" s="60"/>
    </row>
    <row r="20" spans="2:16">
      <c r="B20" s="59" t="s">
        <v>45</v>
      </c>
      <c r="C20" s="59"/>
      <c r="E20" s="60" t="s">
        <v>45</v>
      </c>
      <c r="F20" s="60"/>
      <c r="G20" s="61"/>
      <c r="H20" s="60" t="s">
        <v>45</v>
      </c>
      <c r="I20" s="60"/>
      <c r="J20" s="60"/>
    </row>
  </sheetData>
  <mergeCells count="27">
    <mergeCell ref="E19:F19"/>
    <mergeCell ref="H19:J19"/>
    <mergeCell ref="M19:P19"/>
    <mergeCell ref="E20:F20"/>
    <mergeCell ref="H20:J20"/>
    <mergeCell ref="E17:F17"/>
    <mergeCell ref="H17:J17"/>
    <mergeCell ref="M17:P17"/>
    <mergeCell ref="E18:F18"/>
    <mergeCell ref="H18:J18"/>
    <mergeCell ref="M18:P18"/>
    <mergeCell ref="K3:Q3"/>
    <mergeCell ref="A6:H6"/>
    <mergeCell ref="I6:J6"/>
    <mergeCell ref="K6:L6"/>
    <mergeCell ref="A7:P7"/>
    <mergeCell ref="A11:F13"/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767E-1A4F-43D5-A8A6-A25B634070F6}">
  <dimension ref="A1:Q17"/>
  <sheetViews>
    <sheetView workbookViewId="0">
      <selection activeCell="D17" sqref="D17"/>
    </sheetView>
  </sheetViews>
  <sheetFormatPr defaultRowHeight="14.5"/>
  <cols>
    <col min="1" max="1" width="4.6328125" style="4" customWidth="1"/>
    <col min="2" max="2" width="27.26953125" style="4" customWidth="1"/>
    <col min="3" max="3" width="12.7265625" style="4" customWidth="1"/>
    <col min="4" max="4" width="14.7265625" style="4" customWidth="1"/>
    <col min="5" max="5" width="19.6328125" style="4" customWidth="1"/>
    <col min="6" max="6" width="11.7265625" style="4" customWidth="1"/>
    <col min="7" max="7" width="7.1796875" style="4" bestFit="1" customWidth="1"/>
    <col min="8" max="8" width="8.453125" style="4" customWidth="1"/>
    <col min="9" max="9" width="7.1796875" style="4" customWidth="1"/>
    <col min="10" max="10" width="7.54296875" style="4" customWidth="1"/>
    <col min="11" max="11" width="8.90625" style="4" customWidth="1"/>
    <col min="12" max="12" width="8.7265625" style="4"/>
    <col min="13" max="13" width="9.36328125" style="4" bestFit="1" customWidth="1"/>
    <col min="14" max="14" width="7.90625" style="4" customWidth="1"/>
    <col min="15" max="15" width="8.90625" style="4" customWidth="1"/>
    <col min="16" max="16" width="9.26953125" style="4" customWidth="1"/>
    <col min="17" max="17" width="8.6328125" style="4" bestFit="1" customWidth="1"/>
    <col min="18" max="16384" width="8.7265625" style="4"/>
  </cols>
  <sheetData>
    <row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5" t="s">
        <v>46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>
      <c r="A3" s="63" t="s">
        <v>2</v>
      </c>
      <c r="B3" s="64" t="s">
        <v>3</v>
      </c>
      <c r="C3" s="63" t="s">
        <v>4</v>
      </c>
      <c r="D3" s="63" t="s">
        <v>5</v>
      </c>
      <c r="E3" s="65" t="s">
        <v>6</v>
      </c>
      <c r="F3" s="65" t="s">
        <v>7</v>
      </c>
      <c r="G3" s="63" t="s">
        <v>8</v>
      </c>
      <c r="H3" s="66" t="s">
        <v>9</v>
      </c>
      <c r="I3" s="67"/>
      <c r="J3" s="67"/>
      <c r="K3" s="11">
        <v>46180</v>
      </c>
      <c r="L3" s="12"/>
      <c r="M3" s="12"/>
      <c r="N3" s="12"/>
      <c r="O3" s="12"/>
      <c r="P3" s="12"/>
      <c r="Q3" s="13"/>
    </row>
    <row r="4" spans="1:17" ht="27">
      <c r="A4" s="68"/>
      <c r="B4" s="69"/>
      <c r="C4" s="68"/>
      <c r="D4" s="68"/>
      <c r="E4" s="70"/>
      <c r="F4" s="70"/>
      <c r="G4" s="68"/>
      <c r="H4" s="15" t="s">
        <v>10</v>
      </c>
      <c r="I4" s="16" t="s">
        <v>47</v>
      </c>
      <c r="J4" s="16" t="s">
        <v>12</v>
      </c>
      <c r="K4" s="71" t="s">
        <v>13</v>
      </c>
      <c r="L4" s="72" t="s">
        <v>14</v>
      </c>
      <c r="M4" s="72" t="s">
        <v>15</v>
      </c>
      <c r="N4" s="72" t="s">
        <v>16</v>
      </c>
      <c r="O4" s="73" t="s">
        <v>17</v>
      </c>
      <c r="P4" s="74" t="s">
        <v>18</v>
      </c>
      <c r="Q4" s="75" t="s">
        <v>19</v>
      </c>
    </row>
    <row r="5" spans="1:17" ht="40">
      <c r="A5" s="19">
        <v>1</v>
      </c>
      <c r="B5" s="20" t="s">
        <v>48</v>
      </c>
      <c r="C5" s="21" t="s">
        <v>49</v>
      </c>
      <c r="D5" s="22" t="s">
        <v>50</v>
      </c>
      <c r="E5" s="76" t="s">
        <v>51</v>
      </c>
      <c r="F5" s="77" t="s">
        <v>52</v>
      </c>
      <c r="G5" s="78" t="s">
        <v>25</v>
      </c>
      <c r="H5" s="25" t="s">
        <v>26</v>
      </c>
      <c r="I5" s="26"/>
      <c r="J5" s="27">
        <v>711179</v>
      </c>
      <c r="K5" s="28">
        <f>SUM(H5:J5)</f>
        <v>711179</v>
      </c>
      <c r="L5" s="29">
        <v>3000</v>
      </c>
      <c r="M5" s="79">
        <f>SUM(K5:L5)</f>
        <v>714179</v>
      </c>
      <c r="N5" s="31">
        <v>46180</v>
      </c>
      <c r="O5" s="31">
        <v>46193</v>
      </c>
      <c r="P5" s="80" t="s">
        <v>53</v>
      </c>
      <c r="Q5" s="81">
        <v>668458</v>
      </c>
    </row>
    <row r="6" spans="1:17">
      <c r="A6" s="35" t="s">
        <v>54</v>
      </c>
      <c r="B6" s="36"/>
      <c r="C6" s="36"/>
      <c r="D6" s="36"/>
      <c r="E6" s="36"/>
      <c r="F6" s="36"/>
      <c r="G6" s="36"/>
      <c r="H6" s="37"/>
      <c r="I6" s="82"/>
      <c r="J6" s="82"/>
      <c r="K6" s="83" t="s">
        <v>29</v>
      </c>
      <c r="L6" s="84"/>
      <c r="M6" s="85">
        <f>M5</f>
        <v>714179</v>
      </c>
      <c r="N6" s="43"/>
      <c r="O6" s="43"/>
      <c r="P6" s="43"/>
    </row>
    <row r="7" spans="1:17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14" spans="1:17">
      <c r="B14" s="55" t="s">
        <v>31</v>
      </c>
      <c r="C14" s="56" t="s">
        <v>32</v>
      </c>
      <c r="E14" s="58" t="s">
        <v>33</v>
      </c>
      <c r="F14" s="58"/>
      <c r="G14" s="58"/>
      <c r="H14" s="57" t="s">
        <v>34</v>
      </c>
      <c r="I14" s="57"/>
      <c r="J14" s="57"/>
      <c r="K14" s="56"/>
      <c r="M14" s="57" t="s">
        <v>35</v>
      </c>
      <c r="N14" s="57"/>
      <c r="O14" s="57"/>
      <c r="P14" s="57"/>
    </row>
    <row r="15" spans="1:17">
      <c r="B15" s="55" t="s">
        <v>36</v>
      </c>
      <c r="C15" s="59" t="s">
        <v>37</v>
      </c>
      <c r="E15" s="58" t="s">
        <v>38</v>
      </c>
      <c r="F15" s="58"/>
      <c r="G15" s="58"/>
      <c r="H15" s="57" t="s">
        <v>39</v>
      </c>
      <c r="I15" s="57"/>
      <c r="J15" s="57"/>
      <c r="M15" s="57" t="s">
        <v>40</v>
      </c>
      <c r="N15" s="57"/>
      <c r="O15" s="57"/>
      <c r="P15" s="57"/>
    </row>
    <row r="16" spans="1:17">
      <c r="B16" s="86" t="s">
        <v>41</v>
      </c>
      <c r="C16" s="59"/>
      <c r="E16" s="61" t="s">
        <v>42</v>
      </c>
      <c r="F16" s="61"/>
      <c r="G16" s="61"/>
      <c r="H16" s="60" t="s">
        <v>43</v>
      </c>
      <c r="I16" s="60"/>
      <c r="J16" s="60"/>
      <c r="M16" s="62" t="s">
        <v>44</v>
      </c>
      <c r="N16" s="60"/>
      <c r="O16" s="60"/>
      <c r="P16" s="60"/>
    </row>
    <row r="17" spans="2:10">
      <c r="B17" s="86" t="s">
        <v>45</v>
      </c>
      <c r="C17" s="59"/>
      <c r="E17" s="61" t="s">
        <v>45</v>
      </c>
      <c r="F17" s="61"/>
      <c r="G17" s="61"/>
      <c r="H17" s="60" t="s">
        <v>45</v>
      </c>
      <c r="I17" s="60"/>
      <c r="J17" s="60"/>
    </row>
  </sheetData>
  <mergeCells count="22">
    <mergeCell ref="H15:J15"/>
    <mergeCell ref="M15:P15"/>
    <mergeCell ref="H16:J16"/>
    <mergeCell ref="M16:P16"/>
    <mergeCell ref="H17:J17"/>
    <mergeCell ref="K3:Q3"/>
    <mergeCell ref="A6:H6"/>
    <mergeCell ref="I6:J6"/>
    <mergeCell ref="K6:L6"/>
    <mergeCell ref="A7:P7"/>
    <mergeCell ref="H14:J14"/>
    <mergeCell ref="M14:P14"/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44B7-1C51-4F82-8138-9E4DDF673E95}">
  <dimension ref="A1:Q21"/>
  <sheetViews>
    <sheetView zoomScale="85" zoomScaleNormal="85" workbookViewId="0">
      <selection sqref="A1:XFD1048576"/>
    </sheetView>
  </sheetViews>
  <sheetFormatPr defaultRowHeight="14.5"/>
  <cols>
    <col min="1" max="1" width="4.6328125" style="4" customWidth="1"/>
    <col min="2" max="2" width="23.1796875" style="4" customWidth="1"/>
    <col min="3" max="3" width="11.7265625" style="4" customWidth="1"/>
    <col min="4" max="4" width="12.26953125" style="4" customWidth="1"/>
    <col min="5" max="5" width="22.6328125" style="4" customWidth="1"/>
    <col min="6" max="6" width="9.81640625" style="4" customWidth="1"/>
    <col min="7" max="7" width="6.26953125" style="4" customWidth="1"/>
    <col min="8" max="8" width="8.453125" style="4" customWidth="1"/>
    <col min="9" max="9" width="7.1796875" style="4" customWidth="1"/>
    <col min="10" max="10" width="7.54296875" style="4" customWidth="1"/>
    <col min="11" max="11" width="8.90625" style="4" customWidth="1"/>
    <col min="12" max="12" width="8.7265625" style="4"/>
    <col min="13" max="13" width="10.1796875" style="4" bestFit="1" customWidth="1"/>
    <col min="14" max="14" width="7.90625" style="4" customWidth="1"/>
    <col min="15" max="15" width="8.90625" style="4" customWidth="1"/>
    <col min="16" max="16" width="9.26953125" style="4" customWidth="1"/>
    <col min="17" max="16384" width="8.7265625" style="4"/>
  </cols>
  <sheetData>
    <row r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5" t="s">
        <v>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>
      <c r="A3" s="63" t="s">
        <v>2</v>
      </c>
      <c r="B3" s="64" t="s">
        <v>3</v>
      </c>
      <c r="C3" s="63" t="s">
        <v>4</v>
      </c>
      <c r="D3" s="63" t="s">
        <v>5</v>
      </c>
      <c r="E3" s="8" t="s">
        <v>56</v>
      </c>
      <c r="F3" s="8" t="s">
        <v>7</v>
      </c>
      <c r="G3" s="8" t="s">
        <v>8</v>
      </c>
      <c r="H3" s="66" t="s">
        <v>9</v>
      </c>
      <c r="I3" s="67"/>
      <c r="J3" s="67"/>
      <c r="K3" s="87">
        <v>46176</v>
      </c>
      <c r="L3" s="88"/>
      <c r="M3" s="88"/>
      <c r="N3" s="88"/>
      <c r="O3" s="88"/>
      <c r="P3" s="88"/>
      <c r="Q3" s="89"/>
    </row>
    <row r="4" spans="1:17" ht="27">
      <c r="A4" s="68"/>
      <c r="B4" s="69"/>
      <c r="C4" s="68"/>
      <c r="D4" s="68"/>
      <c r="E4" s="14"/>
      <c r="F4" s="14"/>
      <c r="G4" s="14"/>
      <c r="H4" s="15" t="s">
        <v>10</v>
      </c>
      <c r="I4" s="16" t="s">
        <v>47</v>
      </c>
      <c r="J4" s="16" t="s">
        <v>12</v>
      </c>
      <c r="K4" s="71" t="s">
        <v>13</v>
      </c>
      <c r="L4" s="72" t="s">
        <v>14</v>
      </c>
      <c r="M4" s="72" t="s">
        <v>15</v>
      </c>
      <c r="N4" s="72" t="s">
        <v>16</v>
      </c>
      <c r="O4" s="73" t="s">
        <v>17</v>
      </c>
      <c r="P4" s="74" t="s">
        <v>18</v>
      </c>
      <c r="Q4" s="75" t="s">
        <v>19</v>
      </c>
    </row>
    <row r="5" spans="1:17" ht="91.5">
      <c r="A5" s="19">
        <v>1</v>
      </c>
      <c r="B5" s="20" t="s">
        <v>57</v>
      </c>
      <c r="C5" s="21" t="s">
        <v>58</v>
      </c>
      <c r="D5" s="22" t="s">
        <v>59</v>
      </c>
      <c r="E5" s="90" t="s">
        <v>60</v>
      </c>
      <c r="F5" s="77" t="s">
        <v>52</v>
      </c>
      <c r="G5" s="24">
        <v>46168</v>
      </c>
      <c r="H5" s="25" t="s">
        <v>26</v>
      </c>
      <c r="I5" s="26"/>
      <c r="J5" s="27">
        <v>439299.62</v>
      </c>
      <c r="K5" s="91">
        <f>SUM(H5:J5)</f>
        <v>439299.62</v>
      </c>
      <c r="L5" s="92">
        <v>5200</v>
      </c>
      <c r="M5" s="79">
        <f>SUM(K5:L5)</f>
        <v>444499.62</v>
      </c>
      <c r="N5" s="93">
        <v>46176</v>
      </c>
      <c r="O5" s="94">
        <v>46194</v>
      </c>
      <c r="P5" s="95" t="s">
        <v>53</v>
      </c>
      <c r="Q5" s="96">
        <v>417708.58</v>
      </c>
    </row>
    <row r="6" spans="1:17">
      <c r="A6" s="35" t="s">
        <v>61</v>
      </c>
      <c r="B6" s="36"/>
      <c r="C6" s="36"/>
      <c r="D6" s="36"/>
      <c r="E6" s="36"/>
      <c r="F6" s="36"/>
      <c r="G6" s="36"/>
      <c r="H6" s="37"/>
      <c r="I6" s="82"/>
      <c r="J6" s="82"/>
      <c r="K6" s="97" t="s">
        <v>29</v>
      </c>
      <c r="L6" s="98"/>
      <c r="M6" s="99">
        <f>M5</f>
        <v>444499.62</v>
      </c>
      <c r="N6" s="43"/>
      <c r="O6" s="43"/>
      <c r="P6" s="43"/>
    </row>
    <row r="7" spans="1:17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10" spans="1:17">
      <c r="B10" s="55" t="s">
        <v>31</v>
      </c>
      <c r="C10" s="56" t="s">
        <v>32</v>
      </c>
      <c r="E10" s="57" t="s">
        <v>33</v>
      </c>
      <c r="F10" s="57"/>
      <c r="G10" s="58"/>
      <c r="H10" s="57" t="s">
        <v>34</v>
      </c>
      <c r="I10" s="57"/>
      <c r="J10" s="57"/>
      <c r="K10" s="56"/>
      <c r="M10" s="57" t="s">
        <v>35</v>
      </c>
      <c r="N10" s="57"/>
      <c r="O10" s="57"/>
      <c r="P10" s="57"/>
    </row>
    <row r="11" spans="1:17">
      <c r="B11" s="55" t="s">
        <v>36</v>
      </c>
      <c r="C11" s="59" t="s">
        <v>37</v>
      </c>
      <c r="E11" s="57" t="s">
        <v>38</v>
      </c>
      <c r="F11" s="57"/>
      <c r="G11" s="58"/>
      <c r="H11" s="57" t="s">
        <v>39</v>
      </c>
      <c r="I11" s="57"/>
      <c r="J11" s="57"/>
      <c r="M11" s="57" t="s">
        <v>40</v>
      </c>
      <c r="N11" s="57"/>
      <c r="O11" s="57"/>
      <c r="P11" s="57"/>
    </row>
    <row r="12" spans="1:17">
      <c r="B12" s="59" t="s">
        <v>41</v>
      </c>
      <c r="C12" s="59"/>
      <c r="E12" s="60" t="s">
        <v>42</v>
      </c>
      <c r="F12" s="60"/>
      <c r="G12" s="61"/>
      <c r="H12" s="60" t="s">
        <v>43</v>
      </c>
      <c r="I12" s="60"/>
      <c r="J12" s="60"/>
      <c r="M12" s="62" t="s">
        <v>44</v>
      </c>
      <c r="N12" s="60"/>
      <c r="O12" s="60"/>
      <c r="P12" s="60"/>
    </row>
    <row r="13" spans="1:17">
      <c r="B13" s="59" t="s">
        <v>45</v>
      </c>
      <c r="C13" s="59"/>
      <c r="E13" s="60" t="s">
        <v>45</v>
      </c>
      <c r="F13" s="60"/>
      <c r="G13" s="61"/>
      <c r="H13" s="60" t="s">
        <v>45</v>
      </c>
      <c r="I13" s="60"/>
      <c r="J13" s="60"/>
    </row>
    <row r="18" spans="4:7">
      <c r="D18" s="100"/>
      <c r="E18" s="100"/>
      <c r="F18" s="58"/>
      <c r="G18" s="58"/>
    </row>
    <row r="19" spans="4:7">
      <c r="D19" s="100"/>
      <c r="E19" s="100"/>
      <c r="F19" s="100"/>
      <c r="G19" s="100"/>
    </row>
    <row r="20" spans="4:7">
      <c r="D20" s="101"/>
      <c r="E20" s="101"/>
      <c r="F20" s="61"/>
      <c r="G20" s="61"/>
    </row>
    <row r="21" spans="4:7">
      <c r="D21" s="101"/>
      <c r="E21" s="101"/>
      <c r="F21" s="101"/>
      <c r="G21" s="101"/>
    </row>
  </sheetData>
  <mergeCells count="30">
    <mergeCell ref="E13:F13"/>
    <mergeCell ref="H13:J13"/>
    <mergeCell ref="D18:E18"/>
    <mergeCell ref="D19:G19"/>
    <mergeCell ref="D20:E20"/>
    <mergeCell ref="D21:G21"/>
    <mergeCell ref="E11:F11"/>
    <mergeCell ref="H11:J11"/>
    <mergeCell ref="M11:P11"/>
    <mergeCell ref="E12:F12"/>
    <mergeCell ref="H12:J12"/>
    <mergeCell ref="M12:P12"/>
    <mergeCell ref="K3:Q3"/>
    <mergeCell ref="A6:H6"/>
    <mergeCell ref="I6:J6"/>
    <mergeCell ref="K6:L6"/>
    <mergeCell ref="A7:P7"/>
    <mergeCell ref="E10:F10"/>
    <mergeCell ref="H10:J10"/>
    <mergeCell ref="M10:P10"/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J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EB14-D8C7-4A54-9F9C-BD283075AB7D}">
  <dimension ref="A1:O33"/>
  <sheetViews>
    <sheetView zoomScale="55" zoomScaleNormal="55" workbookViewId="0">
      <selection activeCell="B8" sqref="B8:K8"/>
    </sheetView>
  </sheetViews>
  <sheetFormatPr defaultColWidth="9.1796875" defaultRowHeight="14"/>
  <cols>
    <col min="1" max="1" width="18.81640625" style="103" bestFit="1" customWidth="1"/>
    <col min="2" max="2" width="24.81640625" style="103" customWidth="1"/>
    <col min="3" max="3" width="12.26953125" style="103" customWidth="1"/>
    <col min="4" max="4" width="23.453125" style="103" customWidth="1"/>
    <col min="5" max="5" width="21" style="103" customWidth="1"/>
    <col min="6" max="6" width="17" style="103" customWidth="1"/>
    <col min="7" max="7" width="17" style="103" hidden="1" customWidth="1"/>
    <col min="8" max="8" width="24.7265625" style="103" customWidth="1"/>
    <col min="9" max="9" width="14.36328125" style="103" customWidth="1"/>
    <col min="10" max="10" width="36.453125" style="103" customWidth="1"/>
    <col min="11" max="11" width="27.453125" style="103" customWidth="1"/>
    <col min="12" max="12" width="9.81640625" style="103" bestFit="1" customWidth="1"/>
    <col min="13" max="13" width="9.1796875" style="103"/>
    <col min="14" max="14" width="11.54296875" style="103" bestFit="1" customWidth="1"/>
    <col min="15" max="16384" width="9.1796875" style="103"/>
  </cols>
  <sheetData>
    <row r="1" spans="1:14" ht="42.75" customHeight="1">
      <c r="A1" s="102" t="s">
        <v>62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4" ht="23.25" customHeight="1">
      <c r="A2" s="104" t="s">
        <v>63</v>
      </c>
      <c r="B2" s="105" t="s">
        <v>64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1:14" ht="22" customHeight="1">
      <c r="A3" s="104" t="s">
        <v>65</v>
      </c>
      <c r="B3" s="106" t="s">
        <v>66</v>
      </c>
      <c r="C3" s="106"/>
      <c r="D3" s="106"/>
      <c r="E3" s="106"/>
      <c r="F3" s="106"/>
      <c r="G3" s="106"/>
      <c r="H3" s="106"/>
      <c r="I3" s="106"/>
      <c r="J3" s="106"/>
      <c r="K3" s="106"/>
    </row>
    <row r="4" spans="1:14" ht="22" customHeight="1">
      <c r="A4" s="104" t="s">
        <v>67</v>
      </c>
      <c r="B4" s="107" t="s">
        <v>68</v>
      </c>
      <c r="C4" s="107"/>
      <c r="D4" s="107"/>
      <c r="E4" s="107"/>
      <c r="F4" s="107"/>
      <c r="G4" s="107"/>
      <c r="H4" s="107"/>
      <c r="I4" s="107"/>
      <c r="J4" s="107"/>
      <c r="K4" s="107"/>
    </row>
    <row r="5" spans="1:14" ht="22" customHeight="1">
      <c r="A5" s="104" t="s">
        <v>69</v>
      </c>
      <c r="B5" s="108">
        <v>46188</v>
      </c>
      <c r="C5" s="108"/>
      <c r="D5" s="108"/>
      <c r="E5" s="108"/>
      <c r="F5" s="108"/>
      <c r="G5" s="108"/>
      <c r="H5" s="108"/>
      <c r="I5" s="108"/>
      <c r="J5" s="108"/>
      <c r="K5" s="108"/>
      <c r="N5" s="109"/>
    </row>
    <row r="6" spans="1:14" ht="22" customHeight="1">
      <c r="A6" s="104" t="s">
        <v>70</v>
      </c>
      <c r="B6" s="110">
        <v>1698</v>
      </c>
      <c r="C6" s="110"/>
      <c r="D6" s="111"/>
      <c r="E6" s="111"/>
      <c r="F6" s="111"/>
      <c r="G6" s="111"/>
      <c r="H6" s="111"/>
      <c r="I6" s="111"/>
      <c r="J6" s="111"/>
      <c r="K6" s="111"/>
      <c r="N6" s="109"/>
    </row>
    <row r="7" spans="1:14" ht="22" customHeight="1">
      <c r="A7" s="104" t="s">
        <v>71</v>
      </c>
      <c r="B7" s="111" t="s">
        <v>36</v>
      </c>
      <c r="C7" s="111"/>
      <c r="D7" s="111"/>
      <c r="E7" s="111"/>
      <c r="F7" s="111"/>
      <c r="G7" s="111"/>
      <c r="H7" s="111"/>
      <c r="I7" s="111"/>
      <c r="J7" s="111"/>
      <c r="K7" s="111"/>
      <c r="N7" s="109"/>
    </row>
    <row r="8" spans="1:14" ht="22" customHeight="1">
      <c r="A8" s="104" t="s">
        <v>72</v>
      </c>
      <c r="B8" s="107" t="s">
        <v>41</v>
      </c>
      <c r="C8" s="107"/>
      <c r="D8" s="107"/>
      <c r="E8" s="107"/>
      <c r="F8" s="107"/>
      <c r="G8" s="107"/>
      <c r="H8" s="107"/>
      <c r="I8" s="107"/>
      <c r="J8" s="107"/>
      <c r="K8" s="107"/>
    </row>
    <row r="9" spans="1:14" ht="22" customHeight="1">
      <c r="A9" s="104" t="s">
        <v>73</v>
      </c>
      <c r="B9" s="112">
        <f>$I$13</f>
        <v>51688</v>
      </c>
      <c r="C9" s="112"/>
      <c r="D9" s="112"/>
      <c r="E9" s="112"/>
      <c r="F9" s="112"/>
      <c r="G9" s="112"/>
      <c r="H9" s="112"/>
      <c r="I9" s="112"/>
      <c r="J9" s="112"/>
      <c r="K9" s="112"/>
    </row>
    <row r="10" spans="1:14" ht="22.5" customHeight="1">
      <c r="A10" s="104"/>
      <c r="B10" s="113" t="s">
        <v>74</v>
      </c>
      <c r="C10" s="113"/>
      <c r="D10" s="113"/>
      <c r="E10" s="113"/>
      <c r="F10" s="113"/>
      <c r="G10" s="113"/>
      <c r="H10" s="113"/>
      <c r="I10" s="113"/>
      <c r="J10" s="113"/>
      <c r="K10" s="113"/>
    </row>
    <row r="11" spans="1:14" s="116" customFormat="1" ht="42" customHeight="1">
      <c r="A11" s="114" t="s">
        <v>75</v>
      </c>
      <c r="B11" s="115" t="s">
        <v>76</v>
      </c>
      <c r="C11" s="115" t="s">
        <v>77</v>
      </c>
      <c r="D11" s="115" t="s">
        <v>78</v>
      </c>
      <c r="E11" s="115" t="s">
        <v>63</v>
      </c>
      <c r="F11" s="115" t="s">
        <v>79</v>
      </c>
      <c r="G11" s="115" t="s">
        <v>80</v>
      </c>
      <c r="H11" s="114" t="s">
        <v>81</v>
      </c>
      <c r="I11" s="115" t="s">
        <v>82</v>
      </c>
      <c r="J11" s="114" t="s">
        <v>83</v>
      </c>
      <c r="K11" s="114" t="s">
        <v>84</v>
      </c>
      <c r="M11" s="117"/>
    </row>
    <row r="12" spans="1:14" s="128" customFormat="1" ht="46.5" customHeight="1">
      <c r="A12" s="118">
        <v>1</v>
      </c>
      <c r="B12" s="119">
        <v>46188</v>
      </c>
      <c r="C12" s="120">
        <v>1811</v>
      </c>
      <c r="D12" s="121" t="s">
        <v>85</v>
      </c>
      <c r="E12" s="122" t="s">
        <v>86</v>
      </c>
      <c r="F12" s="122" t="s">
        <v>25</v>
      </c>
      <c r="G12" s="123">
        <v>46022</v>
      </c>
      <c r="H12" s="124">
        <v>51688</v>
      </c>
      <c r="I12" s="125">
        <f>H12</f>
        <v>51688</v>
      </c>
      <c r="J12" s="126" t="s">
        <v>87</v>
      </c>
      <c r="K12" s="127" t="s">
        <v>88</v>
      </c>
    </row>
    <row r="13" spans="1:14" ht="15.75" customHeight="1">
      <c r="A13" s="129" t="s">
        <v>89</v>
      </c>
      <c r="B13" s="129"/>
      <c r="C13" s="129"/>
      <c r="D13" s="129"/>
      <c r="E13" s="129"/>
      <c r="F13" s="129"/>
      <c r="G13" s="129"/>
      <c r="H13" s="129"/>
      <c r="I13" s="125">
        <f>SUM(I12:I12)</f>
        <v>51688</v>
      </c>
      <c r="J13" s="130"/>
      <c r="K13" s="130"/>
      <c r="M13" s="103" t="s">
        <v>90</v>
      </c>
    </row>
    <row r="14" spans="1:14" ht="18" customHeight="1">
      <c r="A14" s="104" t="s">
        <v>91</v>
      </c>
      <c r="B14" s="131" t="s">
        <v>92</v>
      </c>
      <c r="C14" s="131"/>
      <c r="D14" s="131"/>
      <c r="E14" s="132"/>
      <c r="F14" s="132"/>
      <c r="G14" s="132"/>
      <c r="H14" s="132"/>
      <c r="I14" s="132"/>
      <c r="J14" s="132"/>
      <c r="K14" s="132"/>
    </row>
    <row r="17" spans="1:15" ht="25.5" customHeight="1"/>
    <row r="18" spans="1:15" ht="25.5" customHeight="1">
      <c r="A18" s="133" t="s">
        <v>93</v>
      </c>
      <c r="B18" s="134"/>
      <c r="C18" s="134"/>
      <c r="D18" s="135"/>
      <c r="E18" s="136"/>
    </row>
    <row r="19" spans="1:15" ht="15" customHeight="1">
      <c r="A19" s="137" t="s">
        <v>94</v>
      </c>
      <c r="B19" s="137" t="s">
        <v>95</v>
      </c>
      <c r="C19" s="137" t="s">
        <v>96</v>
      </c>
      <c r="D19" s="137" t="s">
        <v>97</v>
      </c>
    </row>
    <row r="20" spans="1:15" ht="42">
      <c r="A20" s="138" t="s">
        <v>87</v>
      </c>
      <c r="B20" s="139" t="s">
        <v>98</v>
      </c>
      <c r="C20" s="138" t="s">
        <v>99</v>
      </c>
      <c r="D20" s="140">
        <v>100120101</v>
      </c>
    </row>
    <row r="21" spans="1:15" customFormat="1" ht="14.5">
      <c r="A21" s="141" t="s">
        <v>100</v>
      </c>
      <c r="B21" s="141"/>
      <c r="C21" s="142"/>
      <c r="D21" s="103"/>
      <c r="E21" s="142" t="s">
        <v>101</v>
      </c>
      <c r="F21" s="142"/>
      <c r="G21" s="142"/>
      <c r="H21" s="103"/>
      <c r="I21" s="143"/>
      <c r="J21" s="143"/>
      <c r="K21" s="144"/>
      <c r="L21" s="143"/>
      <c r="M21" s="103"/>
      <c r="N21" s="103"/>
      <c r="O21" s="144"/>
    </row>
    <row r="22" spans="1:15" customFormat="1" ht="44" customHeight="1">
      <c r="A22" s="142"/>
      <c r="B22" s="142"/>
      <c r="C22" s="142"/>
      <c r="D22" s="103"/>
      <c r="E22" s="142"/>
      <c r="F22" s="142"/>
      <c r="G22" s="142"/>
      <c r="H22" s="103"/>
      <c r="I22" s="143"/>
      <c r="J22" s="143"/>
      <c r="K22" s="144"/>
      <c r="L22" s="143"/>
      <c r="M22" s="103"/>
      <c r="N22" s="103"/>
      <c r="O22" s="144"/>
    </row>
    <row r="23" spans="1:15" customFormat="1" ht="14.5">
      <c r="A23" s="142"/>
      <c r="B23" s="142"/>
      <c r="C23" s="142"/>
      <c r="D23" s="103"/>
      <c r="E23" s="142"/>
      <c r="F23" s="142"/>
      <c r="G23" s="142"/>
      <c r="H23" s="103"/>
      <c r="I23" s="143"/>
      <c r="J23" s="143"/>
      <c r="K23" s="144"/>
      <c r="L23" s="143"/>
      <c r="M23" s="103"/>
      <c r="N23" s="103"/>
      <c r="O23" s="144"/>
    </row>
    <row r="24" spans="1:15" customFormat="1" ht="14.5">
      <c r="A24" s="142"/>
      <c r="B24" s="142"/>
      <c r="C24" s="142"/>
      <c r="D24" s="103"/>
      <c r="E24" s="142"/>
      <c r="F24" s="142"/>
      <c r="G24" s="142"/>
      <c r="H24" s="143"/>
      <c r="I24" s="143"/>
      <c r="J24" s="143"/>
      <c r="K24" s="144"/>
      <c r="L24" s="143"/>
      <c r="M24" s="103"/>
      <c r="N24" s="103"/>
      <c r="O24" s="144"/>
    </row>
    <row r="25" spans="1:15" customFormat="1" ht="14.5">
      <c r="A25" s="142"/>
      <c r="B25" s="142"/>
      <c r="C25" s="142"/>
      <c r="D25" s="103"/>
      <c r="E25" s="142"/>
      <c r="F25" s="142"/>
      <c r="G25" s="142"/>
      <c r="H25" s="103"/>
      <c r="I25" s="143"/>
      <c r="J25" s="143"/>
      <c r="K25" s="144"/>
      <c r="L25" s="143"/>
      <c r="M25" s="103"/>
      <c r="N25" s="103"/>
      <c r="O25" s="144"/>
    </row>
    <row r="26" spans="1:15" customFormat="1" ht="14.5">
      <c r="A26" s="142"/>
      <c r="B26" s="142"/>
      <c r="C26" s="142"/>
      <c r="D26" s="103"/>
      <c r="E26" s="142"/>
      <c r="F26" s="142"/>
      <c r="G26" s="142"/>
      <c r="H26" s="143" t="s">
        <v>102</v>
      </c>
      <c r="I26" s="143"/>
      <c r="J26" s="143"/>
      <c r="K26" s="144"/>
      <c r="L26" s="143"/>
      <c r="M26" s="103"/>
      <c r="N26" s="103"/>
      <c r="O26" s="144"/>
    </row>
    <row r="27" spans="1:15" customFormat="1" ht="14.5">
      <c r="A27" s="145" t="s">
        <v>103</v>
      </c>
      <c r="B27" s="145"/>
      <c r="C27" s="146"/>
      <c r="D27" s="146"/>
      <c r="E27" s="146" t="s">
        <v>104</v>
      </c>
      <c r="F27" s="146"/>
      <c r="G27" s="144"/>
      <c r="H27" s="144" t="s">
        <v>34</v>
      </c>
      <c r="I27" s="144"/>
      <c r="J27" s="147" t="s">
        <v>105</v>
      </c>
      <c r="K27" s="147"/>
      <c r="L27" s="144"/>
      <c r="M27" s="103"/>
      <c r="N27" s="103"/>
      <c r="O27" s="148"/>
    </row>
    <row r="28" spans="1:15" customFormat="1" ht="14.5">
      <c r="A28" s="136" t="s">
        <v>36</v>
      </c>
      <c r="B28" s="136"/>
      <c r="C28" s="136"/>
      <c r="D28" s="136"/>
      <c r="E28" s="136" t="s">
        <v>38</v>
      </c>
      <c r="F28" s="136"/>
      <c r="G28" s="148"/>
      <c r="H28" s="148" t="s">
        <v>39</v>
      </c>
      <c r="I28" s="148"/>
      <c r="J28" s="149" t="s">
        <v>40</v>
      </c>
      <c r="K28" s="149"/>
      <c r="L28" s="148"/>
      <c r="M28" s="103"/>
      <c r="N28" s="103"/>
      <c r="O28" s="150"/>
    </row>
    <row r="29" spans="1:15" customFormat="1" ht="14.5">
      <c r="A29" s="151" t="s">
        <v>41</v>
      </c>
      <c r="B29" s="151"/>
      <c r="C29" s="151"/>
      <c r="D29" s="151"/>
      <c r="E29" s="151" t="s">
        <v>42</v>
      </c>
      <c r="F29" s="151"/>
      <c r="G29" s="150"/>
      <c r="H29" s="150" t="s">
        <v>43</v>
      </c>
      <c r="I29" s="150"/>
      <c r="J29" s="152" t="s">
        <v>44</v>
      </c>
      <c r="K29" s="152"/>
      <c r="L29" s="150"/>
      <c r="M29" s="103"/>
      <c r="N29" s="103"/>
      <c r="O29" s="151"/>
    </row>
    <row r="30" spans="1:15" customFormat="1" ht="14.5">
      <c r="A30" s="151" t="s">
        <v>45</v>
      </c>
      <c r="B30" s="151"/>
      <c r="C30" s="151"/>
      <c r="D30" s="151"/>
      <c r="E30" s="151" t="s">
        <v>45</v>
      </c>
      <c r="F30" s="151"/>
      <c r="G30" s="150"/>
      <c r="H30" s="150" t="s">
        <v>45</v>
      </c>
      <c r="I30" s="150"/>
      <c r="J30" s="103"/>
      <c r="K30" s="150"/>
      <c r="L30" s="150"/>
      <c r="M30" s="150"/>
    </row>
    <row r="31" spans="1:15">
      <c r="A31" s="153"/>
      <c r="D31" s="153"/>
      <c r="E31" s="154"/>
      <c r="F31" s="154"/>
      <c r="G31" s="154"/>
      <c r="H31" s="154"/>
      <c r="I31" s="155"/>
      <c r="J31" s="155"/>
      <c r="K31" s="156"/>
    </row>
    <row r="32" spans="1:15">
      <c r="A32" s="153"/>
      <c r="D32" s="153"/>
      <c r="E32" s="154"/>
      <c r="F32" s="154"/>
      <c r="G32" s="154"/>
      <c r="H32" s="154"/>
      <c r="I32" s="155"/>
      <c r="J32" s="155"/>
      <c r="K32" s="156"/>
    </row>
    <row r="33" spans="1:11">
      <c r="A33" s="153"/>
      <c r="D33" s="153"/>
      <c r="E33" s="154"/>
      <c r="F33" s="154"/>
      <c r="G33" s="154"/>
      <c r="H33" s="154"/>
      <c r="I33" s="155"/>
      <c r="J33" s="155"/>
      <c r="K33" s="156"/>
    </row>
  </sheetData>
  <mergeCells count="18">
    <mergeCell ref="B14:D14"/>
    <mergeCell ref="A18:D18"/>
    <mergeCell ref="A21:B21"/>
    <mergeCell ref="J27:K27"/>
    <mergeCell ref="J28:K28"/>
    <mergeCell ref="J29:K29"/>
    <mergeCell ref="B7:K7"/>
    <mergeCell ref="B8:K8"/>
    <mergeCell ref="B9:K9"/>
    <mergeCell ref="B10:K10"/>
    <mergeCell ref="A13:H13"/>
    <mergeCell ref="J13:K13"/>
    <mergeCell ref="A1:K1"/>
    <mergeCell ref="B2:K2"/>
    <mergeCell ref="B3:K3"/>
    <mergeCell ref="B4:K4"/>
    <mergeCell ref="B5:K5"/>
    <mergeCell ref="B6:K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77C-AE33-4AD4-9E7F-53A7CB3926D8}">
  <dimension ref="A1:P28"/>
  <sheetViews>
    <sheetView zoomScale="70" zoomScaleNormal="70" workbookViewId="0">
      <selection activeCell="J24" sqref="J24"/>
    </sheetView>
  </sheetViews>
  <sheetFormatPr defaultColWidth="9.1796875" defaultRowHeight="14"/>
  <cols>
    <col min="1" max="1" width="16.90625" style="103" bestFit="1" customWidth="1"/>
    <col min="2" max="2" width="22" style="103" customWidth="1"/>
    <col min="3" max="3" width="8.36328125" style="103" bestFit="1" customWidth="1"/>
    <col min="4" max="4" width="28" style="103" customWidth="1"/>
    <col min="5" max="5" width="17.81640625" style="103" customWidth="1"/>
    <col min="6" max="6" width="9.36328125" style="103" bestFit="1" customWidth="1"/>
    <col min="7" max="7" width="16.453125" style="103" bestFit="1" customWidth="1"/>
    <col min="8" max="8" width="19.08984375" style="103" customWidth="1"/>
    <col min="9" max="9" width="13.81640625" style="103" bestFit="1" customWidth="1"/>
    <col min="10" max="10" width="15.453125" style="103" bestFit="1" customWidth="1"/>
    <col min="11" max="11" width="24" style="103" customWidth="1"/>
    <col min="12" max="12" width="13.36328125" style="103" customWidth="1"/>
    <col min="13" max="13" width="9.81640625" style="103" bestFit="1" customWidth="1"/>
    <col min="14" max="14" width="9.1796875" style="103"/>
    <col min="15" max="15" width="11.54296875" style="103" bestFit="1" customWidth="1"/>
    <col min="16" max="16384" width="9.1796875" style="103"/>
  </cols>
  <sheetData>
    <row r="1" spans="1:15" ht="20">
      <c r="A1" s="157" t="s">
        <v>106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5" ht="20">
      <c r="A2" s="104" t="s">
        <v>63</v>
      </c>
      <c r="B2" s="105" t="s">
        <v>107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5">
      <c r="A3" s="104" t="s">
        <v>65</v>
      </c>
      <c r="B3" s="106" t="s">
        <v>108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5">
      <c r="A4" s="104" t="s">
        <v>67</v>
      </c>
      <c r="B4" s="107" t="s">
        <v>68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</row>
    <row r="5" spans="1:15">
      <c r="A5" s="104" t="s">
        <v>69</v>
      </c>
      <c r="B5" s="158">
        <v>46182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O5" s="109"/>
    </row>
    <row r="6" spans="1:15">
      <c r="A6" s="104" t="s">
        <v>70</v>
      </c>
      <c r="B6" s="110">
        <v>1698</v>
      </c>
      <c r="C6" s="110"/>
      <c r="D6" s="111"/>
      <c r="E6" s="111"/>
      <c r="F6" s="111"/>
      <c r="G6" s="111"/>
      <c r="H6" s="111"/>
      <c r="I6" s="111"/>
      <c r="J6" s="111"/>
      <c r="K6" s="111"/>
      <c r="L6" s="111"/>
      <c r="O6" s="109"/>
    </row>
    <row r="7" spans="1:15">
      <c r="A7" s="104" t="s">
        <v>71</v>
      </c>
      <c r="B7" s="111" t="s">
        <v>36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O7" s="109"/>
    </row>
    <row r="8" spans="1:15">
      <c r="A8" s="104" t="s">
        <v>72</v>
      </c>
      <c r="B8" s="107" t="s">
        <v>41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</row>
    <row r="9" spans="1:15" ht="15">
      <c r="A9" s="104" t="s">
        <v>73</v>
      </c>
      <c r="B9" s="159">
        <f>$J$14</f>
        <v>40367.990000000005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</row>
    <row r="10" spans="1:15" ht="17.5">
      <c r="A10" s="104"/>
      <c r="B10" s="113" t="s">
        <v>74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</row>
    <row r="11" spans="1:15" s="116" customFormat="1" ht="25">
      <c r="A11" s="114" t="s">
        <v>75</v>
      </c>
      <c r="B11" s="115" t="s">
        <v>76</v>
      </c>
      <c r="C11" s="160" t="s">
        <v>77</v>
      </c>
      <c r="D11" s="160" t="s">
        <v>78</v>
      </c>
      <c r="E11" s="160" t="s">
        <v>63</v>
      </c>
      <c r="F11" s="160" t="s">
        <v>79</v>
      </c>
      <c r="G11" s="160" t="s">
        <v>80</v>
      </c>
      <c r="H11" s="114" t="s">
        <v>81</v>
      </c>
      <c r="I11" s="114" t="s">
        <v>109</v>
      </c>
      <c r="J11" s="115" t="s">
        <v>82</v>
      </c>
      <c r="K11" s="114" t="s">
        <v>83</v>
      </c>
      <c r="L11" s="115" t="s">
        <v>84</v>
      </c>
      <c r="N11" s="117"/>
    </row>
    <row r="12" spans="1:15" s="128" customFormat="1" ht="15">
      <c r="A12" s="161">
        <v>1</v>
      </c>
      <c r="B12" s="119">
        <v>46182</v>
      </c>
      <c r="C12" s="120">
        <v>1665</v>
      </c>
      <c r="D12" s="121" t="s">
        <v>110</v>
      </c>
      <c r="E12" s="162" t="s">
        <v>111</v>
      </c>
      <c r="F12" s="122" t="s">
        <v>53</v>
      </c>
      <c r="G12" s="163">
        <v>46197</v>
      </c>
      <c r="H12" s="164">
        <v>4510.9799999999996</v>
      </c>
      <c r="I12" s="165">
        <v>0</v>
      </c>
      <c r="J12" s="166">
        <f>H12</f>
        <v>4510.9799999999996</v>
      </c>
      <c r="K12" s="119" t="s">
        <v>112</v>
      </c>
      <c r="L12" s="127" t="s">
        <v>88</v>
      </c>
    </row>
    <row r="13" spans="1:15" s="128" customFormat="1" ht="15">
      <c r="A13" s="161">
        <v>2</v>
      </c>
      <c r="B13" s="119">
        <v>46182</v>
      </c>
      <c r="C13" s="120">
        <v>1667</v>
      </c>
      <c r="D13" s="121" t="s">
        <v>113</v>
      </c>
      <c r="E13" s="162" t="s">
        <v>111</v>
      </c>
      <c r="F13" s="122" t="s">
        <v>53</v>
      </c>
      <c r="G13" s="163">
        <v>46197</v>
      </c>
      <c r="H13" s="164">
        <v>35857.01</v>
      </c>
      <c r="I13" s="165">
        <v>0</v>
      </c>
      <c r="J13" s="166">
        <f>H13</f>
        <v>35857.01</v>
      </c>
      <c r="K13" s="119" t="s">
        <v>112</v>
      </c>
      <c r="L13" s="127" t="s">
        <v>88</v>
      </c>
    </row>
    <row r="14" spans="1:15" ht="15">
      <c r="A14" s="167" t="s">
        <v>89</v>
      </c>
      <c r="B14" s="168"/>
      <c r="C14" s="168"/>
      <c r="D14" s="168"/>
      <c r="E14" s="168"/>
      <c r="F14" s="168"/>
      <c r="G14" s="168"/>
      <c r="H14" s="169"/>
      <c r="I14" s="170"/>
      <c r="J14" s="125">
        <f>SUM(J12:J13)</f>
        <v>40367.990000000005</v>
      </c>
      <c r="K14" s="171"/>
      <c r="L14" s="171"/>
      <c r="N14" s="103" t="s">
        <v>90</v>
      </c>
    </row>
    <row r="15" spans="1:15">
      <c r="A15" s="104" t="s">
        <v>91</v>
      </c>
      <c r="B15" s="132" t="s">
        <v>114</v>
      </c>
      <c r="C15" s="132"/>
      <c r="D15" s="132"/>
      <c r="E15" s="132"/>
      <c r="F15" s="145"/>
      <c r="G15" s="145"/>
      <c r="H15" s="145"/>
      <c r="I15" s="145"/>
      <c r="J15" s="145"/>
      <c r="K15" s="145"/>
      <c r="L15" s="145"/>
    </row>
    <row r="18" spans="1:16">
      <c r="A18" s="141" t="s">
        <v>115</v>
      </c>
      <c r="B18" s="141"/>
      <c r="C18" s="141"/>
      <c r="D18" s="141"/>
      <c r="E18" s="141"/>
    </row>
    <row r="20" spans="1:16">
      <c r="C20" s="142"/>
    </row>
    <row r="21" spans="1:16" customFormat="1" ht="14.5">
      <c r="A21" s="141" t="s">
        <v>100</v>
      </c>
      <c r="B21" s="141"/>
      <c r="C21" s="103"/>
      <c r="D21" s="103"/>
      <c r="E21" s="142" t="s">
        <v>101</v>
      </c>
      <c r="F21" s="142"/>
      <c r="G21" s="142"/>
      <c r="H21" s="143" t="s">
        <v>102</v>
      </c>
      <c r="I21" s="143"/>
      <c r="J21" s="143"/>
      <c r="K21" s="143"/>
      <c r="L21" s="144"/>
      <c r="M21" s="143"/>
      <c r="N21" s="103"/>
      <c r="O21" s="103"/>
      <c r="P21" s="144"/>
    </row>
    <row r="22" spans="1:16" customFormat="1" ht="14.5">
      <c r="A22" s="172" t="s">
        <v>103</v>
      </c>
      <c r="B22" s="172"/>
      <c r="C22" s="173"/>
      <c r="D22" s="146"/>
      <c r="E22" s="144" t="s">
        <v>104</v>
      </c>
      <c r="F22" s="144"/>
      <c r="G22" s="144"/>
      <c r="H22" s="144" t="s">
        <v>34</v>
      </c>
      <c r="I22" s="103"/>
      <c r="J22" s="144"/>
      <c r="K22" s="147" t="s">
        <v>105</v>
      </c>
      <c r="L22" s="147"/>
      <c r="M22" s="144"/>
      <c r="N22" s="103"/>
      <c r="O22" s="103"/>
      <c r="P22" s="148"/>
    </row>
    <row r="23" spans="1:16" customFormat="1" ht="14.5">
      <c r="A23" s="149" t="s">
        <v>36</v>
      </c>
      <c r="B23" s="149"/>
      <c r="C23" s="174"/>
      <c r="D23" s="136"/>
      <c r="E23" s="148" t="s">
        <v>38</v>
      </c>
      <c r="F23" s="148"/>
      <c r="G23" s="148"/>
      <c r="H23" s="148" t="s">
        <v>39</v>
      </c>
      <c r="I23" s="148"/>
      <c r="J23" s="148"/>
      <c r="K23" s="149" t="s">
        <v>40</v>
      </c>
      <c r="L23" s="149"/>
      <c r="M23" s="148"/>
      <c r="N23" s="103"/>
      <c r="O23" s="103"/>
      <c r="P23" s="150"/>
    </row>
    <row r="24" spans="1:16" customFormat="1" ht="14.5">
      <c r="A24" s="152" t="s">
        <v>41</v>
      </c>
      <c r="B24" s="152"/>
      <c r="C24" s="175"/>
      <c r="D24" s="151"/>
      <c r="E24" s="150" t="s">
        <v>42</v>
      </c>
      <c r="F24" s="150"/>
      <c r="G24" s="150"/>
      <c r="H24" s="150" t="s">
        <v>43</v>
      </c>
      <c r="I24" s="150"/>
      <c r="J24" s="150"/>
      <c r="K24" s="152" t="s">
        <v>44</v>
      </c>
      <c r="L24" s="152"/>
      <c r="M24" s="150"/>
      <c r="N24" s="103"/>
      <c r="O24" s="103"/>
      <c r="P24" s="151"/>
    </row>
    <row r="25" spans="1:16" customFormat="1" ht="14.5">
      <c r="A25" s="152" t="s">
        <v>45</v>
      </c>
      <c r="B25" s="152"/>
      <c r="C25" s="175"/>
      <c r="D25" s="151"/>
      <c r="E25" s="150" t="s">
        <v>45</v>
      </c>
      <c r="F25" s="150"/>
      <c r="G25" s="150"/>
      <c r="H25" s="150" t="s">
        <v>45</v>
      </c>
      <c r="I25" s="150"/>
      <c r="J25" s="150"/>
      <c r="K25" s="103"/>
      <c r="L25" s="150"/>
      <c r="M25" s="150"/>
      <c r="N25" s="150"/>
    </row>
    <row r="26" spans="1:16">
      <c r="A26" s="153"/>
      <c r="D26" s="153"/>
      <c r="E26" s="154"/>
      <c r="F26" s="154"/>
      <c r="G26" s="154"/>
      <c r="H26" s="154"/>
      <c r="I26" s="154"/>
      <c r="J26" s="155"/>
      <c r="K26" s="155"/>
      <c r="L26" s="156"/>
    </row>
    <row r="27" spans="1:16">
      <c r="A27" s="153"/>
      <c r="D27" s="153"/>
      <c r="E27" s="154"/>
      <c r="F27" s="154"/>
      <c r="G27" s="154"/>
      <c r="H27" s="154"/>
      <c r="I27" s="154"/>
      <c r="J27" s="155"/>
      <c r="K27" s="155"/>
      <c r="L27" s="156"/>
    </row>
    <row r="28" spans="1:16">
      <c r="A28" s="153"/>
      <c r="D28" s="153"/>
      <c r="E28" s="154"/>
      <c r="F28" s="154"/>
      <c r="G28" s="154"/>
      <c r="H28" s="154"/>
      <c r="I28" s="154"/>
      <c r="J28" s="155"/>
      <c r="K28" s="155"/>
      <c r="L28" s="156"/>
    </row>
  </sheetData>
  <mergeCells count="21">
    <mergeCell ref="A24:B24"/>
    <mergeCell ref="K24:L24"/>
    <mergeCell ref="A25:B25"/>
    <mergeCell ref="A18:E18"/>
    <mergeCell ref="A21:B21"/>
    <mergeCell ref="A22:B22"/>
    <mergeCell ref="K22:L22"/>
    <mergeCell ref="A23:B23"/>
    <mergeCell ref="K23:L23"/>
    <mergeCell ref="B7:L7"/>
    <mergeCell ref="B8:L8"/>
    <mergeCell ref="B9:L9"/>
    <mergeCell ref="B10:L10"/>
    <mergeCell ref="A14:H14"/>
    <mergeCell ref="K14:L14"/>
    <mergeCell ref="A1:L1"/>
    <mergeCell ref="B2:L2"/>
    <mergeCell ref="B3:L3"/>
    <mergeCell ref="B4:L4"/>
    <mergeCell ref="B5:L5"/>
    <mergeCell ref="B6:L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B597-6417-42D4-8AC8-EC007A5E396F}">
  <dimension ref="A1:O32"/>
  <sheetViews>
    <sheetView zoomScale="70" zoomScaleNormal="70" workbookViewId="0">
      <selection activeCell="H19" sqref="H19"/>
    </sheetView>
  </sheetViews>
  <sheetFormatPr defaultColWidth="9.1796875" defaultRowHeight="14"/>
  <cols>
    <col min="1" max="1" width="18.81640625" style="103" bestFit="1" customWidth="1"/>
    <col min="2" max="2" width="23.54296875" style="103" customWidth="1"/>
    <col min="3" max="3" width="12.26953125" style="103" customWidth="1"/>
    <col min="4" max="4" width="32.6328125" style="103" customWidth="1"/>
    <col min="5" max="5" width="15.6328125" style="103" customWidth="1"/>
    <col min="6" max="6" width="11.08984375" style="103" customWidth="1"/>
    <col min="7" max="7" width="18" style="103" hidden="1" customWidth="1"/>
    <col min="8" max="8" width="16.26953125" style="103" customWidth="1"/>
    <col min="9" max="9" width="15.81640625" style="103" customWidth="1"/>
    <col min="10" max="10" width="15.08984375" style="103" customWidth="1"/>
    <col min="11" max="11" width="21.90625" style="103" customWidth="1"/>
    <col min="12" max="12" width="9.81640625" style="103" bestFit="1" customWidth="1"/>
    <col min="13" max="13" width="9.1796875" style="103"/>
    <col min="14" max="14" width="11.54296875" style="103" bestFit="1" customWidth="1"/>
    <col min="15" max="16384" width="9.1796875" style="103"/>
  </cols>
  <sheetData>
    <row r="1" spans="1:14" ht="42.75" customHeight="1">
      <c r="A1" s="102" t="s">
        <v>62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4" ht="23.25" customHeight="1">
      <c r="A2" s="104" t="s">
        <v>63</v>
      </c>
      <c r="B2" s="105" t="s">
        <v>116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1:14" ht="22" customHeight="1">
      <c r="A3" s="104" t="s">
        <v>65</v>
      </c>
      <c r="B3" s="106" t="s">
        <v>117</v>
      </c>
      <c r="C3" s="106"/>
      <c r="D3" s="106"/>
      <c r="E3" s="106"/>
      <c r="F3" s="106"/>
      <c r="G3" s="106"/>
      <c r="H3" s="106"/>
      <c r="I3" s="106"/>
      <c r="J3" s="106"/>
      <c r="K3" s="106"/>
    </row>
    <row r="4" spans="1:14" ht="22" customHeight="1">
      <c r="A4" s="104" t="s">
        <v>67</v>
      </c>
      <c r="B4" s="107" t="s">
        <v>68</v>
      </c>
      <c r="C4" s="107"/>
      <c r="D4" s="107"/>
      <c r="E4" s="107"/>
      <c r="F4" s="107"/>
      <c r="G4" s="107"/>
      <c r="H4" s="107"/>
      <c r="I4" s="107"/>
      <c r="J4" s="107"/>
      <c r="K4" s="107"/>
    </row>
    <row r="5" spans="1:14" ht="22" customHeight="1">
      <c r="A5" s="104" t="s">
        <v>69</v>
      </c>
      <c r="B5" s="158">
        <v>46152</v>
      </c>
      <c r="C5" s="158"/>
      <c r="D5" s="158"/>
      <c r="E5" s="158"/>
      <c r="F5" s="158"/>
      <c r="G5" s="158"/>
      <c r="H5" s="158"/>
      <c r="I5" s="158"/>
      <c r="J5" s="158"/>
      <c r="K5" s="158"/>
      <c r="N5" s="109"/>
    </row>
    <row r="6" spans="1:14" ht="22" customHeight="1">
      <c r="A6" s="104" t="s">
        <v>70</v>
      </c>
      <c r="B6" s="110">
        <v>1698</v>
      </c>
      <c r="C6" s="110"/>
      <c r="D6" s="111"/>
      <c r="E6" s="111"/>
      <c r="F6" s="111"/>
      <c r="G6" s="111"/>
      <c r="H6" s="111"/>
      <c r="I6" s="111"/>
      <c r="J6" s="111"/>
      <c r="K6" s="111"/>
      <c r="N6" s="109"/>
    </row>
    <row r="7" spans="1:14" ht="22" customHeight="1">
      <c r="A7" s="104" t="s">
        <v>71</v>
      </c>
      <c r="B7" s="111" t="s">
        <v>36</v>
      </c>
      <c r="C7" s="111"/>
      <c r="D7" s="111"/>
      <c r="E7" s="111"/>
      <c r="F7" s="111"/>
      <c r="G7" s="111"/>
      <c r="H7" s="111"/>
      <c r="I7" s="111"/>
      <c r="J7" s="111"/>
      <c r="K7" s="111"/>
      <c r="N7" s="109"/>
    </row>
    <row r="8" spans="1:14" ht="22" customHeight="1">
      <c r="A8" s="104" t="s">
        <v>73</v>
      </c>
      <c r="B8" s="176">
        <f>$I$17</f>
        <v>406806</v>
      </c>
      <c r="C8" s="176"/>
      <c r="D8" s="177"/>
      <c r="E8" s="177"/>
      <c r="F8" s="177"/>
      <c r="G8" s="177"/>
      <c r="H8" s="177"/>
      <c r="I8" s="177"/>
      <c r="J8" s="177"/>
      <c r="K8" s="177"/>
    </row>
    <row r="9" spans="1:14" ht="22.5" customHeight="1">
      <c r="A9" s="104"/>
      <c r="B9" s="113" t="s">
        <v>74</v>
      </c>
      <c r="C9" s="113"/>
      <c r="D9" s="113"/>
      <c r="E9" s="113"/>
      <c r="F9" s="113"/>
      <c r="G9" s="113"/>
      <c r="H9" s="113"/>
      <c r="I9" s="113"/>
      <c r="J9" s="113"/>
      <c r="K9" s="113"/>
    </row>
    <row r="10" spans="1:14" s="116" customFormat="1" ht="42" customHeight="1">
      <c r="A10" s="114" t="s">
        <v>75</v>
      </c>
      <c r="B10" s="115" t="s">
        <v>76</v>
      </c>
      <c r="C10" s="160" t="s">
        <v>77</v>
      </c>
      <c r="D10" s="160" t="s">
        <v>78</v>
      </c>
      <c r="E10" s="160" t="s">
        <v>63</v>
      </c>
      <c r="F10" s="160" t="s">
        <v>79</v>
      </c>
      <c r="G10" s="160" t="s">
        <v>118</v>
      </c>
      <c r="H10" s="114" t="s">
        <v>81</v>
      </c>
      <c r="I10" s="115" t="s">
        <v>82</v>
      </c>
      <c r="J10" s="114" t="s">
        <v>83</v>
      </c>
      <c r="K10" s="114" t="s">
        <v>84</v>
      </c>
      <c r="M10" s="117"/>
    </row>
    <row r="11" spans="1:14" s="128" customFormat="1" ht="15" customHeight="1">
      <c r="A11" s="161">
        <v>1</v>
      </c>
      <c r="B11" s="178">
        <v>46152</v>
      </c>
      <c r="C11" s="120">
        <v>1671</v>
      </c>
      <c r="D11" s="179" t="s">
        <v>119</v>
      </c>
      <c r="E11" s="180" t="s">
        <v>111</v>
      </c>
      <c r="F11" s="122" t="s">
        <v>53</v>
      </c>
      <c r="G11" s="181">
        <v>46112</v>
      </c>
      <c r="H11" s="182">
        <v>63067</v>
      </c>
      <c r="I11" s="125">
        <f>H11</f>
        <v>63067</v>
      </c>
      <c r="J11" s="183" t="s">
        <v>112</v>
      </c>
      <c r="K11" s="184" t="s">
        <v>88</v>
      </c>
    </row>
    <row r="12" spans="1:14" s="128" customFormat="1" ht="15">
      <c r="A12" s="161">
        <v>2</v>
      </c>
      <c r="B12" s="185"/>
      <c r="C12" s="120">
        <v>1668</v>
      </c>
      <c r="D12" s="179" t="s">
        <v>120</v>
      </c>
      <c r="E12" s="180"/>
      <c r="F12" s="122" t="s">
        <v>53</v>
      </c>
      <c r="G12" s="181">
        <v>46112</v>
      </c>
      <c r="H12" s="182">
        <v>151304</v>
      </c>
      <c r="I12" s="125">
        <f t="shared" ref="I12:I16" si="0">H12</f>
        <v>151304</v>
      </c>
      <c r="J12" s="186"/>
      <c r="K12" s="187"/>
    </row>
    <row r="13" spans="1:14" s="128" customFormat="1" ht="15">
      <c r="A13" s="161">
        <v>3</v>
      </c>
      <c r="B13" s="185"/>
      <c r="C13" s="120">
        <v>1672</v>
      </c>
      <c r="D13" s="179" t="s">
        <v>121</v>
      </c>
      <c r="E13" s="180"/>
      <c r="F13" s="122" t="s">
        <v>53</v>
      </c>
      <c r="G13" s="181">
        <v>46112</v>
      </c>
      <c r="H13" s="182">
        <v>129454</v>
      </c>
      <c r="I13" s="125">
        <f t="shared" si="0"/>
        <v>129454</v>
      </c>
      <c r="J13" s="186"/>
      <c r="K13" s="187"/>
    </row>
    <row r="14" spans="1:14" s="128" customFormat="1" ht="15">
      <c r="A14" s="161">
        <v>4</v>
      </c>
      <c r="B14" s="185"/>
      <c r="C14" s="120">
        <v>1674</v>
      </c>
      <c r="D14" s="179" t="s">
        <v>122</v>
      </c>
      <c r="E14" s="180"/>
      <c r="F14" s="122" t="s">
        <v>53</v>
      </c>
      <c r="G14" s="181">
        <v>46112</v>
      </c>
      <c r="H14" s="182">
        <v>28542</v>
      </c>
      <c r="I14" s="125">
        <f t="shared" si="0"/>
        <v>28542</v>
      </c>
      <c r="J14" s="186"/>
      <c r="K14" s="187"/>
    </row>
    <row r="15" spans="1:14" s="128" customFormat="1" ht="15">
      <c r="A15" s="161">
        <v>5</v>
      </c>
      <c r="B15" s="185"/>
      <c r="C15" s="120">
        <v>1758</v>
      </c>
      <c r="D15" s="179" t="s">
        <v>123</v>
      </c>
      <c r="E15" s="180"/>
      <c r="F15" s="122" t="s">
        <v>53</v>
      </c>
      <c r="G15" s="181">
        <v>46112</v>
      </c>
      <c r="H15" s="182">
        <v>14240</v>
      </c>
      <c r="I15" s="125">
        <f t="shared" si="0"/>
        <v>14240</v>
      </c>
      <c r="J15" s="186"/>
      <c r="K15" s="187"/>
    </row>
    <row r="16" spans="1:14" s="128" customFormat="1" ht="15">
      <c r="A16" s="118">
        <v>6</v>
      </c>
      <c r="B16" s="188"/>
      <c r="C16" s="120">
        <v>1974</v>
      </c>
      <c r="D16" s="179" t="s">
        <v>124</v>
      </c>
      <c r="E16" s="180"/>
      <c r="F16" s="122" t="s">
        <v>53</v>
      </c>
      <c r="G16" s="181">
        <v>46112</v>
      </c>
      <c r="H16" s="182">
        <v>20199</v>
      </c>
      <c r="I16" s="125">
        <f t="shared" si="0"/>
        <v>20199</v>
      </c>
      <c r="J16" s="189"/>
      <c r="K16" s="190"/>
    </row>
    <row r="17" spans="1:15" ht="15.75" customHeight="1">
      <c r="A17" s="167" t="s">
        <v>89</v>
      </c>
      <c r="B17" s="168"/>
      <c r="C17" s="168"/>
      <c r="D17" s="168"/>
      <c r="E17" s="168"/>
      <c r="F17" s="168"/>
      <c r="G17" s="168"/>
      <c r="H17" s="169"/>
      <c r="I17" s="191">
        <f>SUM(I11:I16)</f>
        <v>406806</v>
      </c>
      <c r="J17" s="192"/>
      <c r="K17" s="193"/>
      <c r="M17" s="103" t="s">
        <v>90</v>
      </c>
    </row>
    <row r="18" spans="1:15" ht="18" customHeight="1">
      <c r="A18" s="104" t="s">
        <v>91</v>
      </c>
      <c r="B18" s="131" t="s">
        <v>125</v>
      </c>
      <c r="C18" s="131"/>
      <c r="D18" s="131"/>
      <c r="E18" s="131"/>
      <c r="F18" s="131"/>
      <c r="G18" s="131"/>
      <c r="H18" s="131"/>
      <c r="I18" s="131"/>
      <c r="J18" s="131"/>
      <c r="K18" s="131"/>
    </row>
    <row r="21" spans="1:15" ht="25.5" customHeight="1"/>
    <row r="22" spans="1:15" ht="25.5" customHeight="1"/>
    <row r="23" spans="1:15" ht="53" customHeight="1"/>
    <row r="25" spans="1:15" customFormat="1" ht="14.5">
      <c r="A25" s="141" t="s">
        <v>100</v>
      </c>
      <c r="B25" s="141"/>
      <c r="C25" s="142"/>
      <c r="D25" s="103"/>
      <c r="E25" s="142" t="s">
        <v>101</v>
      </c>
      <c r="F25" s="142"/>
      <c r="G25" s="142"/>
      <c r="H25" s="143" t="s">
        <v>102</v>
      </c>
      <c r="I25" s="143"/>
      <c r="J25" s="143"/>
      <c r="K25" s="144"/>
      <c r="L25" s="143"/>
      <c r="M25" s="103"/>
      <c r="N25" s="103"/>
      <c r="O25" s="144"/>
    </row>
    <row r="26" spans="1:15" customFormat="1" ht="14.5">
      <c r="A26" s="172" t="s">
        <v>103</v>
      </c>
      <c r="B26" s="172"/>
      <c r="C26" s="173"/>
      <c r="D26" s="147" t="s">
        <v>104</v>
      </c>
      <c r="E26" s="147"/>
      <c r="F26" s="146"/>
      <c r="G26" s="144"/>
      <c r="H26" s="144" t="s">
        <v>34</v>
      </c>
      <c r="I26" s="144"/>
      <c r="J26" s="147" t="s">
        <v>105</v>
      </c>
      <c r="K26" s="147"/>
      <c r="L26" s="144"/>
      <c r="M26" s="103"/>
      <c r="N26" s="103"/>
      <c r="O26" s="148"/>
    </row>
    <row r="27" spans="1:15" customFormat="1" ht="14.5">
      <c r="A27" s="149" t="s">
        <v>36</v>
      </c>
      <c r="B27" s="149"/>
      <c r="C27" s="174"/>
      <c r="D27" s="149" t="s">
        <v>38</v>
      </c>
      <c r="E27" s="149"/>
      <c r="F27" s="136"/>
      <c r="G27" s="148"/>
      <c r="H27" s="148" t="s">
        <v>39</v>
      </c>
      <c r="I27" s="148"/>
      <c r="J27" s="149" t="s">
        <v>40</v>
      </c>
      <c r="K27" s="149"/>
      <c r="L27" s="148"/>
      <c r="M27" s="103"/>
      <c r="N27" s="103"/>
      <c r="O27" s="150"/>
    </row>
    <row r="28" spans="1:15" customFormat="1" ht="14.5">
      <c r="A28" s="152" t="s">
        <v>41</v>
      </c>
      <c r="B28" s="152"/>
      <c r="C28" s="175"/>
      <c r="D28" s="152" t="s">
        <v>42</v>
      </c>
      <c r="E28" s="152"/>
      <c r="F28" s="151"/>
      <c r="G28" s="150"/>
      <c r="H28" s="150" t="s">
        <v>43</v>
      </c>
      <c r="I28" s="150"/>
      <c r="J28" s="152" t="s">
        <v>44</v>
      </c>
      <c r="K28" s="152"/>
      <c r="L28" s="150"/>
      <c r="M28" s="103"/>
      <c r="N28" s="103"/>
      <c r="O28" s="151"/>
    </row>
    <row r="29" spans="1:15" customFormat="1" ht="14.5">
      <c r="A29" s="152" t="s">
        <v>45</v>
      </c>
      <c r="B29" s="152"/>
      <c r="C29" s="175"/>
      <c r="D29" s="152" t="s">
        <v>45</v>
      </c>
      <c r="E29" s="152"/>
      <c r="F29" s="151"/>
      <c r="G29" s="150"/>
      <c r="H29" s="150" t="s">
        <v>45</v>
      </c>
      <c r="I29" s="150"/>
      <c r="J29" s="103"/>
      <c r="K29" s="150"/>
      <c r="L29" s="150"/>
      <c r="M29" s="150"/>
    </row>
    <row r="30" spans="1:15">
      <c r="A30" s="153"/>
      <c r="D30" s="153"/>
      <c r="E30" s="154"/>
      <c r="F30" s="154"/>
      <c r="G30" s="154"/>
      <c r="H30" s="154"/>
      <c r="I30" s="155"/>
      <c r="J30" s="155"/>
      <c r="K30" s="156"/>
    </row>
    <row r="31" spans="1:15">
      <c r="A31" s="153"/>
      <c r="D31" s="153"/>
      <c r="E31" s="154"/>
      <c r="F31" s="154"/>
      <c r="G31" s="154"/>
      <c r="H31" s="154"/>
      <c r="I31" s="155"/>
      <c r="J31" s="155"/>
      <c r="K31" s="156"/>
    </row>
    <row r="32" spans="1:15">
      <c r="A32" s="153"/>
      <c r="D32" s="153"/>
      <c r="E32" s="154"/>
      <c r="F32" s="154"/>
      <c r="G32" s="154"/>
      <c r="H32" s="154"/>
      <c r="I32" s="155"/>
      <c r="J32" s="155"/>
      <c r="K32" s="156"/>
    </row>
  </sheetData>
  <mergeCells count="28">
    <mergeCell ref="A29:B29"/>
    <mergeCell ref="D29:E29"/>
    <mergeCell ref="A27:B27"/>
    <mergeCell ref="D27:E27"/>
    <mergeCell ref="J27:K27"/>
    <mergeCell ref="A28:B28"/>
    <mergeCell ref="D28:E28"/>
    <mergeCell ref="J28:K28"/>
    <mergeCell ref="A17:H17"/>
    <mergeCell ref="J17:K17"/>
    <mergeCell ref="B18:K18"/>
    <mergeCell ref="A25:B25"/>
    <mergeCell ref="A26:B26"/>
    <mergeCell ref="D26:E26"/>
    <mergeCell ref="J26:K26"/>
    <mergeCell ref="B7:K7"/>
    <mergeCell ref="B8:K8"/>
    <mergeCell ref="B9:K9"/>
    <mergeCell ref="B11:B16"/>
    <mergeCell ref="E11:E16"/>
    <mergeCell ref="J11:J16"/>
    <mergeCell ref="K11:K16"/>
    <mergeCell ref="A1:K1"/>
    <mergeCell ref="B2:K2"/>
    <mergeCell ref="B3:K3"/>
    <mergeCell ref="B4:K4"/>
    <mergeCell ref="B5:K5"/>
    <mergeCell ref="B6:K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0E98-D4B6-43BA-8E9F-0C6D5895289D}">
  <dimension ref="A1:V39"/>
  <sheetViews>
    <sheetView zoomScale="55" zoomScaleNormal="55" workbookViewId="0">
      <selection activeCell="L26" sqref="L26"/>
    </sheetView>
  </sheetViews>
  <sheetFormatPr defaultRowHeight="14.5"/>
  <cols>
    <col min="1" max="1" width="13.1796875" customWidth="1"/>
    <col min="2" max="2" width="22.1796875" bestFit="1" customWidth="1"/>
    <col min="3" max="3" width="16.7265625" customWidth="1"/>
    <col min="4" max="4" width="8.453125" customWidth="1"/>
    <col min="5" max="5" width="12.7265625" customWidth="1"/>
    <col min="6" max="6" width="14.7265625" bestFit="1" customWidth="1"/>
    <col min="7" max="7" width="11.453125" customWidth="1"/>
    <col min="8" max="8" width="19.36328125" customWidth="1"/>
    <col min="9" max="9" width="13" bestFit="1" customWidth="1"/>
    <col min="10" max="10" width="13.7265625" style="288" customWidth="1"/>
    <col min="11" max="11" width="11.36328125" style="288" customWidth="1"/>
    <col min="12" max="12" width="13.81640625" style="289" customWidth="1"/>
    <col min="13" max="13" width="16.54296875" style="289" customWidth="1"/>
    <col min="14" max="14" width="15.90625" customWidth="1"/>
    <col min="15" max="15" width="13.7265625" hidden="1" customWidth="1"/>
    <col min="16" max="16" width="13" hidden="1" customWidth="1"/>
    <col min="17" max="17" width="9" hidden="1" customWidth="1"/>
    <col min="18" max="18" width="10" hidden="1" customWidth="1"/>
    <col min="19" max="19" width="13" hidden="1" customWidth="1"/>
    <col min="20" max="20" width="13.54296875" hidden="1" customWidth="1"/>
    <col min="21" max="21" width="9.1796875" hidden="1" customWidth="1"/>
    <col min="22" max="22" width="13.54296875" hidden="1" customWidth="1"/>
  </cols>
  <sheetData>
    <row r="1" spans="1:22" ht="40" customHeight="1">
      <c r="A1" s="102" t="s">
        <v>126</v>
      </c>
      <c r="B1" s="102"/>
      <c r="C1" s="102"/>
      <c r="D1" s="102"/>
      <c r="E1" s="102"/>
      <c r="F1" s="102"/>
      <c r="G1" s="102"/>
      <c r="H1" s="102"/>
      <c r="I1" s="102"/>
      <c r="J1" s="194"/>
      <c r="K1" s="194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17.5">
      <c r="A2" s="104" t="s">
        <v>127</v>
      </c>
      <c r="B2" s="195" t="s">
        <v>128</v>
      </c>
      <c r="C2" s="196"/>
      <c r="D2" s="196"/>
      <c r="E2" s="196"/>
      <c r="F2" s="196"/>
      <c r="G2" s="196"/>
      <c r="H2" s="196"/>
      <c r="I2" s="196"/>
      <c r="J2" s="197"/>
      <c r="K2" s="197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8"/>
    </row>
    <row r="3" spans="1:22">
      <c r="A3" s="104" t="s">
        <v>65</v>
      </c>
      <c r="B3" s="199" t="s">
        <v>129</v>
      </c>
      <c r="C3" s="200"/>
      <c r="D3" s="200"/>
      <c r="E3" s="200"/>
      <c r="F3" s="200"/>
      <c r="G3" s="200"/>
      <c r="H3" s="200"/>
      <c r="I3" s="200"/>
      <c r="J3" s="201"/>
      <c r="K3" s="201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2"/>
    </row>
    <row r="4" spans="1:22">
      <c r="A4" s="104" t="s">
        <v>67</v>
      </c>
      <c r="B4" s="203" t="s">
        <v>130</v>
      </c>
      <c r="C4" s="204"/>
      <c r="D4" s="204"/>
      <c r="E4" s="204"/>
      <c r="F4" s="204"/>
      <c r="G4" s="204"/>
      <c r="H4" s="204"/>
      <c r="I4" s="204"/>
      <c r="J4" s="205"/>
      <c r="K4" s="205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6"/>
    </row>
    <row r="5" spans="1:22">
      <c r="A5" s="104" t="s">
        <v>131</v>
      </c>
      <c r="B5" s="207">
        <v>46162</v>
      </c>
      <c r="C5" s="208"/>
      <c r="D5" s="208"/>
      <c r="E5" s="208"/>
      <c r="F5" s="208"/>
      <c r="G5" s="208"/>
      <c r="H5" s="208"/>
      <c r="I5" s="208"/>
      <c r="J5" s="209"/>
      <c r="K5" s="209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10"/>
    </row>
    <row r="6" spans="1:22">
      <c r="A6" s="104" t="s">
        <v>70</v>
      </c>
      <c r="B6" s="211">
        <v>1698</v>
      </c>
      <c r="C6" s="212"/>
      <c r="D6" s="212"/>
      <c r="E6" s="212"/>
      <c r="F6" s="212"/>
      <c r="G6" s="212"/>
      <c r="H6" s="212"/>
      <c r="I6" s="212"/>
      <c r="J6" s="213"/>
      <c r="K6" s="213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4"/>
    </row>
    <row r="7" spans="1:22">
      <c r="A7" s="104" t="s">
        <v>71</v>
      </c>
      <c r="B7" s="203" t="s">
        <v>36</v>
      </c>
      <c r="C7" s="204"/>
      <c r="D7" s="204"/>
      <c r="E7" s="204"/>
      <c r="F7" s="204"/>
      <c r="G7" s="204"/>
      <c r="H7" s="204"/>
      <c r="I7" s="204"/>
      <c r="J7" s="205"/>
      <c r="K7" s="205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6"/>
    </row>
    <row r="8" spans="1:22">
      <c r="A8" s="104" t="s">
        <v>72</v>
      </c>
      <c r="B8" s="107" t="s">
        <v>41</v>
      </c>
      <c r="C8" s="107"/>
      <c r="D8" s="107"/>
      <c r="E8" s="107"/>
      <c r="F8" s="107"/>
      <c r="G8" s="107"/>
      <c r="H8" s="107"/>
      <c r="I8" s="107"/>
      <c r="J8" s="215"/>
      <c r="K8" s="215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</row>
    <row r="9" spans="1:22">
      <c r="A9" s="104" t="s">
        <v>73</v>
      </c>
      <c r="B9" s="216">
        <f>I23</f>
        <v>376000</v>
      </c>
      <c r="C9" s="217"/>
      <c r="D9" s="217"/>
      <c r="E9" s="217"/>
      <c r="F9" s="217"/>
      <c r="G9" s="217"/>
      <c r="H9" s="217"/>
      <c r="I9" s="217"/>
      <c r="J9" s="218"/>
      <c r="K9" s="218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9"/>
    </row>
    <row r="10" spans="1:22" ht="17.5">
      <c r="A10" s="220" t="s">
        <v>74</v>
      </c>
      <c r="B10" s="221"/>
      <c r="C10" s="221"/>
      <c r="D10" s="221"/>
      <c r="E10" s="221"/>
      <c r="F10" s="221"/>
      <c r="G10" s="221"/>
      <c r="H10" s="221"/>
      <c r="I10" s="221"/>
      <c r="J10" s="222"/>
      <c r="K10" s="222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</row>
    <row r="11" spans="1:22" ht="56">
      <c r="A11" s="223" t="s">
        <v>75</v>
      </c>
      <c r="B11" s="224" t="s">
        <v>78</v>
      </c>
      <c r="C11" s="224" t="s">
        <v>132</v>
      </c>
      <c r="D11" s="224" t="s">
        <v>77</v>
      </c>
      <c r="E11" s="224" t="s">
        <v>133</v>
      </c>
      <c r="F11" s="224" t="s">
        <v>134</v>
      </c>
      <c r="G11" s="224" t="s">
        <v>135</v>
      </c>
      <c r="H11" s="224" t="s">
        <v>136</v>
      </c>
      <c r="I11" s="224" t="s">
        <v>137</v>
      </c>
      <c r="J11" s="224" t="s">
        <v>138</v>
      </c>
      <c r="K11" s="224" t="s">
        <v>139</v>
      </c>
      <c r="L11" s="224" t="s">
        <v>140</v>
      </c>
      <c r="M11" s="224" t="s">
        <v>141</v>
      </c>
      <c r="N11" s="224" t="s">
        <v>142</v>
      </c>
      <c r="O11" s="224" t="s">
        <v>143</v>
      </c>
      <c r="P11" s="223" t="s">
        <v>144</v>
      </c>
      <c r="Q11" s="225" t="s">
        <v>145</v>
      </c>
      <c r="R11" s="226"/>
      <c r="S11" s="227" t="s">
        <v>146</v>
      </c>
      <c r="T11" s="224" t="s">
        <v>147</v>
      </c>
      <c r="U11" s="225" t="s">
        <v>148</v>
      </c>
      <c r="V11" s="228"/>
    </row>
    <row r="12" spans="1:22" s="240" customFormat="1" ht="18.5">
      <c r="A12" s="229">
        <v>1</v>
      </c>
      <c r="B12" s="230" t="s">
        <v>149</v>
      </c>
      <c r="C12" s="231" t="s">
        <v>150</v>
      </c>
      <c r="D12" s="232" t="s">
        <v>151</v>
      </c>
      <c r="E12" s="233" t="s">
        <v>152</v>
      </c>
      <c r="F12" s="231" t="s">
        <v>153</v>
      </c>
      <c r="G12" s="231" t="s">
        <v>154</v>
      </c>
      <c r="H12" s="234" t="s">
        <v>155</v>
      </c>
      <c r="I12" s="235">
        <v>99000</v>
      </c>
      <c r="J12" s="236">
        <v>106349</v>
      </c>
      <c r="K12" s="235">
        <v>99000</v>
      </c>
      <c r="L12" s="237">
        <v>46154</v>
      </c>
      <c r="M12" s="236">
        <v>108780</v>
      </c>
      <c r="N12" s="238" t="s">
        <v>156</v>
      </c>
      <c r="O12" s="239"/>
      <c r="P12" s="239"/>
      <c r="Q12" s="239"/>
      <c r="R12" s="239"/>
      <c r="S12" s="239"/>
      <c r="T12" s="239"/>
      <c r="U12" s="239"/>
      <c r="V12" s="239"/>
    </row>
    <row r="13" spans="1:22" s="245" customFormat="1" ht="15.5">
      <c r="A13" s="229">
        <v>3</v>
      </c>
      <c r="B13" s="241" t="s">
        <v>157</v>
      </c>
      <c r="C13" s="231" t="s">
        <v>158</v>
      </c>
      <c r="D13" s="233" t="s">
        <v>159</v>
      </c>
      <c r="E13" s="233" t="s">
        <v>160</v>
      </c>
      <c r="F13" s="231" t="s">
        <v>153</v>
      </c>
      <c r="G13" s="231" t="s">
        <v>154</v>
      </c>
      <c r="H13" s="242" t="s">
        <v>161</v>
      </c>
      <c r="I13" s="235">
        <v>50000</v>
      </c>
      <c r="J13" s="236">
        <v>30052</v>
      </c>
      <c r="K13" s="235">
        <v>50000</v>
      </c>
      <c r="L13" s="243">
        <v>46159</v>
      </c>
      <c r="M13" s="244">
        <v>49652</v>
      </c>
      <c r="N13" s="238" t="s">
        <v>156</v>
      </c>
    </row>
    <row r="14" spans="1:22" s="251" customFormat="1" ht="18.5">
      <c r="A14" s="229">
        <v>4</v>
      </c>
      <c r="B14" s="241" t="s">
        <v>162</v>
      </c>
      <c r="C14" s="231" t="s">
        <v>158</v>
      </c>
      <c r="D14" s="233" t="s">
        <v>163</v>
      </c>
      <c r="E14" s="233" t="s">
        <v>160</v>
      </c>
      <c r="F14" s="231" t="s">
        <v>153</v>
      </c>
      <c r="G14" s="231" t="s">
        <v>154</v>
      </c>
      <c r="H14" s="242" t="s">
        <v>164</v>
      </c>
      <c r="I14" s="235">
        <v>25000</v>
      </c>
      <c r="J14" s="236">
        <v>22539</v>
      </c>
      <c r="K14" s="235">
        <v>20000</v>
      </c>
      <c r="L14" s="243">
        <v>46147</v>
      </c>
      <c r="M14" s="236">
        <v>29689</v>
      </c>
      <c r="N14" s="238" t="s">
        <v>156</v>
      </c>
      <c r="O14" s="246"/>
      <c r="P14" s="247" t="s">
        <v>165</v>
      </c>
      <c r="Q14" s="248" t="s">
        <v>166</v>
      </c>
      <c r="R14" s="248"/>
      <c r="S14" s="249">
        <v>71000</v>
      </c>
      <c r="T14" s="248" t="s">
        <v>167</v>
      </c>
      <c r="U14" s="250" t="s">
        <v>168</v>
      </c>
      <c r="V14" s="250"/>
    </row>
    <row r="15" spans="1:22" s="245" customFormat="1" ht="15.5">
      <c r="A15" s="229">
        <v>5</v>
      </c>
      <c r="B15" s="241" t="s">
        <v>169</v>
      </c>
      <c r="C15" s="231" t="s">
        <v>158</v>
      </c>
      <c r="D15" s="233" t="s">
        <v>170</v>
      </c>
      <c r="E15" s="233" t="s">
        <v>160</v>
      </c>
      <c r="F15" s="231" t="s">
        <v>153</v>
      </c>
      <c r="G15" s="231" t="s">
        <v>154</v>
      </c>
      <c r="H15" s="234" t="s">
        <v>171</v>
      </c>
      <c r="I15" s="235">
        <v>10000</v>
      </c>
      <c r="J15" s="236">
        <v>10206</v>
      </c>
      <c r="K15" s="235">
        <v>10000</v>
      </c>
      <c r="L15" s="243">
        <v>46156</v>
      </c>
      <c r="M15" s="236">
        <v>20956</v>
      </c>
      <c r="N15" s="238" t="s">
        <v>156</v>
      </c>
      <c r="O15" s="252"/>
      <c r="P15" s="253"/>
      <c r="Q15" s="254"/>
      <c r="R15" s="254"/>
      <c r="S15" s="255"/>
      <c r="T15" s="254"/>
      <c r="U15" s="256"/>
      <c r="V15" s="256"/>
    </row>
    <row r="16" spans="1:22" s="251" customFormat="1" ht="18.5">
      <c r="A16" s="229">
        <v>6</v>
      </c>
      <c r="B16" s="241" t="s">
        <v>172</v>
      </c>
      <c r="C16" s="231" t="s">
        <v>158</v>
      </c>
      <c r="D16" s="233" t="s">
        <v>173</v>
      </c>
      <c r="E16" s="233" t="s">
        <v>160</v>
      </c>
      <c r="F16" s="231" t="s">
        <v>153</v>
      </c>
      <c r="G16" s="231" t="s">
        <v>154</v>
      </c>
      <c r="H16" s="234" t="s">
        <v>174</v>
      </c>
      <c r="I16" s="235">
        <v>12000</v>
      </c>
      <c r="J16" s="236">
        <v>9293</v>
      </c>
      <c r="K16" s="235">
        <v>15000</v>
      </c>
      <c r="L16" s="243">
        <v>46147</v>
      </c>
      <c r="M16" s="236">
        <v>16093</v>
      </c>
      <c r="N16" s="238" t="s">
        <v>156</v>
      </c>
      <c r="O16" s="252"/>
      <c r="P16" s="253"/>
      <c r="Q16" s="254"/>
      <c r="R16" s="254"/>
      <c r="S16" s="255"/>
      <c r="T16" s="254"/>
      <c r="U16" s="256"/>
      <c r="V16" s="256"/>
    </row>
    <row r="17" spans="1:22" s="257" customFormat="1" ht="17.5">
      <c r="A17" s="229">
        <v>7</v>
      </c>
      <c r="B17" s="241" t="s">
        <v>175</v>
      </c>
      <c r="C17" s="231" t="s">
        <v>158</v>
      </c>
      <c r="D17" s="232" t="s">
        <v>176</v>
      </c>
      <c r="E17" s="233" t="s">
        <v>160</v>
      </c>
      <c r="F17" s="231" t="s">
        <v>153</v>
      </c>
      <c r="G17" s="231" t="s">
        <v>154</v>
      </c>
      <c r="H17" s="234" t="s">
        <v>177</v>
      </c>
      <c r="I17" s="235">
        <v>10000</v>
      </c>
      <c r="J17" s="244">
        <v>7625</v>
      </c>
      <c r="K17" s="235">
        <v>15000</v>
      </c>
      <c r="L17" s="237">
        <v>46154</v>
      </c>
      <c r="M17" s="236">
        <v>13025</v>
      </c>
      <c r="N17" s="238" t="s">
        <v>156</v>
      </c>
      <c r="O17" s="252"/>
      <c r="P17" s="253"/>
      <c r="Q17" s="254"/>
      <c r="R17" s="254"/>
      <c r="S17" s="255"/>
      <c r="T17" s="254"/>
      <c r="U17" s="256"/>
      <c r="V17" s="256"/>
    </row>
    <row r="18" spans="1:22" s="245" customFormat="1" ht="15.5">
      <c r="A18" s="229">
        <v>8</v>
      </c>
      <c r="B18" s="241" t="s">
        <v>178</v>
      </c>
      <c r="C18" s="231" t="s">
        <v>158</v>
      </c>
      <c r="D18" s="232" t="s">
        <v>179</v>
      </c>
      <c r="E18" s="233" t="s">
        <v>160</v>
      </c>
      <c r="F18" s="231" t="s">
        <v>153</v>
      </c>
      <c r="G18" s="231" t="s">
        <v>154</v>
      </c>
      <c r="H18" s="234" t="s">
        <v>180</v>
      </c>
      <c r="I18" s="235">
        <v>15000</v>
      </c>
      <c r="J18" s="236">
        <v>5895</v>
      </c>
      <c r="K18" s="235">
        <v>17000</v>
      </c>
      <c r="L18" s="237">
        <v>46157</v>
      </c>
      <c r="M18" s="244">
        <v>17187</v>
      </c>
      <c r="N18" s="238" t="s">
        <v>156</v>
      </c>
    </row>
    <row r="19" spans="1:22" s="245" customFormat="1" ht="15.5">
      <c r="A19" s="229">
        <v>9</v>
      </c>
      <c r="B19" s="230" t="s">
        <v>181</v>
      </c>
      <c r="C19" s="231" t="s">
        <v>182</v>
      </c>
      <c r="D19" s="232" t="s">
        <v>183</v>
      </c>
      <c r="E19" s="233" t="s">
        <v>152</v>
      </c>
      <c r="F19" s="231" t="s">
        <v>153</v>
      </c>
      <c r="G19" s="231" t="s">
        <v>154</v>
      </c>
      <c r="H19" s="234">
        <v>11830004986</v>
      </c>
      <c r="I19" s="235">
        <v>90000</v>
      </c>
      <c r="J19" s="236">
        <v>39982</v>
      </c>
      <c r="K19" s="235">
        <v>90000</v>
      </c>
      <c r="L19" s="243">
        <v>46150</v>
      </c>
      <c r="M19" s="244">
        <v>79082</v>
      </c>
      <c r="N19" s="238" t="s">
        <v>156</v>
      </c>
      <c r="O19" s="258"/>
      <c r="P19" s="258"/>
    </row>
    <row r="20" spans="1:22" s="245" customFormat="1" ht="15.5">
      <c r="A20" s="229">
        <v>10</v>
      </c>
      <c r="B20" s="241" t="s">
        <v>184</v>
      </c>
      <c r="C20" s="231" t="s">
        <v>182</v>
      </c>
      <c r="D20" s="233" t="s">
        <v>185</v>
      </c>
      <c r="E20" s="233" t="s">
        <v>160</v>
      </c>
      <c r="F20" s="231" t="s">
        <v>153</v>
      </c>
      <c r="G20" s="231" t="s">
        <v>154</v>
      </c>
      <c r="H20" s="242">
        <v>10230023265</v>
      </c>
      <c r="I20" s="235">
        <v>35000</v>
      </c>
      <c r="J20" s="236">
        <v>18633</v>
      </c>
      <c r="K20" s="235">
        <v>30000</v>
      </c>
      <c r="L20" s="237">
        <v>46154</v>
      </c>
      <c r="M20" s="244">
        <v>35433</v>
      </c>
      <c r="N20" s="238" t="s">
        <v>156</v>
      </c>
      <c r="O20" s="259"/>
      <c r="P20" s="259"/>
    </row>
    <row r="21" spans="1:22" s="245" customFormat="1" ht="15.5">
      <c r="A21" s="229">
        <v>11</v>
      </c>
      <c r="B21" s="241" t="s">
        <v>186</v>
      </c>
      <c r="C21" s="231" t="s">
        <v>182</v>
      </c>
      <c r="D21" s="233" t="s">
        <v>187</v>
      </c>
      <c r="E21" s="233" t="s">
        <v>160</v>
      </c>
      <c r="F21" s="231" t="s">
        <v>153</v>
      </c>
      <c r="G21" s="231" t="s">
        <v>154</v>
      </c>
      <c r="H21" s="234" t="s">
        <v>188</v>
      </c>
      <c r="I21" s="235">
        <v>20000</v>
      </c>
      <c r="J21" s="236">
        <v>8924</v>
      </c>
      <c r="K21" s="235">
        <v>7000</v>
      </c>
      <c r="L21" s="243">
        <v>46148</v>
      </c>
      <c r="M21" s="260">
        <v>300</v>
      </c>
      <c r="N21" s="238" t="s">
        <v>156</v>
      </c>
      <c r="O21" s="238" t="s">
        <v>189</v>
      </c>
      <c r="P21" s="258"/>
      <c r="Q21" s="258"/>
    </row>
    <row r="22" spans="1:22" s="245" customFormat="1" ht="15.5">
      <c r="A22" s="229">
        <v>12</v>
      </c>
      <c r="B22" s="241" t="s">
        <v>190</v>
      </c>
      <c r="C22" s="231" t="s">
        <v>150</v>
      </c>
      <c r="D22" s="232" t="s">
        <v>191</v>
      </c>
      <c r="E22" s="233" t="s">
        <v>160</v>
      </c>
      <c r="F22" s="231" t="s">
        <v>153</v>
      </c>
      <c r="G22" s="231" t="s">
        <v>154</v>
      </c>
      <c r="H22" s="234" t="s">
        <v>192</v>
      </c>
      <c r="I22" s="235">
        <v>10000</v>
      </c>
      <c r="J22" s="244">
        <v>8347</v>
      </c>
      <c r="K22" s="235">
        <v>7000</v>
      </c>
      <c r="L22" s="243">
        <v>46158</v>
      </c>
      <c r="M22" s="260">
        <v>9547</v>
      </c>
      <c r="N22" s="238" t="s">
        <v>156</v>
      </c>
    </row>
    <row r="23" spans="1:22" ht="25.5" customHeight="1">
      <c r="A23" s="261" t="s">
        <v>91</v>
      </c>
      <c r="B23" s="262" t="s">
        <v>193</v>
      </c>
      <c r="C23" s="263"/>
      <c r="D23" s="264"/>
      <c r="E23" s="265"/>
      <c r="F23" s="266"/>
      <c r="G23" s="266"/>
      <c r="H23" s="267" t="s">
        <v>194</v>
      </c>
      <c r="I23" s="268">
        <f>SUM(I12:I22)</f>
        <v>376000</v>
      </c>
      <c r="J23" s="269"/>
      <c r="K23" s="270"/>
      <c r="L23" s="271"/>
      <c r="M23" s="270"/>
      <c r="N23" s="272"/>
    </row>
    <row r="24" spans="1:22" ht="15.5">
      <c r="A24" s="245"/>
      <c r="B24" s="245"/>
      <c r="C24" s="245"/>
      <c r="D24" s="245"/>
      <c r="E24" s="245"/>
      <c r="F24" s="245"/>
      <c r="G24" s="245"/>
      <c r="H24" s="245"/>
      <c r="I24" s="245"/>
      <c r="J24" s="273"/>
      <c r="K24" s="273"/>
      <c r="L24" s="274"/>
      <c r="M24" s="274"/>
      <c r="N24" s="245"/>
    </row>
    <row r="25" spans="1:22" ht="15.5">
      <c r="A25" s="245"/>
      <c r="B25" s="245"/>
      <c r="C25" s="245"/>
      <c r="D25" s="245"/>
      <c r="E25" s="245"/>
      <c r="F25" s="245"/>
      <c r="G25" s="245"/>
      <c r="H25" s="245"/>
      <c r="I25" s="245"/>
      <c r="J25" s="273"/>
      <c r="K25" s="273"/>
      <c r="L25" s="274"/>
      <c r="M25" s="274"/>
      <c r="N25" s="245"/>
    </row>
    <row r="26" spans="1:22" ht="15.5">
      <c r="A26" s="245"/>
      <c r="B26" s="245"/>
      <c r="C26" s="245"/>
      <c r="D26" s="245"/>
      <c r="E26" s="245"/>
      <c r="F26" s="245"/>
      <c r="G26" s="245"/>
      <c r="H26" s="245"/>
      <c r="I26" s="245"/>
      <c r="J26" s="273"/>
      <c r="K26" s="273"/>
      <c r="L26" s="274"/>
      <c r="M26" s="274"/>
      <c r="N26" s="245"/>
    </row>
    <row r="27" spans="1:22" ht="15.5">
      <c r="A27" s="275"/>
      <c r="B27" s="276" t="s">
        <v>100</v>
      </c>
      <c r="C27" s="276"/>
      <c r="D27" s="276"/>
      <c r="E27" s="276" t="s">
        <v>101</v>
      </c>
      <c r="F27" s="276"/>
      <c r="G27" s="277"/>
      <c r="H27" s="276" t="s">
        <v>102</v>
      </c>
      <c r="I27" s="276"/>
      <c r="J27" s="278"/>
      <c r="K27" s="278"/>
      <c r="L27" s="276" t="s">
        <v>195</v>
      </c>
      <c r="M27" s="276"/>
      <c r="N27" s="276"/>
    </row>
    <row r="28" spans="1:22" ht="15.5">
      <c r="A28" s="279" t="s">
        <v>103</v>
      </c>
      <c r="B28" s="279"/>
      <c r="C28" s="258"/>
      <c r="D28" s="280" t="s">
        <v>104</v>
      </c>
      <c r="E28" s="280"/>
      <c r="F28" s="280"/>
      <c r="G28" s="281"/>
      <c r="H28" s="282" t="s">
        <v>34</v>
      </c>
      <c r="I28" s="282"/>
      <c r="J28" s="282"/>
      <c r="K28" s="281"/>
      <c r="L28" s="280" t="s">
        <v>35</v>
      </c>
      <c r="M28" s="280"/>
      <c r="N28" s="280"/>
    </row>
    <row r="29" spans="1:22" ht="15">
      <c r="A29" s="279" t="s">
        <v>36</v>
      </c>
      <c r="B29" s="279"/>
      <c r="C29" s="259"/>
      <c r="D29" s="279" t="s">
        <v>38</v>
      </c>
      <c r="E29" s="279"/>
      <c r="F29" s="279"/>
      <c r="G29" s="283"/>
      <c r="H29" s="284" t="s">
        <v>39</v>
      </c>
      <c r="I29" s="284"/>
      <c r="J29" s="284"/>
      <c r="K29" s="283"/>
      <c r="L29" s="279" t="s">
        <v>40</v>
      </c>
      <c r="M29" s="279"/>
      <c r="N29" s="279"/>
    </row>
    <row r="30" spans="1:22" ht="15">
      <c r="A30" s="171" t="s">
        <v>41</v>
      </c>
      <c r="B30" s="171"/>
      <c r="C30" s="285"/>
      <c r="D30" s="279" t="s">
        <v>42</v>
      </c>
      <c r="E30" s="279"/>
      <c r="F30" s="279"/>
      <c r="G30" s="286"/>
      <c r="H30" s="287" t="s">
        <v>43</v>
      </c>
      <c r="I30" s="287"/>
      <c r="J30" s="287"/>
      <c r="K30" s="286"/>
      <c r="L30" s="171" t="s">
        <v>44</v>
      </c>
      <c r="M30" s="171"/>
      <c r="N30" s="171"/>
    </row>
    <row r="31" spans="1:22" ht="15">
      <c r="A31" s="171" t="s">
        <v>45</v>
      </c>
      <c r="B31" s="171"/>
      <c r="C31" s="285"/>
      <c r="D31" s="171" t="s">
        <v>45</v>
      </c>
      <c r="E31" s="171"/>
      <c r="F31" s="171"/>
      <c r="G31" s="286"/>
      <c r="H31" s="287" t="s">
        <v>45</v>
      </c>
      <c r="I31" s="287"/>
      <c r="J31" s="287"/>
      <c r="K31" s="286"/>
      <c r="L31" s="285"/>
      <c r="M31" s="265"/>
      <c r="N31" s="285"/>
    </row>
    <row r="32" spans="1:22" ht="15">
      <c r="A32" s="265"/>
      <c r="B32" s="265"/>
      <c r="C32" s="285"/>
      <c r="D32" s="265"/>
      <c r="E32" s="265"/>
      <c r="F32" s="265"/>
      <c r="G32" s="265"/>
      <c r="H32" s="265"/>
      <c r="I32" s="265"/>
      <c r="J32" s="286"/>
      <c r="K32" s="286"/>
      <c r="L32" s="285"/>
      <c r="M32" s="265"/>
      <c r="N32" s="285"/>
    </row>
    <row r="35" spans="1:22" s="288" customFormat="1">
      <c r="A35"/>
      <c r="B35"/>
      <c r="C35"/>
      <c r="D35"/>
      <c r="E35"/>
      <c r="F35"/>
      <c r="G35"/>
      <c r="H35"/>
      <c r="I35"/>
      <c r="L35" s="289"/>
      <c r="M35" s="289"/>
      <c r="N35"/>
      <c r="O35"/>
      <c r="P35"/>
      <c r="Q35"/>
      <c r="R35"/>
      <c r="S35"/>
      <c r="T35"/>
      <c r="U35"/>
      <c r="V35"/>
    </row>
    <row r="36" spans="1:22" s="288" customFormat="1" ht="15.5">
      <c r="A36"/>
      <c r="B36"/>
      <c r="C36" s="290" t="s">
        <v>196</v>
      </c>
      <c r="D36" s="290"/>
      <c r="E36" s="290"/>
      <c r="F36" s="290"/>
      <c r="G36"/>
      <c r="H36" s="258" t="s">
        <v>196</v>
      </c>
      <c r="I36" s="258"/>
      <c r="J36" s="258"/>
      <c r="L36" s="289"/>
      <c r="M36" s="289"/>
      <c r="N36"/>
      <c r="O36"/>
      <c r="P36"/>
      <c r="Q36"/>
      <c r="R36"/>
      <c r="S36"/>
      <c r="T36"/>
      <c r="U36"/>
      <c r="V36"/>
    </row>
    <row r="37" spans="1:22" s="288" customFormat="1" ht="15.5">
      <c r="A37"/>
      <c r="B37"/>
      <c r="C37" s="291" t="s">
        <v>197</v>
      </c>
      <c r="D37" s="291"/>
      <c r="E37" s="291"/>
      <c r="F37" s="291"/>
      <c r="G37"/>
      <c r="H37" s="292" t="s">
        <v>71</v>
      </c>
      <c r="I37" s="292"/>
      <c r="J37" s="259"/>
      <c r="L37" s="289"/>
      <c r="M37" s="289"/>
      <c r="N37"/>
      <c r="O37"/>
      <c r="P37"/>
      <c r="Q37"/>
      <c r="R37"/>
      <c r="S37"/>
      <c r="T37"/>
      <c r="U37"/>
      <c r="V37"/>
    </row>
    <row r="38" spans="1:22" s="288" customFormat="1" ht="15.5">
      <c r="A38"/>
      <c r="B38"/>
      <c r="C38" s="291" t="s">
        <v>198</v>
      </c>
      <c r="D38" s="291"/>
      <c r="E38" s="291"/>
      <c r="F38" s="291"/>
      <c r="G38"/>
      <c r="H38" s="293" t="s">
        <v>199</v>
      </c>
      <c r="I38" s="293"/>
      <c r="J38" s="259"/>
      <c r="L38" s="289"/>
      <c r="M38" s="289"/>
      <c r="N38"/>
      <c r="O38"/>
      <c r="P38"/>
      <c r="Q38"/>
      <c r="R38"/>
      <c r="S38"/>
      <c r="T38"/>
      <c r="U38"/>
      <c r="V38"/>
    </row>
    <row r="39" spans="1:22" ht="15.5">
      <c r="C39" s="291" t="s">
        <v>200</v>
      </c>
      <c r="D39" s="291"/>
      <c r="E39" s="291"/>
      <c r="F39" s="291"/>
      <c r="H39" s="285" t="s">
        <v>201</v>
      </c>
      <c r="I39" s="285"/>
      <c r="J39" s="285"/>
    </row>
  </sheetData>
  <mergeCells count="43">
    <mergeCell ref="C38:F38"/>
    <mergeCell ref="H38:I38"/>
    <mergeCell ref="C39:F39"/>
    <mergeCell ref="A31:B31"/>
    <mergeCell ref="D31:F31"/>
    <mergeCell ref="H31:J31"/>
    <mergeCell ref="C36:F36"/>
    <mergeCell ref="C37:F37"/>
    <mergeCell ref="H37:I37"/>
    <mergeCell ref="A29:B29"/>
    <mergeCell ref="D29:F29"/>
    <mergeCell ref="H29:J29"/>
    <mergeCell ref="L29:N29"/>
    <mergeCell ref="A30:B30"/>
    <mergeCell ref="D30:F30"/>
    <mergeCell ref="H30:J30"/>
    <mergeCell ref="L30:N30"/>
    <mergeCell ref="B27:D27"/>
    <mergeCell ref="E27:F27"/>
    <mergeCell ref="H27:I27"/>
    <mergeCell ref="L27:N27"/>
    <mergeCell ref="A28:B28"/>
    <mergeCell ref="D28:F28"/>
    <mergeCell ref="H28:J28"/>
    <mergeCell ref="L28:N28"/>
    <mergeCell ref="O14:O17"/>
    <mergeCell ref="P14:P17"/>
    <mergeCell ref="Q14:R17"/>
    <mergeCell ref="S14:S17"/>
    <mergeCell ref="T14:T17"/>
    <mergeCell ref="U14:V17"/>
    <mergeCell ref="B7:V7"/>
    <mergeCell ref="B8:V8"/>
    <mergeCell ref="B9:V9"/>
    <mergeCell ref="A10:V10"/>
    <mergeCell ref="Q11:R11"/>
    <mergeCell ref="U11:V11"/>
    <mergeCell ref="A1:V1"/>
    <mergeCell ref="B2:V2"/>
    <mergeCell ref="B3:V3"/>
    <mergeCell ref="B4:V4"/>
    <mergeCell ref="B5:V5"/>
    <mergeCell ref="B6:V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7DA2-FFE6-4D4F-AC86-D37EB4367989}">
  <dimension ref="A1:W45"/>
  <sheetViews>
    <sheetView zoomScale="70" zoomScaleNormal="70" workbookViewId="0">
      <selection activeCell="S11" sqref="S11"/>
    </sheetView>
  </sheetViews>
  <sheetFormatPr defaultRowHeight="14.5"/>
  <cols>
    <col min="1" max="1" width="7.36328125" customWidth="1"/>
    <col min="2" max="2" width="24.1796875" customWidth="1"/>
    <col min="3" max="3" width="13.1796875" customWidth="1"/>
    <col min="4" max="4" width="8.08984375" customWidth="1"/>
    <col min="5" max="5" width="11" customWidth="1"/>
    <col min="6" max="6" width="13.90625" customWidth="1"/>
    <col min="7" max="7" width="15.08984375" customWidth="1"/>
    <col min="8" max="8" width="15.81640625" customWidth="1"/>
    <col min="9" max="9" width="11.90625" hidden="1" customWidth="1"/>
    <col min="10" max="10" width="11.81640625" customWidth="1"/>
    <col min="11" max="11" width="11.6328125" customWidth="1"/>
    <col min="12" max="12" width="11.81640625" customWidth="1"/>
    <col min="13" max="13" width="17.08984375" customWidth="1"/>
    <col min="14" max="14" width="15.81640625" hidden="1" customWidth="1"/>
    <col min="15" max="15" width="10" hidden="1" customWidth="1"/>
    <col min="17" max="17" width="9.90625" bestFit="1" customWidth="1"/>
  </cols>
  <sheetData>
    <row r="1" spans="1:23" ht="37" customHeight="1">
      <c r="A1" s="294" t="s">
        <v>202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</row>
    <row r="2" spans="1:23">
      <c r="A2" s="295" t="s">
        <v>127</v>
      </c>
      <c r="B2" s="295"/>
      <c r="C2" s="296" t="s">
        <v>86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3" spans="1:23">
      <c r="A3" s="295" t="s">
        <v>65</v>
      </c>
      <c r="B3" s="295"/>
      <c r="C3" s="297" t="s">
        <v>203</v>
      </c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</row>
    <row r="4" spans="1:23">
      <c r="A4" s="295" t="s">
        <v>67</v>
      </c>
      <c r="B4" s="295"/>
      <c r="C4" s="296" t="s">
        <v>204</v>
      </c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</row>
    <row r="5" spans="1:23">
      <c r="A5" s="295" t="s">
        <v>69</v>
      </c>
      <c r="B5" s="295"/>
      <c r="C5" s="298">
        <v>46162</v>
      </c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9"/>
      <c r="O5" s="300"/>
      <c r="P5" s="300"/>
      <c r="Q5" s="300"/>
      <c r="R5" s="300"/>
      <c r="S5" s="300"/>
      <c r="T5" s="300"/>
      <c r="U5" s="300"/>
      <c r="V5" s="300"/>
      <c r="W5" s="300"/>
    </row>
    <row r="6" spans="1:23">
      <c r="A6" s="295" t="s">
        <v>70</v>
      </c>
      <c r="B6" s="295"/>
      <c r="C6" s="301">
        <v>1698</v>
      </c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</row>
    <row r="7" spans="1:23">
      <c r="A7" s="295" t="s">
        <v>71</v>
      </c>
      <c r="B7" s="295"/>
      <c r="C7" s="296" t="s">
        <v>36</v>
      </c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</row>
    <row r="8" spans="1:23">
      <c r="A8" s="295" t="s">
        <v>72</v>
      </c>
      <c r="B8" s="295"/>
      <c r="C8" s="296" t="s">
        <v>41</v>
      </c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</row>
    <row r="9" spans="1:23" ht="16" customHeight="1">
      <c r="A9" s="295" t="s">
        <v>73</v>
      </c>
      <c r="B9" s="295"/>
      <c r="C9" s="302">
        <f>H35</f>
        <v>567500</v>
      </c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23" ht="24" customHeight="1">
      <c r="A10" s="303" t="s">
        <v>74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4" t="s">
        <v>205</v>
      </c>
    </row>
    <row r="11" spans="1:23" ht="48.5" customHeight="1">
      <c r="A11" s="305" t="s">
        <v>75</v>
      </c>
      <c r="B11" s="306" t="s">
        <v>78</v>
      </c>
      <c r="C11" s="306" t="s">
        <v>132</v>
      </c>
      <c r="D11" s="306" t="s">
        <v>77</v>
      </c>
      <c r="E11" s="306" t="s">
        <v>206</v>
      </c>
      <c r="F11" s="306" t="s">
        <v>134</v>
      </c>
      <c r="G11" s="306" t="s">
        <v>207</v>
      </c>
      <c r="H11" s="306" t="s">
        <v>208</v>
      </c>
      <c r="I11" s="306" t="s">
        <v>209</v>
      </c>
      <c r="J11" s="306" t="s">
        <v>210</v>
      </c>
      <c r="K11" s="306" t="s">
        <v>211</v>
      </c>
      <c r="L11" s="306" t="s">
        <v>212</v>
      </c>
      <c r="M11" s="306" t="s">
        <v>213</v>
      </c>
      <c r="N11" s="306" t="s">
        <v>214</v>
      </c>
      <c r="O11" s="307"/>
    </row>
    <row r="12" spans="1:23">
      <c r="A12" s="308">
        <v>1</v>
      </c>
      <c r="B12" s="309" t="s">
        <v>215</v>
      </c>
      <c r="C12" s="310" t="s">
        <v>216</v>
      </c>
      <c r="D12" s="311">
        <v>1669</v>
      </c>
      <c r="E12" s="308" t="s">
        <v>154</v>
      </c>
      <c r="F12" s="312" t="s">
        <v>217</v>
      </c>
      <c r="G12" s="313">
        <v>10230043129</v>
      </c>
      <c r="H12" s="314">
        <v>5000</v>
      </c>
      <c r="I12" s="315"/>
      <c r="J12" s="316">
        <v>32556</v>
      </c>
      <c r="K12" s="317">
        <v>15000</v>
      </c>
      <c r="L12" s="318">
        <v>46157</v>
      </c>
      <c r="M12" s="319">
        <v>20000</v>
      </c>
      <c r="N12" s="320"/>
      <c r="O12" s="321"/>
      <c r="Q12" s="322"/>
    </row>
    <row r="13" spans="1:23">
      <c r="A13" s="308">
        <v>2</v>
      </c>
      <c r="B13" s="323" t="s">
        <v>218</v>
      </c>
      <c r="C13" s="310" t="s">
        <v>216</v>
      </c>
      <c r="D13" s="311">
        <v>399</v>
      </c>
      <c r="E13" s="308" t="s">
        <v>154</v>
      </c>
      <c r="F13" s="312" t="s">
        <v>217</v>
      </c>
      <c r="G13" s="313">
        <v>10230064180</v>
      </c>
      <c r="H13" s="314">
        <v>30000</v>
      </c>
      <c r="I13" s="324"/>
      <c r="J13">
        <v>26684</v>
      </c>
      <c r="K13" s="325">
        <v>25000</v>
      </c>
      <c r="L13" s="318">
        <v>46157</v>
      </c>
      <c r="M13" s="326">
        <v>17000</v>
      </c>
      <c r="N13" s="320"/>
      <c r="O13" s="321"/>
      <c r="Q13" s="322"/>
    </row>
    <row r="14" spans="1:23" ht="20" customHeight="1">
      <c r="A14" s="308">
        <v>3</v>
      </c>
      <c r="B14" s="309" t="s">
        <v>219</v>
      </c>
      <c r="C14" s="310" t="s">
        <v>216</v>
      </c>
      <c r="D14" s="311">
        <v>374</v>
      </c>
      <c r="E14" s="308" t="s">
        <v>154</v>
      </c>
      <c r="F14" s="312" t="s">
        <v>217</v>
      </c>
      <c r="G14" s="313">
        <v>10230064102</v>
      </c>
      <c r="H14" s="327">
        <v>40000</v>
      </c>
      <c r="I14" s="324"/>
      <c r="J14" s="328">
        <v>63958</v>
      </c>
      <c r="K14" s="325">
        <v>40000</v>
      </c>
      <c r="L14" s="318">
        <v>46157</v>
      </c>
      <c r="M14" s="329">
        <v>50000</v>
      </c>
      <c r="N14" s="320"/>
      <c r="O14" s="321"/>
      <c r="Q14" s="330"/>
    </row>
    <row r="15" spans="1:23">
      <c r="A15" s="308">
        <v>4</v>
      </c>
      <c r="B15" s="323" t="s">
        <v>220</v>
      </c>
      <c r="C15" s="310" t="s">
        <v>216</v>
      </c>
      <c r="D15" s="311">
        <v>957</v>
      </c>
      <c r="E15" s="308" t="s">
        <v>154</v>
      </c>
      <c r="F15" s="312" t="s">
        <v>221</v>
      </c>
      <c r="G15" s="313">
        <v>10810007909</v>
      </c>
      <c r="H15" s="327">
        <v>1500</v>
      </c>
      <c r="I15" s="324"/>
      <c r="J15" s="331">
        <v>2385</v>
      </c>
      <c r="K15" s="325">
        <v>1500</v>
      </c>
      <c r="L15" s="318">
        <v>46157</v>
      </c>
      <c r="M15" s="331">
        <v>1985</v>
      </c>
      <c r="N15" s="320"/>
      <c r="O15" s="321"/>
      <c r="Q15" s="330"/>
    </row>
    <row r="16" spans="1:23">
      <c r="A16" s="308">
        <v>5</v>
      </c>
      <c r="B16" s="323" t="s">
        <v>222</v>
      </c>
      <c r="C16" s="310" t="s">
        <v>216</v>
      </c>
      <c r="D16" s="311">
        <v>505</v>
      </c>
      <c r="E16" s="308" t="s">
        <v>154</v>
      </c>
      <c r="F16" s="312" t="s">
        <v>221</v>
      </c>
      <c r="G16" s="313">
        <v>10132000348</v>
      </c>
      <c r="H16" s="327">
        <v>20000</v>
      </c>
      <c r="I16" s="324"/>
      <c r="J16" s="331">
        <v>10980</v>
      </c>
      <c r="K16" s="325">
        <v>10000</v>
      </c>
      <c r="L16" s="318">
        <v>46157</v>
      </c>
      <c r="M16" s="331">
        <v>6604</v>
      </c>
      <c r="N16" s="320"/>
      <c r="O16" s="321"/>
      <c r="Q16" s="330"/>
    </row>
    <row r="17" spans="1:17">
      <c r="A17" s="308">
        <v>6</v>
      </c>
      <c r="B17" s="309" t="s">
        <v>223</v>
      </c>
      <c r="C17" s="310" t="s">
        <v>216</v>
      </c>
      <c r="D17" s="311">
        <v>501</v>
      </c>
      <c r="E17" s="308" t="s">
        <v>154</v>
      </c>
      <c r="F17" s="312" t="s">
        <v>221</v>
      </c>
      <c r="G17" s="313" t="s">
        <v>224</v>
      </c>
      <c r="H17" s="327">
        <v>60000</v>
      </c>
      <c r="I17" s="324"/>
      <c r="J17" s="331">
        <v>28945</v>
      </c>
      <c r="K17" s="325">
        <v>50000</v>
      </c>
      <c r="L17" s="318">
        <v>46143</v>
      </c>
      <c r="M17" s="331">
        <v>28970</v>
      </c>
      <c r="N17" s="320"/>
      <c r="O17" s="321"/>
      <c r="Q17" s="330"/>
    </row>
    <row r="18" spans="1:17" s="338" customFormat="1" ht="27">
      <c r="A18" s="308">
        <v>7</v>
      </c>
      <c r="B18" s="309" t="s">
        <v>225</v>
      </c>
      <c r="C18" s="332" t="s">
        <v>216</v>
      </c>
      <c r="D18" s="311" t="s">
        <v>226</v>
      </c>
      <c r="E18" s="308" t="s">
        <v>154</v>
      </c>
      <c r="F18" s="312" t="s">
        <v>227</v>
      </c>
      <c r="G18" s="313" t="s">
        <v>228</v>
      </c>
      <c r="H18" s="327">
        <v>25000</v>
      </c>
      <c r="I18" s="333"/>
      <c r="J18" s="334">
        <v>31746</v>
      </c>
      <c r="K18" s="335">
        <v>25000</v>
      </c>
      <c r="L18" s="318">
        <v>46157</v>
      </c>
      <c r="M18" s="334">
        <v>15000</v>
      </c>
      <c r="N18" s="336"/>
      <c r="O18" s="337"/>
      <c r="P18" s="337"/>
      <c r="Q18" s="330"/>
    </row>
    <row r="19" spans="1:17" ht="18" customHeight="1">
      <c r="A19" s="308">
        <v>8</v>
      </c>
      <c r="B19" s="309" t="s">
        <v>229</v>
      </c>
      <c r="C19" s="339" t="s">
        <v>216</v>
      </c>
      <c r="D19" s="311">
        <v>2020</v>
      </c>
      <c r="E19" s="340" t="s">
        <v>154</v>
      </c>
      <c r="F19" s="341" t="s">
        <v>58</v>
      </c>
      <c r="G19" s="342" t="s">
        <v>230</v>
      </c>
      <c r="H19" s="343">
        <v>0</v>
      </c>
      <c r="I19" s="344"/>
      <c r="J19" s="345">
        <v>59486</v>
      </c>
      <c r="K19" s="346">
        <v>5000</v>
      </c>
      <c r="L19" s="347">
        <v>46086</v>
      </c>
      <c r="M19" s="348">
        <v>56442</v>
      </c>
      <c r="N19" s="151"/>
      <c r="Q19" s="349"/>
    </row>
    <row r="20" spans="1:17">
      <c r="A20" s="308">
        <v>9</v>
      </c>
      <c r="B20" s="350" t="s">
        <v>231</v>
      </c>
      <c r="C20" s="351" t="s">
        <v>232</v>
      </c>
      <c r="D20" s="352">
        <v>164</v>
      </c>
      <c r="E20" s="308" t="s">
        <v>154</v>
      </c>
      <c r="F20" s="353" t="s">
        <v>232</v>
      </c>
      <c r="G20" s="354">
        <v>12300039687</v>
      </c>
      <c r="H20" s="355" t="s">
        <v>233</v>
      </c>
      <c r="I20" s="324"/>
      <c r="J20" s="356">
        <v>140056</v>
      </c>
      <c r="K20" s="325">
        <v>140000</v>
      </c>
      <c r="L20" s="318">
        <v>46159</v>
      </c>
      <c r="M20" s="357">
        <v>85186</v>
      </c>
      <c r="N20" s="336"/>
      <c r="O20" s="337"/>
      <c r="P20" s="337"/>
      <c r="Q20" s="358"/>
    </row>
    <row r="21" spans="1:17">
      <c r="A21" s="308">
        <v>10</v>
      </c>
      <c r="B21" s="323" t="s">
        <v>234</v>
      </c>
      <c r="C21" s="310" t="s">
        <v>232</v>
      </c>
      <c r="D21" s="311">
        <v>1975</v>
      </c>
      <c r="E21" s="340" t="s">
        <v>154</v>
      </c>
      <c r="F21" s="341" t="s">
        <v>232</v>
      </c>
      <c r="G21" s="342">
        <v>12300011264</v>
      </c>
      <c r="H21" s="327">
        <v>10000</v>
      </c>
      <c r="I21" s="333"/>
      <c r="J21" s="359">
        <v>38094</v>
      </c>
      <c r="K21" s="360">
        <v>40000</v>
      </c>
      <c r="L21" s="318">
        <v>45993</v>
      </c>
      <c r="M21" s="361">
        <v>28453</v>
      </c>
      <c r="N21" s="336"/>
      <c r="O21" s="337"/>
      <c r="P21" s="337"/>
      <c r="Q21" s="358"/>
    </row>
    <row r="22" spans="1:17" s="364" customFormat="1">
      <c r="A22" s="308">
        <v>11</v>
      </c>
      <c r="B22" s="323" t="s">
        <v>235</v>
      </c>
      <c r="C22" s="310" t="s">
        <v>232</v>
      </c>
      <c r="D22" s="311">
        <v>429</v>
      </c>
      <c r="E22" s="340" t="s">
        <v>154</v>
      </c>
      <c r="F22" s="341" t="s">
        <v>232</v>
      </c>
      <c r="G22" s="342">
        <v>12300011009</v>
      </c>
      <c r="H22" s="327">
        <v>100000</v>
      </c>
      <c r="I22" s="333"/>
      <c r="J22">
        <v>193667</v>
      </c>
      <c r="K22" s="362">
        <v>100000</v>
      </c>
      <c r="L22" s="318">
        <v>46150</v>
      </c>
      <c r="M22" s="361">
        <v>155646</v>
      </c>
      <c r="N22" s="363"/>
      <c r="Q22" s="349"/>
    </row>
    <row r="23" spans="1:17" s="364" customFormat="1">
      <c r="A23" s="308">
        <v>12</v>
      </c>
      <c r="B23" s="350" t="s">
        <v>236</v>
      </c>
      <c r="C23" s="351" t="s">
        <v>232</v>
      </c>
      <c r="D23" s="352">
        <v>1966</v>
      </c>
      <c r="E23" s="340" t="s">
        <v>154</v>
      </c>
      <c r="F23" s="365" t="s">
        <v>232</v>
      </c>
      <c r="G23" s="366">
        <v>10230058721</v>
      </c>
      <c r="H23" s="343">
        <v>0</v>
      </c>
      <c r="I23" s="367"/>
      <c r="J23" s="359">
        <v>47452</v>
      </c>
      <c r="K23" s="346">
        <v>15000</v>
      </c>
      <c r="L23" s="318">
        <v>46056</v>
      </c>
      <c r="M23" s="361">
        <v>59216</v>
      </c>
      <c r="N23" s="363"/>
      <c r="Q23" s="330"/>
    </row>
    <row r="24" spans="1:17" s="364" customFormat="1" ht="27">
      <c r="A24" s="308">
        <v>13</v>
      </c>
      <c r="B24" s="368" t="s">
        <v>237</v>
      </c>
      <c r="C24" s="351" t="s">
        <v>232</v>
      </c>
      <c r="D24" s="352">
        <v>708</v>
      </c>
      <c r="E24" s="308" t="s">
        <v>154</v>
      </c>
      <c r="F24" s="353" t="s">
        <v>238</v>
      </c>
      <c r="G24" s="354" t="s">
        <v>239</v>
      </c>
      <c r="H24" s="343">
        <v>35000</v>
      </c>
      <c r="I24" s="369"/>
      <c r="J24" s="356">
        <v>46509</v>
      </c>
      <c r="K24" s="370">
        <v>35000</v>
      </c>
      <c r="L24" s="318">
        <v>46147</v>
      </c>
      <c r="M24" s="361">
        <v>27980</v>
      </c>
      <c r="N24" s="363"/>
      <c r="Q24" s="322"/>
    </row>
    <row r="25" spans="1:17" ht="20.5" customHeight="1">
      <c r="A25" s="308">
        <v>14</v>
      </c>
      <c r="B25" s="368" t="s">
        <v>240</v>
      </c>
      <c r="C25" s="310" t="s">
        <v>241</v>
      </c>
      <c r="D25" s="371">
        <v>466</v>
      </c>
      <c r="E25" s="308" t="s">
        <v>154</v>
      </c>
      <c r="F25" s="312" t="s">
        <v>242</v>
      </c>
      <c r="G25" s="313">
        <v>10130017048</v>
      </c>
      <c r="H25" s="314">
        <v>50000</v>
      </c>
      <c r="I25" s="372"/>
      <c r="J25" s="359">
        <v>51400</v>
      </c>
      <c r="K25" s="317">
        <v>50000</v>
      </c>
      <c r="L25" s="318">
        <v>46147</v>
      </c>
      <c r="M25" s="373">
        <v>36594</v>
      </c>
      <c r="N25" s="103"/>
      <c r="Q25" s="330"/>
    </row>
    <row r="26" spans="1:17" ht="20.5" customHeight="1">
      <c r="A26" s="308">
        <v>15</v>
      </c>
      <c r="B26" s="350" t="s">
        <v>243</v>
      </c>
      <c r="C26" s="351" t="s">
        <v>216</v>
      </c>
      <c r="D26" s="352">
        <v>389</v>
      </c>
      <c r="E26" s="308" t="s">
        <v>154</v>
      </c>
      <c r="F26" s="353" t="s">
        <v>21</v>
      </c>
      <c r="G26" s="354">
        <v>10230051239</v>
      </c>
      <c r="H26" s="374">
        <v>40000</v>
      </c>
      <c r="I26" s="375"/>
      <c r="J26" s="328">
        <v>46310</v>
      </c>
      <c r="K26" s="370">
        <v>40000</v>
      </c>
      <c r="L26" s="318">
        <v>46147</v>
      </c>
      <c r="M26" s="329">
        <v>22300</v>
      </c>
      <c r="N26" s="103"/>
      <c r="Q26" s="330"/>
    </row>
    <row r="27" spans="1:17" ht="23" customHeight="1">
      <c r="A27" s="308">
        <v>16</v>
      </c>
      <c r="B27" s="350" t="s">
        <v>244</v>
      </c>
      <c r="C27" s="351" t="s">
        <v>216</v>
      </c>
      <c r="D27" s="352">
        <v>428</v>
      </c>
      <c r="E27" s="308" t="s">
        <v>154</v>
      </c>
      <c r="F27" s="353" t="s">
        <v>21</v>
      </c>
      <c r="G27" s="354">
        <v>10230051242</v>
      </c>
      <c r="H27" s="327">
        <v>10000</v>
      </c>
      <c r="I27" s="369"/>
      <c r="J27" s="328">
        <v>44360</v>
      </c>
      <c r="K27" s="376">
        <v>10000</v>
      </c>
      <c r="L27" s="318">
        <v>46147</v>
      </c>
      <c r="M27" s="329">
        <v>25400</v>
      </c>
      <c r="N27" s="103"/>
      <c r="Q27" s="358"/>
    </row>
    <row r="28" spans="1:17">
      <c r="A28" s="308">
        <v>17</v>
      </c>
      <c r="B28" s="323" t="s">
        <v>245</v>
      </c>
      <c r="C28" s="310" t="s">
        <v>150</v>
      </c>
      <c r="D28" s="311">
        <v>182</v>
      </c>
      <c r="E28" s="308" t="s">
        <v>154</v>
      </c>
      <c r="F28" s="312" t="s">
        <v>246</v>
      </c>
      <c r="G28" s="313" t="s">
        <v>247</v>
      </c>
      <c r="H28" s="355" t="s">
        <v>248</v>
      </c>
      <c r="I28" s="377"/>
      <c r="J28" s="356">
        <v>2664871</v>
      </c>
      <c r="K28" s="325">
        <v>280000</v>
      </c>
      <c r="L28" s="318">
        <v>46147</v>
      </c>
      <c r="M28" s="361">
        <v>198386</v>
      </c>
      <c r="N28" s="148"/>
      <c r="Q28" s="349"/>
    </row>
    <row r="29" spans="1:17" ht="14" customHeight="1">
      <c r="A29" s="308">
        <v>18</v>
      </c>
      <c r="B29" s="368" t="s">
        <v>249</v>
      </c>
      <c r="C29" s="351" t="s">
        <v>150</v>
      </c>
      <c r="D29" s="352">
        <v>308</v>
      </c>
      <c r="E29" s="308" t="s">
        <v>154</v>
      </c>
      <c r="F29" s="353" t="s">
        <v>250</v>
      </c>
      <c r="G29" s="354" t="s">
        <v>251</v>
      </c>
      <c r="H29" s="343">
        <v>20000</v>
      </c>
      <c r="I29" s="369"/>
      <c r="J29" s="328">
        <v>43599</v>
      </c>
      <c r="K29" s="370">
        <v>20000</v>
      </c>
      <c r="L29" s="318">
        <v>46076</v>
      </c>
      <c r="M29" s="328">
        <v>23299</v>
      </c>
      <c r="N29" s="148"/>
      <c r="Q29" s="330"/>
    </row>
    <row r="30" spans="1:17" ht="14.5" customHeight="1">
      <c r="A30" s="308">
        <v>19</v>
      </c>
      <c r="B30" s="350" t="s">
        <v>252</v>
      </c>
      <c r="C30" s="351" t="s">
        <v>150</v>
      </c>
      <c r="D30" s="352">
        <v>275</v>
      </c>
      <c r="E30" s="308" t="s">
        <v>154</v>
      </c>
      <c r="F30" s="312" t="s">
        <v>246</v>
      </c>
      <c r="G30" s="354" t="s">
        <v>253</v>
      </c>
      <c r="H30" s="327">
        <v>0</v>
      </c>
      <c r="I30" s="369"/>
      <c r="J30" s="356">
        <v>60674</v>
      </c>
      <c r="K30" s="370">
        <v>20000</v>
      </c>
      <c r="L30" s="318">
        <v>46029</v>
      </c>
      <c r="M30" s="361">
        <v>55439</v>
      </c>
      <c r="N30" s="150"/>
      <c r="Q30" s="378"/>
    </row>
    <row r="31" spans="1:17" ht="14.5" customHeight="1">
      <c r="A31" s="308">
        <v>20</v>
      </c>
      <c r="B31" s="323" t="s">
        <v>254</v>
      </c>
      <c r="C31" s="310" t="s">
        <v>150</v>
      </c>
      <c r="D31" s="379">
        <v>182</v>
      </c>
      <c r="E31" s="340" t="s">
        <v>255</v>
      </c>
      <c r="F31" s="341" t="s">
        <v>246</v>
      </c>
      <c r="G31" s="380" t="s">
        <v>256</v>
      </c>
      <c r="H31" s="327">
        <v>99000</v>
      </c>
      <c r="I31" s="333"/>
      <c r="J31" s="359">
        <v>60674</v>
      </c>
      <c r="K31" s="325">
        <v>99000</v>
      </c>
      <c r="L31" s="318">
        <v>46147</v>
      </c>
      <c r="M31" s="381">
        <v>69158</v>
      </c>
      <c r="Q31" s="382"/>
    </row>
    <row r="32" spans="1:17" ht="14.5" customHeight="1">
      <c r="A32" s="308">
        <v>21</v>
      </c>
      <c r="B32" s="350" t="s">
        <v>257</v>
      </c>
      <c r="C32" s="351" t="s">
        <v>258</v>
      </c>
      <c r="D32" s="352">
        <v>1943</v>
      </c>
      <c r="E32" s="308" t="s">
        <v>154</v>
      </c>
      <c r="F32" s="353" t="s">
        <v>241</v>
      </c>
      <c r="G32" s="383">
        <v>10132011291</v>
      </c>
      <c r="H32" s="327">
        <v>0</v>
      </c>
      <c r="I32" s="324"/>
      <c r="J32" s="328">
        <v>19812</v>
      </c>
      <c r="K32" s="325">
        <v>40000</v>
      </c>
      <c r="L32" s="318">
        <v>46086</v>
      </c>
      <c r="M32" s="357">
        <v>126476</v>
      </c>
      <c r="Q32" s="378"/>
    </row>
    <row r="33" spans="1:17" ht="14.5" customHeight="1">
      <c r="A33" s="308">
        <v>22</v>
      </c>
      <c r="B33" s="350" t="s">
        <v>259</v>
      </c>
      <c r="C33" s="351" t="s">
        <v>258</v>
      </c>
      <c r="D33" s="352">
        <v>2284</v>
      </c>
      <c r="E33" s="308" t="s">
        <v>154</v>
      </c>
      <c r="F33" s="353" t="s">
        <v>241</v>
      </c>
      <c r="G33" s="384" t="s">
        <v>260</v>
      </c>
      <c r="H33" s="327">
        <v>20000</v>
      </c>
      <c r="I33" s="324"/>
      <c r="J33" s="328">
        <v>70342</v>
      </c>
      <c r="K33" s="325">
        <v>40000</v>
      </c>
      <c r="L33" s="318">
        <v>46120</v>
      </c>
      <c r="M33" s="357">
        <v>44130</v>
      </c>
      <c r="Q33" s="378"/>
    </row>
    <row r="34" spans="1:17" ht="14.5" customHeight="1">
      <c r="A34" s="308">
        <v>23</v>
      </c>
      <c r="B34" s="350" t="s">
        <v>261</v>
      </c>
      <c r="C34" s="351" t="s">
        <v>21</v>
      </c>
      <c r="D34" s="352">
        <v>2259</v>
      </c>
      <c r="E34" s="308" t="s">
        <v>154</v>
      </c>
      <c r="F34" s="353" t="s">
        <v>21</v>
      </c>
      <c r="G34" s="384" t="s">
        <v>262</v>
      </c>
      <c r="H34" s="327">
        <v>2000</v>
      </c>
      <c r="I34" s="324"/>
      <c r="J34" s="328">
        <v>2000</v>
      </c>
      <c r="K34" s="325">
        <v>4000</v>
      </c>
      <c r="L34" s="318">
        <v>46113</v>
      </c>
      <c r="M34" s="357">
        <v>700</v>
      </c>
      <c r="Q34" s="378"/>
    </row>
    <row r="35" spans="1:17" ht="31" customHeight="1">
      <c r="A35" s="385" t="s">
        <v>263</v>
      </c>
      <c r="B35" s="385"/>
      <c r="C35" s="385"/>
      <c r="D35" s="385"/>
      <c r="E35" s="385"/>
      <c r="F35" s="385"/>
      <c r="G35" s="385"/>
      <c r="H35" s="386">
        <f>SUM(H12:H34)</f>
        <v>567500</v>
      </c>
      <c r="I35" s="387"/>
      <c r="J35" s="387"/>
      <c r="K35" s="387"/>
      <c r="L35" s="387"/>
      <c r="M35" s="387"/>
    </row>
    <row r="36" spans="1:17">
      <c r="A36" s="363" t="s">
        <v>264</v>
      </c>
      <c r="B36" s="364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</row>
    <row r="37" spans="1:17">
      <c r="A37" s="363"/>
      <c r="B37" s="364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</row>
    <row r="38" spans="1:17">
      <c r="A38" s="363"/>
      <c r="B38" s="364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</row>
    <row r="39" spans="1:17">
      <c r="A39" s="363"/>
      <c r="B39" s="364"/>
      <c r="C39" s="363"/>
      <c r="D39" s="363"/>
      <c r="E39" s="363"/>
      <c r="F39" s="363"/>
      <c r="G39" s="363"/>
      <c r="H39" s="363"/>
      <c r="I39" s="363"/>
      <c r="J39" s="363"/>
      <c r="K39" s="363"/>
      <c r="L39" s="363"/>
      <c r="M39" s="363"/>
    </row>
    <row r="40" spans="1:17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42" t="s">
        <v>195</v>
      </c>
    </row>
    <row r="41" spans="1:17">
      <c r="A41" s="141" t="s">
        <v>100</v>
      </c>
      <c r="B41" s="141"/>
      <c r="C41" s="103"/>
      <c r="D41" s="103"/>
      <c r="F41" s="141" t="s">
        <v>101</v>
      </c>
      <c r="G41" s="141"/>
      <c r="J41" s="388"/>
      <c r="K41" s="388"/>
      <c r="L41" s="143"/>
      <c r="M41" s="144"/>
    </row>
    <row r="42" spans="1:17">
      <c r="A42" s="172" t="s">
        <v>103</v>
      </c>
      <c r="B42" s="172"/>
      <c r="C42" s="172"/>
      <c r="D42" s="146"/>
      <c r="F42" s="146" t="s">
        <v>104</v>
      </c>
      <c r="G42" s="146"/>
      <c r="H42" s="147" t="s">
        <v>34</v>
      </c>
      <c r="I42" s="147"/>
      <c r="J42" s="147"/>
      <c r="K42" s="144"/>
      <c r="L42" s="147" t="s">
        <v>105</v>
      </c>
      <c r="M42" s="147"/>
    </row>
    <row r="43" spans="1:17">
      <c r="A43" s="149" t="s">
        <v>265</v>
      </c>
      <c r="B43" s="149"/>
      <c r="C43" s="149"/>
      <c r="D43" s="136"/>
      <c r="F43" s="136" t="s">
        <v>38</v>
      </c>
      <c r="G43" s="136"/>
      <c r="H43" s="149" t="s">
        <v>39</v>
      </c>
      <c r="I43" s="149"/>
      <c r="J43" s="149"/>
      <c r="K43" s="148"/>
      <c r="L43" s="389" t="s">
        <v>40</v>
      </c>
      <c r="M43" s="389"/>
    </row>
    <row r="44" spans="1:17">
      <c r="A44" s="152" t="s">
        <v>41</v>
      </c>
      <c r="B44" s="152"/>
      <c r="C44" s="152"/>
      <c r="D44" s="151"/>
      <c r="F44" s="151" t="s">
        <v>42</v>
      </c>
      <c r="G44" s="151"/>
      <c r="H44" s="152" t="s">
        <v>43</v>
      </c>
      <c r="I44" s="152"/>
      <c r="J44" s="152"/>
      <c r="K44" s="150"/>
      <c r="L44" s="152" t="s">
        <v>44</v>
      </c>
      <c r="M44" s="152"/>
    </row>
    <row r="45" spans="1:17">
      <c r="A45" s="152" t="s">
        <v>45</v>
      </c>
      <c r="B45" s="152"/>
      <c r="C45" s="152"/>
      <c r="D45" s="151"/>
      <c r="F45" s="151" t="s">
        <v>45</v>
      </c>
      <c r="G45" s="151"/>
      <c r="H45" s="152" t="s">
        <v>45</v>
      </c>
      <c r="I45" s="152"/>
      <c r="J45" s="152"/>
      <c r="K45" s="150"/>
      <c r="L45" s="150"/>
    </row>
  </sheetData>
  <mergeCells count="33">
    <mergeCell ref="A45:C45"/>
    <mergeCell ref="H45:J45"/>
    <mergeCell ref="A43:C43"/>
    <mergeCell ref="H43:J43"/>
    <mergeCell ref="L43:M43"/>
    <mergeCell ref="A44:C44"/>
    <mergeCell ref="H44:J44"/>
    <mergeCell ref="L44:M44"/>
    <mergeCell ref="A41:B41"/>
    <mergeCell ref="F41:G41"/>
    <mergeCell ref="J41:K41"/>
    <mergeCell ref="A42:C42"/>
    <mergeCell ref="H42:J42"/>
    <mergeCell ref="L42:M42"/>
    <mergeCell ref="A8:B8"/>
    <mergeCell ref="C8:N8"/>
    <mergeCell ref="A9:B9"/>
    <mergeCell ref="C9:N9"/>
    <mergeCell ref="A10:N10"/>
    <mergeCell ref="A35:G35"/>
    <mergeCell ref="A5:B5"/>
    <mergeCell ref="C5:M5"/>
    <mergeCell ref="A6:B6"/>
    <mergeCell ref="C6:N6"/>
    <mergeCell ref="A7:B7"/>
    <mergeCell ref="C7:N7"/>
    <mergeCell ref="A1:N1"/>
    <mergeCell ref="A2:B2"/>
    <mergeCell ref="C2:N2"/>
    <mergeCell ref="A3:B3"/>
    <mergeCell ref="C3:N3"/>
    <mergeCell ref="A4:B4"/>
    <mergeCell ref="C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Cox's Bazar SC EBill</vt:lpstr>
      <vt:lpstr>GEC CTG SC EBill</vt:lpstr>
      <vt:lpstr>Agrabad SC Ebill</vt:lpstr>
      <vt:lpstr>Ashugonj PGCB Pop Ebill</vt:lpstr>
      <vt:lpstr>Akhaura and Tongi BR Ebill</vt:lpstr>
      <vt:lpstr>CTG Railways Ebill</vt:lpstr>
      <vt:lpstr>RIO2 Prepaid Meter req of Info </vt:lpstr>
      <vt:lpstr>RIO2 Prepaid Meter req of SComm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Akif Khan/Administration SComm</dc:creator>
  <cp:lastModifiedBy>Md Akif Khan/Administration SComm</cp:lastModifiedBy>
  <dcterms:created xsi:type="dcterms:W3CDTF">2026-06-15T09:22:52Z</dcterms:created>
  <dcterms:modified xsi:type="dcterms:W3CDTF">2026-06-15T09:29:59Z</dcterms:modified>
</cp:coreProperties>
</file>