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hi.afroze\Desktop\"/>
    </mc:Choice>
  </mc:AlternateContent>
  <xr:revisionPtr revIDLastSave="0" documentId="8_{4228D4B3-4ED9-4571-8178-A9ABA629D996}" xr6:coauthVersionLast="47" xr6:coauthVersionMax="47" xr10:uidLastSave="{00000000-0000-0000-0000-000000000000}"/>
  <bookViews>
    <workbookView xWindow="-110" yWindow="-110" windowWidth="19420" windowHeight="10300" activeTab="5" xr2:uid="{26FCE6D5-8582-4A28-806B-2ABF768629F0}"/>
  </bookViews>
  <sheets>
    <sheet name="kaliakoire new technopolis" sheetId="1" r:id="rId1"/>
    <sheet name="Birulia" sheetId="2" r:id="rId2"/>
    <sheet name="Uttara New SC (3)" sheetId="3" r:id="rId3"/>
    <sheet name="Mirpur Anik Tower May-26" sheetId="4" r:id="rId4"/>
    <sheet name="Paltan" sheetId="5" r:id="rId5"/>
    <sheet name="Power Grid" sheetId="6" r:id="rId6"/>
  </sheets>
  <definedNames>
    <definedName name="_xlnm.Print_Area" localSheetId="1">Birulia!$A$1:$S$25</definedName>
    <definedName name="_xlnm.Print_Area" localSheetId="0">'kaliakoire new technopolis'!$A$1:$T$23</definedName>
    <definedName name="_xlnm.Print_Area" localSheetId="3">'Mirpur Anik Tower May-26'!$A$1:$T$24</definedName>
    <definedName name="_xlnm.Print_Area" localSheetId="2">'Uttara New SC (3)'!$A$1:$T$23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" i="6" l="1"/>
  <c r="K5" i="5" l="1"/>
  <c r="H5" i="5"/>
  <c r="J5" i="5" s="1"/>
  <c r="L5" i="5" s="1"/>
  <c r="K8" i="4" l="1"/>
  <c r="H8" i="4"/>
  <c r="L8" i="4" s="1"/>
  <c r="O8" i="4" s="1"/>
  <c r="Q8" i="4" s="1"/>
  <c r="Q9" i="4" s="1"/>
  <c r="Q11" i="4" s="1"/>
  <c r="Q11" i="3"/>
  <c r="Q9" i="3"/>
  <c r="Q8" i="3"/>
  <c r="K8" i="3"/>
  <c r="H8" i="3"/>
  <c r="L8" i="3" s="1"/>
  <c r="P9" i="2"/>
  <c r="I8" i="2"/>
  <c r="Q9" i="1"/>
  <c r="Q8" i="1"/>
  <c r="I8" i="1"/>
</calcChain>
</file>

<file path=xl/sharedStrings.xml><?xml version="1.0" encoding="utf-8"?>
<sst xmlns="http://schemas.openxmlformats.org/spreadsheetml/2006/main" count="292" uniqueCount="134">
  <si>
    <t>Electricity Bill BFTN (BFTN)</t>
  </si>
  <si>
    <t>Project Name: SComm</t>
  </si>
  <si>
    <t>S/L</t>
  </si>
  <si>
    <t>Office Name</t>
  </si>
  <si>
    <t>Land Owner Name with Code</t>
  </si>
  <si>
    <t>Line Owner Name</t>
  </si>
  <si>
    <t>Bank Information</t>
  </si>
  <si>
    <t>Month Name</t>
  </si>
  <si>
    <t>Off Peak</t>
  </si>
  <si>
    <t>Peak</t>
  </si>
  <si>
    <t>Consumed</t>
  </si>
  <si>
    <t>Submit Admin Sigh</t>
  </si>
  <si>
    <t>Received</t>
  </si>
  <si>
    <t>Present Reading</t>
  </si>
  <si>
    <t>Previous Reading</t>
  </si>
  <si>
    <t>Consumed Unit</t>
  </si>
  <si>
    <t>Total Consumed Unit</t>
  </si>
  <si>
    <t>Unit Price</t>
  </si>
  <si>
    <t>Net Bill</t>
  </si>
  <si>
    <t>Others</t>
  </si>
  <si>
    <t>Total Bill Amount</t>
  </si>
  <si>
    <t>Electricity Bill Last Payment Date</t>
  </si>
  <si>
    <t>Last Month Bill</t>
  </si>
  <si>
    <t>Remarks</t>
  </si>
  <si>
    <t xml:space="preserve">Kaliakoir Summit Technopolis Limited </t>
  </si>
  <si>
    <t xml:space="preserve">1377- Kaliakoir Summit Technopolis Limited </t>
  </si>
  <si>
    <t>n/a</t>
  </si>
  <si>
    <t>Summit Technopolis Limited
Bank Asia Limited
Bnak Asia Tower Br.
A/C: 62736000057</t>
  </si>
  <si>
    <t>6873</t>
  </si>
  <si>
    <t>6059</t>
  </si>
  <si>
    <t>Total(BDT)</t>
  </si>
  <si>
    <t>Prepared By</t>
  </si>
  <si>
    <t xml:space="preserve">Checked by </t>
  </si>
  <si>
    <t>Recommended by</t>
  </si>
  <si>
    <t>Approved By</t>
  </si>
  <si>
    <t>Ruhi Afroze Hassan</t>
  </si>
  <si>
    <t>Central Power</t>
  </si>
  <si>
    <t>Kazi Shawon</t>
  </si>
  <si>
    <t>Md. Abdur Rashed</t>
  </si>
  <si>
    <t>Brig. Gen. Ali Murtoza Khan (Retd.)</t>
  </si>
  <si>
    <t>Assistant Manager</t>
  </si>
  <si>
    <t>Deputy Manager</t>
  </si>
  <si>
    <t>Deputy General Manager</t>
  </si>
  <si>
    <t>Chief Corporate Affairs Officer</t>
  </si>
  <si>
    <t xml:space="preserve">Administration </t>
  </si>
  <si>
    <t>Administration</t>
  </si>
  <si>
    <t>Electricity Bill (BFTN)</t>
  </si>
  <si>
    <t>Project Name: Scomm</t>
  </si>
  <si>
    <t>Land Owner Name</t>
  </si>
  <si>
    <t>Cheque Name</t>
  </si>
  <si>
    <t/>
  </si>
  <si>
    <t>Birulia W/H</t>
  </si>
  <si>
    <t>1145- GM Composit Textile Ltd.</t>
  </si>
  <si>
    <t>BO</t>
  </si>
  <si>
    <t>G.M Composit Textile Ltd.</t>
  </si>
  <si>
    <t xml:space="preserve">Account Title </t>
  </si>
  <si>
    <t xml:space="preserve"> Bank Name </t>
  </si>
  <si>
    <t>Account No.</t>
  </si>
  <si>
    <t>Routing no.</t>
  </si>
  <si>
    <t>Uttara Bank Limited</t>
  </si>
  <si>
    <t>168512200002172</t>
  </si>
  <si>
    <t>Recommend by</t>
  </si>
  <si>
    <r>
      <t xml:space="preserve">Electricity Bill </t>
    </r>
    <r>
      <rPr>
        <b/>
        <sz val="36"/>
        <color theme="1"/>
        <rFont val="Calibri"/>
        <family val="2"/>
        <scheme val="minor"/>
      </rPr>
      <t xml:space="preserve">(BEFTN) </t>
    </r>
  </si>
  <si>
    <t>Landlord Meter we used in temporary basis</t>
  </si>
  <si>
    <t>Meter assigned for SComm</t>
  </si>
  <si>
    <t>Date:</t>
  </si>
  <si>
    <t>Power Factor</t>
  </si>
  <si>
    <t>Total Electricity Bill</t>
  </si>
  <si>
    <t>Uttara New SC</t>
  </si>
  <si>
    <t>1827-Shaker Ahmed Khan Chowdhury</t>
  </si>
  <si>
    <t>Advance</t>
  </si>
  <si>
    <t>Checked by</t>
  </si>
  <si>
    <t>Deputy Gen. Manager</t>
  </si>
  <si>
    <r>
      <t xml:space="preserve">Electricity Bill </t>
    </r>
    <r>
      <rPr>
        <b/>
        <sz val="28"/>
        <color theme="1"/>
        <rFont val="Calibri Light"/>
        <family val="2"/>
        <scheme val="major"/>
      </rPr>
      <t>(BFTN)</t>
    </r>
  </si>
  <si>
    <t>Mirpur New SC</t>
  </si>
  <si>
    <t>1727-Al Haj A.K.M Moazzem Hossain</t>
  </si>
  <si>
    <t>Note: Bill Uploaded in RUMS. Processing in hardcopy to avoid any kind of inconvenience.</t>
  </si>
  <si>
    <t>Checked By</t>
  </si>
  <si>
    <r>
      <rPr>
        <b/>
        <sz val="11"/>
        <rFont val="Arial"/>
        <family val="2"/>
      </rPr>
      <t xml:space="preserve">Summit Communications Limited
</t>
    </r>
    <r>
      <rPr>
        <sz val="8"/>
        <rFont val="Arial MT"/>
        <family val="2"/>
      </rPr>
      <t>18, Karwan Bazar Commercial Area Dhaka-1205, Bangladesh.</t>
    </r>
  </si>
  <si>
    <t>Project Name : PoP
Electricity Bill Summary (BEFTN) - ( 2026-06-04 - 2026-06-04 )</t>
  </si>
  <si>
    <t>Office/POP Code &amp; Name</t>
  </si>
  <si>
    <t>Maintain From</t>
  </si>
  <si>
    <t>Land owner Name</t>
  </si>
  <si>
    <t>Account/Cheque Name</t>
  </si>
  <si>
    <t>Branch Name</t>
  </si>
  <si>
    <t>Admin Concern Name</t>
  </si>
  <si>
    <t>HR ID</t>
  </si>
  <si>
    <t>NID</t>
  </si>
  <si>
    <t>Contact</t>
  </si>
  <si>
    <t>Total Cons.</t>
  </si>
  <si>
    <r>
      <rPr>
        <b/>
        <sz val="8"/>
        <rFont val="Arial"/>
        <family val="2"/>
      </rPr>
      <t>Total Elec.
Bill</t>
    </r>
  </si>
  <si>
    <t>Bill Received</t>
  </si>
  <si>
    <t>Last Payment Date</t>
  </si>
  <si>
    <t>Last M. Bill</t>
  </si>
  <si>
    <t>( 0177 ) Paltan Office</t>
  </si>
  <si>
    <t>Paltan Office</t>
  </si>
  <si>
    <t>Sayda Nargis Islam</t>
  </si>
  <si>
    <t>Syeda Nargis Islam</t>
  </si>
  <si>
    <t>Building Owner</t>
  </si>
  <si>
    <t>Amount In Words : Taka Seventeen Lac Thirty Three Thousand Four Hundred And Twenty Four Only                                                                                    Total (BDT)    1,733,424.00</t>
  </si>
  <si>
    <t>Note: Bill uploaded in RUMS. Processing in hardcopy toavoid any kind of inconvenience.</t>
  </si>
  <si>
    <t>Recommended By</t>
  </si>
  <si>
    <t>Chief Corporate Affairs Officer (CCAO)</t>
  </si>
  <si>
    <t>Administartion</t>
  </si>
  <si>
    <r>
      <rPr>
        <b/>
        <sz val="11"/>
        <rFont val="Arial"/>
        <family val="2"/>
      </rPr>
      <t xml:space="preserve">Summit Communications Limited
</t>
    </r>
    <r>
      <rPr>
        <sz val="8"/>
        <rFont val="Arial MT"/>
        <family val="2"/>
      </rPr>
      <t>18, Karwan Bazar Commercial Area Dhaka-1205, Bangladesh</t>
    </r>
  </si>
  <si>
    <r>
      <rPr>
        <b/>
        <sz val="9"/>
        <rFont val="Arial"/>
        <family val="2"/>
      </rPr>
      <t xml:space="preserve">Project Name : PGCB PoP
</t>
    </r>
    <r>
      <rPr>
        <b/>
        <sz val="8"/>
        <rFont val="Arial"/>
        <family val="2"/>
      </rPr>
      <t>Electricity Bill Summary (Cheque) - ( 2026-06-10 - 2026-06-10 )</t>
    </r>
  </si>
  <si>
    <r>
      <rPr>
        <b/>
        <sz val="7"/>
        <rFont val="Arial"/>
        <family val="2"/>
      </rPr>
      <t>S/L</t>
    </r>
  </si>
  <si>
    <r>
      <rPr>
        <b/>
        <sz val="7"/>
        <rFont val="Arial"/>
        <family val="2"/>
      </rPr>
      <t>Office/POP Code &amp; Name</t>
    </r>
  </si>
  <si>
    <r>
      <rPr>
        <b/>
        <sz val="7"/>
        <rFont val="Arial"/>
        <family val="2"/>
      </rPr>
      <t>Maintain From</t>
    </r>
  </si>
  <si>
    <r>
      <rPr>
        <b/>
        <sz val="7"/>
        <rFont val="Arial"/>
        <family val="2"/>
      </rPr>
      <t>Land owner Name</t>
    </r>
  </si>
  <si>
    <r>
      <rPr>
        <b/>
        <sz val="7"/>
        <rFont val="Arial"/>
        <family val="2"/>
      </rPr>
      <t>Account/Cheque Name</t>
    </r>
  </si>
  <si>
    <r>
      <rPr>
        <b/>
        <sz val="7"/>
        <rFont val="Arial"/>
        <family val="2"/>
      </rPr>
      <t>Line Owner Name</t>
    </r>
  </si>
  <si>
    <r>
      <rPr>
        <b/>
        <sz val="7"/>
        <rFont val="Arial"/>
        <family val="2"/>
      </rPr>
      <t>Month Name</t>
    </r>
  </si>
  <si>
    <r>
      <rPr>
        <b/>
        <sz val="7"/>
        <rFont val="Arial"/>
        <family val="2"/>
      </rPr>
      <t>Consumed</t>
    </r>
  </si>
  <si>
    <r>
      <rPr>
        <b/>
        <sz val="7"/>
        <rFont val="Arial"/>
        <family val="2"/>
      </rPr>
      <t>Branch Name</t>
    </r>
  </si>
  <si>
    <r>
      <rPr>
        <b/>
        <sz val="7"/>
        <rFont val="Arial"/>
        <family val="2"/>
      </rPr>
      <t>Admin Concern Name</t>
    </r>
  </si>
  <si>
    <r>
      <rPr>
        <b/>
        <sz val="7"/>
        <rFont val="Arial"/>
        <family val="2"/>
      </rPr>
      <t>HR ID</t>
    </r>
  </si>
  <si>
    <r>
      <rPr>
        <b/>
        <sz val="7"/>
        <rFont val="Arial"/>
        <family val="2"/>
      </rPr>
      <t>NID</t>
    </r>
  </si>
  <si>
    <r>
      <rPr>
        <b/>
        <sz val="7"/>
        <rFont val="Arial"/>
        <family val="2"/>
      </rPr>
      <t>Contact</t>
    </r>
  </si>
  <si>
    <r>
      <rPr>
        <b/>
        <sz val="7"/>
        <rFont val="Arial"/>
        <family val="2"/>
      </rPr>
      <t>Total Cons.</t>
    </r>
  </si>
  <si>
    <r>
      <rPr>
        <b/>
        <sz val="7"/>
        <rFont val="Arial"/>
        <family val="2"/>
      </rPr>
      <t>Unit Price</t>
    </r>
  </si>
  <si>
    <r>
      <rPr>
        <b/>
        <sz val="7"/>
        <rFont val="Arial"/>
        <family val="2"/>
      </rPr>
      <t xml:space="preserve">Total Elec.
</t>
    </r>
    <r>
      <rPr>
        <b/>
        <sz val="7"/>
        <rFont val="Arial"/>
        <family val="2"/>
      </rPr>
      <t>Bill</t>
    </r>
  </si>
  <si>
    <r>
      <rPr>
        <b/>
        <sz val="7"/>
        <rFont val="Arial"/>
        <family val="2"/>
      </rPr>
      <t>Others</t>
    </r>
  </si>
  <si>
    <r>
      <rPr>
        <b/>
        <sz val="7"/>
        <rFont val="Arial"/>
        <family val="2"/>
      </rPr>
      <t>Total Bill Amount</t>
    </r>
  </si>
  <si>
    <r>
      <rPr>
        <b/>
        <sz val="7"/>
        <rFont val="Arial"/>
        <family val="2"/>
      </rPr>
      <t>Bill Received</t>
    </r>
  </si>
  <si>
    <r>
      <rPr>
        <b/>
        <sz val="7"/>
        <rFont val="Arial"/>
        <family val="2"/>
      </rPr>
      <t>Last Payment Date</t>
    </r>
  </si>
  <si>
    <r>
      <rPr>
        <b/>
        <sz val="7"/>
        <rFont val="Arial"/>
        <family val="2"/>
      </rPr>
      <t>Last M. Bill</t>
    </r>
  </si>
  <si>
    <r>
      <rPr>
        <b/>
        <sz val="7"/>
        <rFont val="Arial"/>
        <family val="2"/>
      </rPr>
      <t>Remarks</t>
    </r>
  </si>
  <si>
    <r>
      <rPr>
        <sz val="8"/>
        <rFont val="Arial MT"/>
        <family val="2"/>
      </rPr>
      <t>( 1078 ) Power Grid PGCB</t>
    </r>
  </si>
  <si>
    <t>Kawran Bazar</t>
  </si>
  <si>
    <r>
      <rPr>
        <sz val="8"/>
        <rFont val="Arial MT"/>
        <family val="2"/>
      </rPr>
      <t>Power Grid</t>
    </r>
  </si>
  <si>
    <r>
      <rPr>
        <sz val="8"/>
        <rFont val="Arial MT"/>
        <family val="2"/>
      </rPr>
      <t>Power Grid Company of Bangladesh Ltd</t>
    </r>
  </si>
  <si>
    <t>a</t>
  </si>
  <si>
    <t>Brig. Gen. Ali Murtoza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</si>
</sst>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5" formatCode="[$-409]mmm\-yy;@"/>
    <numFmt numFmtId="166" formatCode="_(* #,##0_);_(* \(#,##0\);_(* &quot;-&quot;??_);_(@_)"/>
    <numFmt numFmtId="167" formatCode="[$-409]dd\-mmm\-yy;@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sz val="16"/>
      <color theme="1"/>
      <name val="Calibri Light"/>
      <family val="1"/>
      <scheme val="major"/>
    </font>
    <font>
      <sz val="16"/>
      <color theme="1"/>
      <name val="Calibri"/>
      <family val="2"/>
      <scheme val="minor"/>
    </font>
    <font>
      <b/>
      <sz val="22"/>
      <color theme="1"/>
      <name val="Calibri Light"/>
      <family val="2"/>
      <scheme val="major"/>
    </font>
    <font>
      <b/>
      <sz val="22"/>
      <color theme="1"/>
      <name val="Calibri Light"/>
      <family val="1"/>
      <scheme val="major"/>
    </font>
    <font>
      <sz val="10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u/>
      <sz val="10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u/>
      <sz val="14"/>
      <color theme="1"/>
      <name val="Calibri Light"/>
      <family val="1"/>
      <scheme val="maj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sz val="20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sz val="12"/>
      <color theme="1"/>
      <name val="Calibri"/>
      <family val="2"/>
      <scheme val="minor"/>
    </font>
    <font>
      <sz val="12"/>
      <name val="Tahoma"/>
      <family val="2"/>
    </font>
    <font>
      <b/>
      <sz val="12"/>
      <color rgb="FF676A6C"/>
      <name val="Arial"/>
      <family val="2"/>
    </font>
    <font>
      <sz val="14"/>
      <color rgb="FF000000"/>
      <name val="Tahoma"/>
      <family val="2"/>
    </font>
    <font>
      <sz val="14"/>
      <color rgb="FF000000"/>
      <name val="Calibri"/>
      <family val="2"/>
    </font>
    <font>
      <b/>
      <sz val="36"/>
      <color theme="1"/>
      <name val="Calibri"/>
      <family val="2"/>
      <scheme val="minor"/>
    </font>
    <font>
      <sz val="16"/>
      <name val="Tahoma"/>
      <family val="2"/>
    </font>
    <font>
      <b/>
      <sz val="16"/>
      <color theme="1"/>
      <name val="Calibri Light"/>
      <family val="2"/>
      <scheme val="major"/>
    </font>
    <font>
      <b/>
      <sz val="20"/>
      <color theme="1"/>
      <name val="Calibri Light"/>
      <family val="2"/>
      <scheme val="maj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28"/>
      <color theme="1"/>
      <name val="Calibri Light"/>
      <family val="2"/>
      <scheme val="major"/>
    </font>
    <font>
      <b/>
      <sz val="18"/>
      <color theme="1"/>
      <name val="Calibri Light"/>
      <family val="2"/>
      <scheme val="major"/>
    </font>
    <font>
      <sz val="10"/>
      <color rgb="FF000000"/>
      <name val="Times New Roman"/>
      <charset val="204"/>
    </font>
    <font>
      <b/>
      <sz val="11"/>
      <name val="Arial"/>
      <family val="2"/>
    </font>
    <font>
      <sz val="8"/>
      <name val="Arial MT"/>
      <family val="2"/>
    </font>
    <font>
      <b/>
      <sz val="8"/>
      <name val="Arial"/>
      <family val="2"/>
    </font>
    <font>
      <sz val="8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Times New Roman"/>
      <family val="1"/>
    </font>
    <font>
      <b/>
      <sz val="9"/>
      <name val="Arial"/>
      <family val="2"/>
    </font>
    <font>
      <sz val="11"/>
      <color rgb="FF000000"/>
      <name val="Times New Roman"/>
      <family val="1"/>
    </font>
    <font>
      <b/>
      <sz val="10"/>
      <name val="Arial"/>
      <family val="2"/>
    </font>
    <font>
      <b/>
      <sz val="7"/>
      <name val="Arial"/>
    </font>
    <font>
      <b/>
      <sz val="7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sz val="9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5" fillId="0" borderId="0"/>
    <xf numFmtId="43" fontId="42" fillId="0" borderId="0" applyFont="0" applyFill="0" applyBorder="0" applyAlignment="0" applyProtection="0"/>
    <xf numFmtId="0" fontId="42" fillId="0" borderId="0"/>
  </cellStyleXfs>
  <cellXfs count="2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0" borderId="0" xfId="0" applyFont="1"/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15" fontId="4" fillId="2" borderId="4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" fontId="5" fillId="3" borderId="1" xfId="0" applyNumberFormat="1" applyFont="1" applyFill="1" applyBorder="1" applyAlignment="1">
      <alignment horizontal="center" vertical="center" wrapText="1"/>
    </xf>
    <xf numFmtId="16" fontId="5" fillId="3" borderId="1" xfId="0" quotePrefix="1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166" fontId="5" fillId="3" borderId="1" xfId="1" applyNumberFormat="1" applyFont="1" applyFill="1" applyBorder="1" applyAlignment="1">
      <alignment horizontal="center" vertical="center" wrapText="1"/>
    </xf>
    <xf numFmtId="167" fontId="5" fillId="3" borderId="1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/>
    </xf>
    <xf numFmtId="0" fontId="6" fillId="0" borderId="0" xfId="0" applyFont="1"/>
    <xf numFmtId="0" fontId="7" fillId="0" borderId="5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166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/>
    <xf numFmtId="2" fontId="14" fillId="0" borderId="0" xfId="0" applyNumberFormat="1" applyFont="1" applyAlignment="1">
      <alignment vertical="center"/>
    </xf>
    <xf numFmtId="2" fontId="1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6" fillId="0" borderId="0" xfId="0" applyFont="1"/>
    <xf numFmtId="0" fontId="17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1" xfId="0" quotePrefix="1" applyFont="1" applyFill="1" applyBorder="1" applyAlignment="1">
      <alignment horizontal="center" vertical="center"/>
    </xf>
    <xf numFmtId="164" fontId="18" fillId="3" borderId="1" xfId="0" applyNumberFormat="1" applyFont="1" applyFill="1" applyBorder="1" applyAlignment="1">
      <alignment horizontal="right" vertical="center"/>
    </xf>
    <xf numFmtId="0" fontId="18" fillId="3" borderId="3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9" fillId="0" borderId="0" xfId="0" applyFont="1"/>
    <xf numFmtId="0" fontId="20" fillId="0" borderId="1" xfId="0" quotePrefix="1" applyFont="1" applyBorder="1" applyAlignment="1">
      <alignment horizontal="left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65" fontId="18" fillId="3" borderId="1" xfId="0" applyNumberFormat="1" applyFont="1" applyFill="1" applyBorder="1" applyAlignment="1">
      <alignment horizontal="center" vertical="center" wrapText="1"/>
    </xf>
    <xf numFmtId="164" fontId="18" fillId="3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vertical="center" wrapText="1"/>
    </xf>
    <xf numFmtId="0" fontId="17" fillId="0" borderId="5" xfId="0" applyFont="1" applyBorder="1" applyAlignment="1">
      <alignment horizontal="right" vertical="center"/>
    </xf>
    <xf numFmtId="0" fontId="17" fillId="0" borderId="6" xfId="0" applyFont="1" applyBorder="1" applyAlignment="1">
      <alignment horizontal="right" vertical="center"/>
    </xf>
    <xf numFmtId="0" fontId="17" fillId="0" borderId="7" xfId="0" applyFont="1" applyBorder="1" applyAlignment="1">
      <alignment horizontal="right" vertical="center"/>
    </xf>
    <xf numFmtId="166" fontId="16" fillId="4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8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3" fillId="0" borderId="10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49" fontId="22" fillId="0" borderId="11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1" fillId="0" borderId="0" xfId="0" applyFont="1"/>
    <xf numFmtId="0" fontId="17" fillId="2" borderId="6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 vertical="center" wrapText="1"/>
    </xf>
    <xf numFmtId="164" fontId="18" fillId="3" borderId="4" xfId="0" applyNumberFormat="1" applyFont="1" applyFill="1" applyBorder="1" applyAlignment="1">
      <alignment horizontal="right" vertical="center"/>
    </xf>
    <xf numFmtId="164" fontId="18" fillId="3" borderId="12" xfId="0" applyNumberFormat="1" applyFont="1" applyFill="1" applyBorder="1" applyAlignment="1">
      <alignment horizontal="right" vertical="center"/>
    </xf>
    <xf numFmtId="164" fontId="18" fillId="3" borderId="13" xfId="0" applyNumberFormat="1" applyFont="1" applyFill="1" applyBorder="1" applyAlignment="1">
      <alignment horizontal="right" vertical="center"/>
    </xf>
    <xf numFmtId="164" fontId="18" fillId="3" borderId="4" xfId="0" applyNumberFormat="1" applyFont="1" applyFill="1" applyBorder="1" applyAlignment="1">
      <alignment vertical="center"/>
    </xf>
    <xf numFmtId="164" fontId="18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25" fillId="0" borderId="1" xfId="0" quotePrefix="1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66" fontId="5" fillId="4" borderId="1" xfId="1" applyNumberFormat="1" applyFont="1" applyFill="1" applyBorder="1" applyAlignment="1">
      <alignment horizontal="center" vertical="center" wrapText="1"/>
    </xf>
    <xf numFmtId="164" fontId="26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17" fillId="0" borderId="4" xfId="0" applyFont="1" applyBorder="1" applyAlignment="1">
      <alignment horizontal="right" vertical="center"/>
    </xf>
    <xf numFmtId="0" fontId="17" fillId="0" borderId="12" xfId="0" applyFont="1" applyBorder="1" applyAlignment="1">
      <alignment horizontal="right" vertical="center"/>
    </xf>
    <xf numFmtId="0" fontId="17" fillId="0" borderId="13" xfId="0" applyFont="1" applyBorder="1" applyAlignment="1">
      <alignment horizontal="right" vertical="center"/>
    </xf>
    <xf numFmtId="166" fontId="27" fillId="5" borderId="3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0" fontId="28" fillId="0" borderId="0" xfId="0" applyFont="1"/>
    <xf numFmtId="0" fontId="29" fillId="0" borderId="1" xfId="0" applyFont="1" applyBorder="1" applyAlignment="1">
      <alignment horizontal="right"/>
    </xf>
    <xf numFmtId="166" fontId="27" fillId="0" borderId="1" xfId="1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right"/>
    </xf>
    <xf numFmtId="0" fontId="3" fillId="0" borderId="0" xfId="0" applyFont="1" applyAlignment="1">
      <alignment vertical="center"/>
    </xf>
    <xf numFmtId="0" fontId="30" fillId="0" borderId="0" xfId="0" applyFont="1"/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/>
    <xf numFmtId="0" fontId="31" fillId="0" borderId="0" xfId="0" applyFont="1" applyAlignment="1">
      <alignment vertical="center"/>
    </xf>
    <xf numFmtId="2" fontId="3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2" fontId="30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8" fillId="2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right" vertical="center"/>
    </xf>
    <xf numFmtId="164" fontId="3" fillId="3" borderId="12" xfId="0" applyNumberFormat="1" applyFont="1" applyFill="1" applyBorder="1" applyAlignment="1">
      <alignment horizontal="right" vertical="center"/>
    </xf>
    <xf numFmtId="164" fontId="3" fillId="3" borderId="13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center" vertical="center" wrapText="1"/>
    </xf>
    <xf numFmtId="0" fontId="34" fillId="0" borderId="14" xfId="0" applyFont="1" applyBorder="1" applyAlignment="1">
      <alignment horizontal="left" vertical="center"/>
    </xf>
    <xf numFmtId="0" fontId="34" fillId="0" borderId="15" xfId="0" applyFont="1" applyBorder="1" applyAlignment="1">
      <alignment horizontal="left" vertical="center"/>
    </xf>
    <xf numFmtId="0" fontId="34" fillId="0" borderId="9" xfId="0" applyFont="1" applyBorder="1" applyAlignment="1">
      <alignment horizontal="left" vertical="center"/>
    </xf>
    <xf numFmtId="2" fontId="31" fillId="0" borderId="0" xfId="0" applyNumberFormat="1" applyFont="1" applyAlignment="1">
      <alignment vertical="center"/>
    </xf>
    <xf numFmtId="2" fontId="30" fillId="0" borderId="0" xfId="0" applyNumberFormat="1" applyFont="1" applyAlignment="1">
      <alignment vertical="center"/>
    </xf>
    <xf numFmtId="0" fontId="35" fillId="0" borderId="0" xfId="2" applyAlignment="1">
      <alignment horizontal="center" vertical="top" wrapText="1"/>
    </xf>
    <xf numFmtId="0" fontId="35" fillId="0" borderId="0" xfId="2" applyAlignment="1">
      <alignment horizontal="left" vertical="top"/>
    </xf>
    <xf numFmtId="0" fontId="38" fillId="0" borderId="0" xfId="2" applyFont="1" applyAlignment="1">
      <alignment horizontal="center" vertical="top" wrapText="1"/>
    </xf>
    <xf numFmtId="0" fontId="38" fillId="0" borderId="16" xfId="2" applyFont="1" applyBorder="1" applyAlignment="1">
      <alignment horizontal="center" vertical="center" wrapText="1"/>
    </xf>
    <xf numFmtId="0" fontId="38" fillId="0" borderId="17" xfId="2" applyFont="1" applyBorder="1" applyAlignment="1">
      <alignment horizontal="center" vertical="center" wrapText="1"/>
    </xf>
    <xf numFmtId="0" fontId="38" fillId="0" borderId="18" xfId="2" applyFont="1" applyBorder="1" applyAlignment="1">
      <alignment horizontal="center" vertical="center" wrapText="1"/>
    </xf>
    <xf numFmtId="0" fontId="38" fillId="0" borderId="19" xfId="2" applyFont="1" applyBorder="1" applyAlignment="1">
      <alignment horizontal="center" vertical="center" wrapText="1"/>
    </xf>
    <xf numFmtId="164" fontId="38" fillId="0" borderId="17" xfId="2" applyNumberFormat="1" applyFont="1" applyBorder="1" applyAlignment="1">
      <alignment horizontal="center" vertical="center" wrapText="1"/>
    </xf>
    <xf numFmtId="164" fontId="38" fillId="0" borderId="18" xfId="2" applyNumberFormat="1" applyFont="1" applyBorder="1" applyAlignment="1">
      <alignment horizontal="center" vertical="center" wrapText="1"/>
    </xf>
    <xf numFmtId="164" fontId="38" fillId="0" borderId="19" xfId="2" applyNumberFormat="1" applyFont="1" applyBorder="1" applyAlignment="1">
      <alignment horizontal="center" vertical="center" wrapText="1"/>
    </xf>
    <xf numFmtId="0" fontId="39" fillId="0" borderId="0" xfId="2" applyFont="1" applyAlignment="1">
      <alignment horizontal="center" vertical="center"/>
    </xf>
    <xf numFmtId="0" fontId="38" fillId="0" borderId="20" xfId="2" applyFont="1" applyBorder="1" applyAlignment="1">
      <alignment horizontal="center" vertical="center" wrapText="1"/>
    </xf>
    <xf numFmtId="0" fontId="38" fillId="0" borderId="21" xfId="2" applyFont="1" applyBorder="1" applyAlignment="1">
      <alignment horizontal="center" vertical="center" wrapText="1"/>
    </xf>
    <xf numFmtId="0" fontId="39" fillId="0" borderId="21" xfId="2" applyFont="1" applyBorder="1" applyAlignment="1">
      <alignment horizontal="center" vertical="center" wrapText="1"/>
    </xf>
    <xf numFmtId="1" fontId="40" fillId="0" borderId="21" xfId="2" applyNumberFormat="1" applyFont="1" applyBorder="1" applyAlignment="1">
      <alignment horizontal="center" vertical="center" shrinkToFit="1"/>
    </xf>
    <xf numFmtId="0" fontId="41" fillId="0" borderId="21" xfId="2" applyFont="1" applyBorder="1" applyAlignment="1">
      <alignment horizontal="left" vertical="center" wrapText="1"/>
    </xf>
    <xf numFmtId="17" fontId="41" fillId="0" borderId="21" xfId="2" applyNumberFormat="1" applyFont="1" applyBorder="1" applyAlignment="1">
      <alignment horizontal="left" vertical="center" wrapText="1"/>
    </xf>
    <xf numFmtId="0" fontId="41" fillId="0" borderId="21" xfId="2" applyFont="1" applyBorder="1" applyAlignment="1">
      <alignment horizontal="right" vertical="center" wrapText="1"/>
    </xf>
    <xf numFmtId="2" fontId="40" fillId="0" borderId="21" xfId="2" applyNumberFormat="1" applyFont="1" applyBorder="1" applyAlignment="1">
      <alignment horizontal="right" vertical="center" shrinkToFit="1"/>
    </xf>
    <xf numFmtId="166" fontId="41" fillId="0" borderId="21" xfId="3" applyNumberFormat="1" applyFont="1" applyFill="1" applyBorder="1" applyAlignment="1">
      <alignment horizontal="right" vertical="center" wrapText="1"/>
    </xf>
    <xf numFmtId="166" fontId="40" fillId="0" borderId="21" xfId="3" applyNumberFormat="1" applyFont="1" applyFill="1" applyBorder="1" applyAlignment="1">
      <alignment horizontal="left" vertical="center" shrinkToFit="1"/>
    </xf>
    <xf numFmtId="166" fontId="40" fillId="0" borderId="21" xfId="3" applyNumberFormat="1" applyFont="1" applyFill="1" applyBorder="1" applyAlignment="1">
      <alignment horizontal="right" vertical="center" wrapText="1"/>
    </xf>
    <xf numFmtId="164" fontId="40" fillId="0" borderId="21" xfId="2" applyNumberFormat="1" applyFont="1" applyBorder="1" applyAlignment="1">
      <alignment horizontal="right" vertical="center" shrinkToFit="1"/>
    </xf>
    <xf numFmtId="0" fontId="40" fillId="0" borderId="21" xfId="2" applyFont="1" applyBorder="1" applyAlignment="1">
      <alignment horizontal="left" vertical="center" wrapText="1"/>
    </xf>
    <xf numFmtId="0" fontId="40" fillId="0" borderId="0" xfId="2" applyFont="1" applyAlignment="1">
      <alignment horizontal="left" vertical="center"/>
    </xf>
    <xf numFmtId="0" fontId="43" fillId="0" borderId="0" xfId="2" applyFont="1" applyAlignment="1">
      <alignment horizontal="left" vertical="center" wrapText="1" indent="1"/>
    </xf>
    <xf numFmtId="0" fontId="35" fillId="0" borderId="0" xfId="2" applyAlignment="1">
      <alignment horizontal="left" vertical="center"/>
    </xf>
    <xf numFmtId="0" fontId="44" fillId="0" borderId="22" xfId="2" applyFont="1" applyBorder="1" applyAlignment="1">
      <alignment horizontal="left" vertical="top"/>
    </xf>
    <xf numFmtId="0" fontId="44" fillId="0" borderId="23" xfId="2" applyFont="1" applyBorder="1" applyAlignment="1">
      <alignment horizontal="left" vertical="top"/>
    </xf>
    <xf numFmtId="0" fontId="44" fillId="0" borderId="24" xfId="2" applyFont="1" applyBorder="1" applyAlignment="1">
      <alignment horizontal="left" vertical="top"/>
    </xf>
    <xf numFmtId="0" fontId="44" fillId="0" borderId="25" xfId="2" applyFont="1" applyBorder="1" applyAlignment="1">
      <alignment horizontal="left" vertical="top"/>
    </xf>
    <xf numFmtId="0" fontId="44" fillId="0" borderId="26" xfId="2" applyFont="1" applyBorder="1" applyAlignment="1">
      <alignment horizontal="left" vertical="top"/>
    </xf>
    <xf numFmtId="0" fontId="44" fillId="0" borderId="11" xfId="2" applyFont="1" applyBorder="1" applyAlignment="1">
      <alignment horizontal="left" vertical="top"/>
    </xf>
    <xf numFmtId="0" fontId="35" fillId="0" borderId="6" xfId="2" applyBorder="1" applyAlignment="1">
      <alignment horizontal="left" vertical="top"/>
    </xf>
    <xf numFmtId="0" fontId="42" fillId="0" borderId="0" xfId="2" applyFont="1" applyAlignment="1">
      <alignment horizontal="center" vertical="top"/>
    </xf>
    <xf numFmtId="0" fontId="42" fillId="0" borderId="0" xfId="2" applyFont="1" applyAlignment="1">
      <alignment horizontal="center" vertical="top"/>
    </xf>
    <xf numFmtId="0" fontId="45" fillId="0" borderId="0" xfId="2" applyFont="1" applyAlignment="1">
      <alignment horizontal="center" vertical="top" wrapText="1"/>
    </xf>
    <xf numFmtId="0" fontId="46" fillId="0" borderId="16" xfId="2" applyFont="1" applyBorder="1" applyAlignment="1">
      <alignment horizontal="left" vertical="center" wrapText="1"/>
    </xf>
    <xf numFmtId="0" fontId="46" fillId="0" borderId="16" xfId="2" applyFont="1" applyBorder="1" applyAlignment="1">
      <alignment horizontal="left" vertical="center" wrapText="1" indent="3"/>
    </xf>
    <xf numFmtId="0" fontId="46" fillId="0" borderId="16" xfId="2" applyFont="1" applyBorder="1" applyAlignment="1">
      <alignment horizontal="left" vertical="center" wrapText="1" indent="1"/>
    </xf>
    <xf numFmtId="0" fontId="46" fillId="0" borderId="17" xfId="2" applyFont="1" applyBorder="1" applyAlignment="1">
      <alignment horizontal="left" vertical="top" wrapText="1" indent="5"/>
    </xf>
    <xf numFmtId="0" fontId="46" fillId="0" borderId="18" xfId="2" applyFont="1" applyBorder="1" applyAlignment="1">
      <alignment horizontal="left" vertical="top" wrapText="1" indent="5"/>
    </xf>
    <xf numFmtId="0" fontId="46" fillId="0" borderId="19" xfId="2" applyFont="1" applyBorder="1" applyAlignment="1">
      <alignment horizontal="left" vertical="top" wrapText="1" indent="5"/>
    </xf>
    <xf numFmtId="164" fontId="46" fillId="0" borderId="17" xfId="2" applyNumberFormat="1" applyFont="1" applyBorder="1" applyAlignment="1">
      <alignment horizontal="left" vertical="top" wrapText="1" indent="10"/>
    </xf>
    <xf numFmtId="164" fontId="46" fillId="0" borderId="18" xfId="2" applyNumberFormat="1" applyFont="1" applyBorder="1" applyAlignment="1">
      <alignment horizontal="left" vertical="top" wrapText="1" indent="10"/>
    </xf>
    <xf numFmtId="164" fontId="46" fillId="0" borderId="19" xfId="2" applyNumberFormat="1" applyFont="1" applyBorder="1" applyAlignment="1">
      <alignment horizontal="left" vertical="top" wrapText="1" indent="10"/>
    </xf>
    <xf numFmtId="0" fontId="46" fillId="0" borderId="16" xfId="2" applyFont="1" applyBorder="1" applyAlignment="1">
      <alignment horizontal="center" vertical="top" wrapText="1"/>
    </xf>
    <xf numFmtId="0" fontId="46" fillId="0" borderId="16" xfId="2" applyFont="1" applyBorder="1" applyAlignment="1">
      <alignment horizontal="left" vertical="center" wrapText="1" indent="2"/>
    </xf>
    <xf numFmtId="0" fontId="46" fillId="0" borderId="16" xfId="2" applyFont="1" applyBorder="1" applyAlignment="1">
      <alignment horizontal="center" vertical="center" wrapText="1"/>
    </xf>
    <xf numFmtId="0" fontId="46" fillId="0" borderId="20" xfId="2" applyFont="1" applyBorder="1" applyAlignment="1">
      <alignment horizontal="left" vertical="center" wrapText="1"/>
    </xf>
    <xf numFmtId="0" fontId="46" fillId="0" borderId="20" xfId="2" applyFont="1" applyBorder="1" applyAlignment="1">
      <alignment horizontal="left" vertical="center" wrapText="1" indent="3"/>
    </xf>
    <xf numFmtId="0" fontId="46" fillId="0" borderId="20" xfId="2" applyFont="1" applyBorder="1" applyAlignment="1">
      <alignment horizontal="left" vertical="center" wrapText="1" indent="1"/>
    </xf>
    <xf numFmtId="0" fontId="46" fillId="0" borderId="21" xfId="2" applyFont="1" applyBorder="1" applyAlignment="1">
      <alignment horizontal="left" vertical="top" wrapText="1" indent="1"/>
    </xf>
    <xf numFmtId="0" fontId="46" fillId="0" borderId="21" xfId="2" applyFont="1" applyBorder="1" applyAlignment="1">
      <alignment horizontal="left" vertical="top" wrapText="1"/>
    </xf>
    <xf numFmtId="0" fontId="35" fillId="0" borderId="21" xfId="2" applyBorder="1" applyAlignment="1">
      <alignment horizontal="center" vertical="top" wrapText="1"/>
    </xf>
    <xf numFmtId="0" fontId="46" fillId="0" borderId="21" xfId="2" applyFont="1" applyBorder="1" applyAlignment="1">
      <alignment horizontal="center" vertical="top" wrapText="1"/>
    </xf>
    <xf numFmtId="0" fontId="46" fillId="0" borderId="20" xfId="2" applyFont="1" applyBorder="1" applyAlignment="1">
      <alignment horizontal="center" vertical="top" wrapText="1"/>
    </xf>
    <xf numFmtId="0" fontId="46" fillId="0" borderId="20" xfId="2" applyFont="1" applyBorder="1" applyAlignment="1">
      <alignment horizontal="left" vertical="center" wrapText="1" indent="2"/>
    </xf>
    <xf numFmtId="0" fontId="46" fillId="0" borderId="20" xfId="2" applyFont="1" applyBorder="1" applyAlignment="1">
      <alignment horizontal="center" vertical="center" wrapText="1"/>
    </xf>
    <xf numFmtId="1" fontId="48" fillId="0" borderId="21" xfId="2" applyNumberFormat="1" applyFont="1" applyBorder="1" applyAlignment="1">
      <alignment horizontal="center" vertical="center" shrinkToFit="1"/>
    </xf>
    <xf numFmtId="0" fontId="49" fillId="0" borderId="21" xfId="2" applyFont="1" applyBorder="1" applyAlignment="1">
      <alignment horizontal="left" vertical="center" wrapText="1"/>
    </xf>
    <xf numFmtId="0" fontId="42" fillId="0" borderId="21" xfId="2" applyFont="1" applyBorder="1" applyAlignment="1">
      <alignment horizontal="left" vertical="center" wrapText="1"/>
    </xf>
    <xf numFmtId="0" fontId="35" fillId="0" borderId="21" xfId="2" applyBorder="1" applyAlignment="1">
      <alignment horizontal="left" vertical="center" wrapText="1"/>
    </xf>
    <xf numFmtId="17" fontId="49" fillId="0" borderId="21" xfId="2" applyNumberFormat="1" applyFont="1" applyBorder="1" applyAlignment="1">
      <alignment horizontal="left" vertical="center" wrapText="1"/>
    </xf>
    <xf numFmtId="2" fontId="48" fillId="0" borderId="21" xfId="2" applyNumberFormat="1" applyFont="1" applyBorder="1" applyAlignment="1">
      <alignment horizontal="left" vertical="center" shrinkToFit="1"/>
    </xf>
    <xf numFmtId="164" fontId="48" fillId="0" borderId="21" xfId="2" applyNumberFormat="1" applyFont="1" applyBorder="1" applyAlignment="1">
      <alignment horizontal="left" vertical="center" shrinkToFit="1"/>
    </xf>
    <xf numFmtId="0" fontId="50" fillId="0" borderId="0" xfId="2" applyFont="1" applyAlignment="1">
      <alignment horizontal="left" vertical="center"/>
    </xf>
    <xf numFmtId="0" fontId="44" fillId="0" borderId="22" xfId="4" applyFont="1" applyBorder="1" applyAlignment="1">
      <alignment horizontal="left" vertical="top"/>
    </xf>
    <xf numFmtId="0" fontId="44" fillId="0" borderId="23" xfId="4" applyFont="1" applyBorder="1" applyAlignment="1">
      <alignment horizontal="left" vertical="top"/>
    </xf>
    <xf numFmtId="0" fontId="44" fillId="0" borderId="24" xfId="4" applyFont="1" applyBorder="1" applyAlignment="1">
      <alignment horizontal="left" vertical="top"/>
    </xf>
    <xf numFmtId="0" fontId="42" fillId="0" borderId="0" xfId="4" applyAlignment="1">
      <alignment horizontal="left" vertical="top"/>
    </xf>
    <xf numFmtId="0" fontId="44" fillId="0" borderId="27" xfId="4" applyFont="1" applyBorder="1" applyAlignment="1">
      <alignment horizontal="left" vertical="top"/>
    </xf>
    <xf numFmtId="0" fontId="44" fillId="0" borderId="0" xfId="4" applyFont="1" applyAlignment="1">
      <alignment horizontal="left" vertical="top"/>
    </xf>
    <xf numFmtId="0" fontId="44" fillId="0" borderId="28" xfId="4" applyFont="1" applyBorder="1" applyAlignment="1">
      <alignment horizontal="left" vertical="top"/>
    </xf>
    <xf numFmtId="0" fontId="44" fillId="0" borderId="25" xfId="4" applyFont="1" applyBorder="1" applyAlignment="1">
      <alignment horizontal="left" vertical="top"/>
    </xf>
    <xf numFmtId="0" fontId="44" fillId="0" borderId="26" xfId="4" applyFont="1" applyBorder="1" applyAlignment="1">
      <alignment horizontal="left" vertical="top"/>
    </xf>
    <xf numFmtId="0" fontId="44" fillId="0" borderId="11" xfId="4" applyFont="1" applyBorder="1" applyAlignment="1">
      <alignment horizontal="left" vertical="top"/>
    </xf>
    <xf numFmtId="0" fontId="42" fillId="0" borderId="6" xfId="4" applyBorder="1" applyAlignment="1">
      <alignment horizontal="left" vertical="top"/>
    </xf>
    <xf numFmtId="0" fontId="42" fillId="0" borderId="0" xfId="4" applyAlignment="1">
      <alignment horizontal="center" vertical="top"/>
    </xf>
    <xf numFmtId="0" fontId="42" fillId="0" borderId="0" xfId="4" applyAlignment="1">
      <alignment horizontal="center" vertical="top"/>
    </xf>
  </cellXfs>
  <cellStyles count="5">
    <cellStyle name="Comma" xfId="1" builtinId="3"/>
    <cellStyle name="Comma 2" xfId="3" xr:uid="{B18552F2-2148-4784-A80B-57FB0F667CC6}"/>
    <cellStyle name="Normal" xfId="0" builtinId="0"/>
    <cellStyle name="Normal 2" xfId="2" xr:uid="{0DDCFAC3-01FD-4357-89DA-5BBD55106B45}"/>
    <cellStyle name="Normal 2 2" xfId="4" xr:uid="{A6247461-2931-4E70-A9C4-798022BD45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217747</xdr:colOff>
      <xdr:row>18</xdr:row>
      <xdr:rowOff>220926</xdr:rowOff>
    </xdr:from>
    <xdr:to>
      <xdr:col>1</xdr:col>
      <xdr:colOff>1894955</xdr:colOff>
      <xdr:row>18</xdr:row>
      <xdr:rowOff>220926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60DAA73-89D0-4FCC-92D0-4D530FFB9991}"/>
            </a:ext>
          </a:extLst>
        </xdr:cNvPr>
        <xdr:cNvCxnSpPr/>
      </xdr:nvCxnSpPr>
      <xdr:spPr>
        <a:xfrm>
          <a:off x="865447" y="11098476"/>
          <a:ext cx="167720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296053</xdr:colOff>
      <xdr:row>19</xdr:row>
      <xdr:rowOff>1851</xdr:rowOff>
    </xdr:from>
    <xdr:to>
      <xdr:col>4</xdr:col>
      <xdr:colOff>1653152</xdr:colOff>
      <xdr:row>19</xdr:row>
      <xdr:rowOff>1851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6A430C1-541C-4648-99FD-660B3C11B210}"/>
            </a:ext>
          </a:extLst>
        </xdr:cNvPr>
        <xdr:cNvCxnSpPr/>
      </xdr:nvCxnSpPr>
      <xdr:spPr>
        <a:xfrm>
          <a:off x="5433203" y="11114351"/>
          <a:ext cx="135709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63345</xdr:colOff>
      <xdr:row>19</xdr:row>
      <xdr:rowOff>0</xdr:rowOff>
    </xdr:from>
    <xdr:to>
      <xdr:col>16</xdr:col>
      <xdr:colOff>98055</xdr:colOff>
      <xdr:row>19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771C8C3-5906-4735-A65A-7AA73C82900D}"/>
            </a:ext>
          </a:extLst>
        </xdr:cNvPr>
        <xdr:cNvCxnSpPr/>
      </xdr:nvCxnSpPr>
      <xdr:spPr>
        <a:xfrm>
          <a:off x="11772745" y="11112500"/>
          <a:ext cx="22635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1095599</xdr:colOff>
      <xdr:row>18</xdr:row>
      <xdr:rowOff>206902</xdr:rowOff>
    </xdr:from>
    <xdr:to>
      <xdr:col>19</xdr:col>
      <xdr:colOff>678965</xdr:colOff>
      <xdr:row>18</xdr:row>
      <xdr:rowOff>211667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D5F6F7A-A541-4034-A9FE-BA57F6C9FE27}"/>
            </a:ext>
          </a:extLst>
        </xdr:cNvPr>
        <xdr:cNvCxnSpPr/>
      </xdr:nvCxnSpPr>
      <xdr:spPr>
        <a:xfrm>
          <a:off x="16284799" y="11084452"/>
          <a:ext cx="2358316" cy="4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693588</xdr:colOff>
      <xdr:row>19</xdr:row>
      <xdr:rowOff>0</xdr:rowOff>
    </xdr:from>
    <xdr:to>
      <xdr:col>7</xdr:col>
      <xdr:colOff>388345</xdr:colOff>
      <xdr:row>19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C6A27BF-6EDF-40DF-9021-F18C61EFA1C1}"/>
            </a:ext>
          </a:extLst>
        </xdr:cNvPr>
        <xdr:cNvCxnSpPr/>
      </xdr:nvCxnSpPr>
      <xdr:spPr>
        <a:xfrm>
          <a:off x="8408838" y="11112500"/>
          <a:ext cx="163785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334163</xdr:colOff>
      <xdr:row>20</xdr:row>
      <xdr:rowOff>178594</xdr:rowOff>
    </xdr:from>
    <xdr:to>
      <xdr:col>1</xdr:col>
      <xdr:colOff>2011371</xdr:colOff>
      <xdr:row>20</xdr:row>
      <xdr:rowOff>178594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0682BD2-1D8C-4819-8EE3-2D434C1F12BF}"/>
            </a:ext>
          </a:extLst>
        </xdr:cNvPr>
        <xdr:cNvCxnSpPr/>
      </xdr:nvCxnSpPr>
      <xdr:spPr>
        <a:xfrm>
          <a:off x="696113" y="8204994"/>
          <a:ext cx="167720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2085988</xdr:colOff>
      <xdr:row>20</xdr:row>
      <xdr:rowOff>188118</xdr:rowOff>
    </xdr:from>
    <xdr:to>
      <xdr:col>4</xdr:col>
      <xdr:colOff>707244</xdr:colOff>
      <xdr:row>20</xdr:row>
      <xdr:rowOff>188118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62D8317-5CAF-468E-B491-2012A320F52F}"/>
            </a:ext>
          </a:extLst>
        </xdr:cNvPr>
        <xdr:cNvCxnSpPr/>
      </xdr:nvCxnSpPr>
      <xdr:spPr>
        <a:xfrm>
          <a:off x="6511938" y="8208168"/>
          <a:ext cx="12438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246437</xdr:colOff>
      <xdr:row>21</xdr:row>
      <xdr:rowOff>0</xdr:rowOff>
    </xdr:from>
    <xdr:to>
      <xdr:col>8</xdr:col>
      <xdr:colOff>403708</xdr:colOff>
      <xdr:row>21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E441370-1B0B-4343-BFD2-D0AA818D6AAF}"/>
            </a:ext>
          </a:extLst>
        </xdr:cNvPr>
        <xdr:cNvCxnSpPr/>
      </xdr:nvCxnSpPr>
      <xdr:spPr>
        <a:xfrm>
          <a:off x="10215937" y="8210550"/>
          <a:ext cx="159237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149248</xdr:colOff>
      <xdr:row>21</xdr:row>
      <xdr:rowOff>4307</xdr:rowOff>
    </xdr:from>
    <xdr:to>
      <xdr:col>18</xdr:col>
      <xdr:colOff>341363</xdr:colOff>
      <xdr:row>21</xdr:row>
      <xdr:rowOff>4307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CBD6742-BC53-491A-9E72-C3BDBF730413}"/>
            </a:ext>
          </a:extLst>
        </xdr:cNvPr>
        <xdr:cNvCxnSpPr/>
      </xdr:nvCxnSpPr>
      <xdr:spPr>
        <a:xfrm>
          <a:off x="13338198" y="8214857"/>
          <a:ext cx="18113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334163</xdr:colOff>
      <xdr:row>18</xdr:row>
      <xdr:rowOff>178594</xdr:rowOff>
    </xdr:from>
    <xdr:to>
      <xdr:col>1</xdr:col>
      <xdr:colOff>2011371</xdr:colOff>
      <xdr:row>18</xdr:row>
      <xdr:rowOff>178594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59AD116-42D9-4DFE-9983-F376BFF68F66}"/>
            </a:ext>
          </a:extLst>
        </xdr:cNvPr>
        <xdr:cNvCxnSpPr/>
      </xdr:nvCxnSpPr>
      <xdr:spPr>
        <a:xfrm>
          <a:off x="886613" y="9659144"/>
          <a:ext cx="167720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673668</xdr:colOff>
      <xdr:row>19</xdr:row>
      <xdr:rowOff>0</xdr:rowOff>
    </xdr:from>
    <xdr:to>
      <xdr:col>14</xdr:col>
      <xdr:colOff>872570</xdr:colOff>
      <xdr:row>19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9E2583F-2C64-4A03-8308-1256E9F38678}"/>
            </a:ext>
          </a:extLst>
        </xdr:cNvPr>
        <xdr:cNvCxnSpPr/>
      </xdr:nvCxnSpPr>
      <xdr:spPr>
        <a:xfrm>
          <a:off x="12198918" y="9664700"/>
          <a:ext cx="407875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752498</xdr:colOff>
      <xdr:row>19</xdr:row>
      <xdr:rowOff>4307</xdr:rowOff>
    </xdr:from>
    <xdr:to>
      <xdr:col>18</xdr:col>
      <xdr:colOff>732947</xdr:colOff>
      <xdr:row>19</xdr:row>
      <xdr:rowOff>4307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EDCDCEC-1BE3-48A8-949A-40CB0E5917C8}"/>
            </a:ext>
          </a:extLst>
        </xdr:cNvPr>
        <xdr:cNvCxnSpPr/>
      </xdr:nvCxnSpPr>
      <xdr:spPr>
        <a:xfrm>
          <a:off x="18062598" y="9669007"/>
          <a:ext cx="258394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825498</xdr:colOff>
      <xdr:row>19</xdr:row>
      <xdr:rowOff>10582</xdr:rowOff>
    </xdr:from>
    <xdr:to>
      <xdr:col>7</xdr:col>
      <xdr:colOff>150455</xdr:colOff>
      <xdr:row>19</xdr:row>
      <xdr:rowOff>10582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5B43DC2-25B1-4876-86AA-A3F4B6FAC538}"/>
            </a:ext>
          </a:extLst>
        </xdr:cNvPr>
        <xdr:cNvCxnSpPr/>
      </xdr:nvCxnSpPr>
      <xdr:spPr>
        <a:xfrm>
          <a:off x="7759698" y="9675282"/>
          <a:ext cx="236025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1725083</xdr:colOff>
      <xdr:row>19</xdr:row>
      <xdr:rowOff>-1</xdr:rowOff>
    </xdr:from>
    <xdr:to>
      <xdr:col>3</xdr:col>
      <xdr:colOff>2288291</xdr:colOff>
      <xdr:row>19</xdr:row>
      <xdr:rowOff>-1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DE22A34-EF30-413A-8593-A0020E63E6C2}"/>
            </a:ext>
          </a:extLst>
        </xdr:cNvPr>
        <xdr:cNvCxnSpPr/>
      </xdr:nvCxnSpPr>
      <xdr:spPr>
        <a:xfrm>
          <a:off x="4544483" y="9664699"/>
          <a:ext cx="236025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250303</xdr:colOff>
      <xdr:row>19</xdr:row>
      <xdr:rowOff>178594</xdr:rowOff>
    </xdr:from>
    <xdr:to>
      <xdr:col>1</xdr:col>
      <xdr:colOff>2095232</xdr:colOff>
      <xdr:row>19</xdr:row>
      <xdr:rowOff>178594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25AA7E9-22CF-46D1-8E06-549F20FC5AA1}"/>
            </a:ext>
          </a:extLst>
        </xdr:cNvPr>
        <xdr:cNvCxnSpPr/>
      </xdr:nvCxnSpPr>
      <xdr:spPr>
        <a:xfrm>
          <a:off x="612253" y="10021094"/>
          <a:ext cx="184492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167645</xdr:colOff>
      <xdr:row>20</xdr:row>
      <xdr:rowOff>0</xdr:rowOff>
    </xdr:from>
    <xdr:to>
      <xdr:col>13</xdr:col>
      <xdr:colOff>482375</xdr:colOff>
      <xdr:row>20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C6259B6-4035-43DF-9D75-3952D73FDF5D}"/>
            </a:ext>
          </a:extLst>
        </xdr:cNvPr>
        <xdr:cNvCxnSpPr/>
      </xdr:nvCxnSpPr>
      <xdr:spPr>
        <a:xfrm>
          <a:off x="12315195" y="10026650"/>
          <a:ext cx="19276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752498</xdr:colOff>
      <xdr:row>20</xdr:row>
      <xdr:rowOff>4307</xdr:rowOff>
    </xdr:from>
    <xdr:to>
      <xdr:col>18</xdr:col>
      <xdr:colOff>732947</xdr:colOff>
      <xdr:row>20</xdr:row>
      <xdr:rowOff>4307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E15B812-D0CA-4008-858E-057D7AEA3050}"/>
            </a:ext>
          </a:extLst>
        </xdr:cNvPr>
        <xdr:cNvCxnSpPr/>
      </xdr:nvCxnSpPr>
      <xdr:spPr>
        <a:xfrm>
          <a:off x="17065648" y="10030957"/>
          <a:ext cx="246964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275169</xdr:colOff>
      <xdr:row>20</xdr:row>
      <xdr:rowOff>1</xdr:rowOff>
    </xdr:from>
    <xdr:to>
      <xdr:col>7</xdr:col>
      <xdr:colOff>330376</xdr:colOff>
      <xdr:row>20</xdr:row>
      <xdr:rowOff>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3F123D3-E614-40C0-9F0F-F12D4B19C845}"/>
            </a:ext>
          </a:extLst>
        </xdr:cNvPr>
        <xdr:cNvCxnSpPr/>
      </xdr:nvCxnSpPr>
      <xdr:spPr>
        <a:xfrm>
          <a:off x="7876119" y="10026651"/>
          <a:ext cx="175700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275167</xdr:colOff>
      <xdr:row>20</xdr:row>
      <xdr:rowOff>0</xdr:rowOff>
    </xdr:from>
    <xdr:to>
      <xdr:col>3</xdr:col>
      <xdr:colOff>2034291</xdr:colOff>
      <xdr:row>20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767624B-193A-45BE-8D65-900B587BB83F}"/>
            </a:ext>
          </a:extLst>
        </xdr:cNvPr>
        <xdr:cNvCxnSpPr/>
      </xdr:nvCxnSpPr>
      <xdr:spPr>
        <a:xfrm>
          <a:off x="4701117" y="10026650"/>
          <a:ext cx="175912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92363</xdr:colOff>
      <xdr:row>0</xdr:row>
      <xdr:rowOff>0</xdr:rowOff>
    </xdr:from>
    <xdr:ext cx="1091045" cy="520700"/>
    <xdr:pic>
      <xdr:nvPicPr>
        <xdr:cNvPr id="2" name="image1.png">
          <a:extLst>
            <a:ext uri="{FF2B5EF4-FFF2-40B4-BE49-F238E27FC236}">
              <a16:creationId xmlns:a16="http://schemas.microsoft.com/office/drawing/2014/main" id="{EDCB9F65-2BF0-4A4A-AEF6-7650331C7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63" y="0"/>
          <a:ext cx="1091045" cy="520700"/>
        </a:xfrm>
        <a:prstGeom prst="rect">
          <a:avLst/>
        </a:prstGeom>
      </xdr:spPr>
    </xdr:pic>
    <xdr:clientData/>
  </xdr:oneCellAnchor>
  <xdr:twoCellAnchor>
    <xdr:from>
      <xdr:col>4</xdr:col>
      <xdr:colOff>488950</xdr:colOff>
      <xdr:row>14</xdr:row>
      <xdr:rowOff>158750</xdr:rowOff>
    </xdr:from>
    <xdr:to>
      <xdr:col>5</xdr:col>
      <xdr:colOff>311150</xdr:colOff>
      <xdr:row>14</xdr:row>
      <xdr:rowOff>158750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6F5D713-0679-4620-ACB3-8E1075632338}"/>
            </a:ext>
          </a:extLst>
        </xdr:cNvPr>
        <xdr:cNvCxnSpPr/>
      </xdr:nvCxnSpPr>
      <xdr:spPr>
        <a:xfrm>
          <a:off x="4165600" y="4895850"/>
          <a:ext cx="10096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92363</xdr:colOff>
      <xdr:row>0</xdr:row>
      <xdr:rowOff>0</xdr:rowOff>
    </xdr:from>
    <xdr:ext cx="1091045" cy="520700"/>
    <xdr:pic>
      <xdr:nvPicPr>
        <xdr:cNvPr id="2" name="image1.png">
          <a:extLst>
            <a:ext uri="{FF2B5EF4-FFF2-40B4-BE49-F238E27FC236}">
              <a16:creationId xmlns:a16="http://schemas.microsoft.com/office/drawing/2014/main" id="{BB2C0D8E-8D2E-405D-91EB-E32ADF5B5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63" y="0"/>
          <a:ext cx="1091045" cy="520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D35D-5994-49D9-BA1C-B86D431A9ED7}">
  <sheetPr>
    <tabColor theme="0"/>
    <pageSetUpPr fitToPage="1"/>
  </sheetPr>
  <dimension ref="A4:V28"/>
  <sheetViews>
    <sheetView view="pageBreakPreview" topLeftCell="A13" zoomScale="60" zoomScaleNormal="80" workbookViewId="0">
      <selection activeCell="P7" sqref="P7"/>
    </sheetView>
  </sheetViews>
  <sheetFormatPr defaultRowHeight="14.5"/>
  <cols>
    <col min="1" max="1" width="9.26953125" customWidth="1"/>
    <col min="2" max="2" width="34.453125" customWidth="1"/>
    <col min="3" max="3" width="21" customWidth="1"/>
    <col min="4" max="4" width="8.81640625" customWidth="1"/>
    <col min="5" max="5" width="36.90625" customWidth="1"/>
    <col min="6" max="6" width="15" customWidth="1"/>
    <col min="7" max="7" width="12.81640625" customWidth="1"/>
    <col min="8" max="8" width="14.6328125" customWidth="1"/>
    <col min="9" max="9" width="14.7265625" customWidth="1"/>
    <col min="10" max="10" width="10.26953125" hidden="1" customWidth="1"/>
    <col min="11" max="11" width="10.453125" hidden="1" customWidth="1"/>
    <col min="12" max="12" width="8" hidden="1" customWidth="1"/>
    <col min="13" max="13" width="11.54296875" hidden="1" customWidth="1"/>
    <col min="14" max="14" width="9.26953125" hidden="1" customWidth="1"/>
    <col min="15" max="15" width="14.90625" customWidth="1"/>
    <col min="16" max="16" width="17" customWidth="1"/>
    <col min="17" max="17" width="17.90625" customWidth="1"/>
    <col min="18" max="18" width="21.6328125" customWidth="1"/>
    <col min="19" max="19" width="18.08984375" customWidth="1"/>
    <col min="20" max="20" width="25.6328125" customWidth="1"/>
    <col min="21" max="21" width="19.81640625" bestFit="1" customWidth="1"/>
    <col min="22" max="22" width="11.7265625" bestFit="1" customWidth="1"/>
  </cols>
  <sheetData>
    <row r="4" spans="1:22" s="2" customFormat="1" ht="62" customHeight="1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2" s="2" customFormat="1" ht="66" customHeight="1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2" s="11" customFormat="1" ht="68.5" customHeight="1">
      <c r="A6" s="4" t="s">
        <v>2</v>
      </c>
      <c r="B6" s="5" t="s">
        <v>3</v>
      </c>
      <c r="C6" s="6" t="s">
        <v>4</v>
      </c>
      <c r="D6" s="6" t="s">
        <v>5</v>
      </c>
      <c r="E6" s="4" t="s">
        <v>6</v>
      </c>
      <c r="F6" s="5" t="s">
        <v>7</v>
      </c>
      <c r="G6" s="4" t="s">
        <v>8</v>
      </c>
      <c r="H6" s="4"/>
      <c r="I6" s="4"/>
      <c r="J6" s="4" t="s">
        <v>9</v>
      </c>
      <c r="K6" s="4"/>
      <c r="L6" s="4"/>
      <c r="M6" s="4" t="s">
        <v>10</v>
      </c>
      <c r="N6" s="4"/>
      <c r="O6" s="7"/>
      <c r="P6" s="8">
        <v>46177</v>
      </c>
      <c r="Q6" s="8"/>
      <c r="R6" s="8"/>
      <c r="S6" s="8"/>
      <c r="T6" s="8"/>
      <c r="U6" s="9" t="s">
        <v>11</v>
      </c>
      <c r="V6" s="10" t="s">
        <v>12</v>
      </c>
    </row>
    <row r="7" spans="1:22" s="11" customFormat="1" ht="68.5" customHeight="1">
      <c r="A7" s="4"/>
      <c r="B7" s="5"/>
      <c r="C7" s="12"/>
      <c r="D7" s="12"/>
      <c r="E7" s="4"/>
      <c r="F7" s="5"/>
      <c r="G7" s="13" t="s">
        <v>13</v>
      </c>
      <c r="H7" s="13" t="s">
        <v>14</v>
      </c>
      <c r="I7" s="13" t="s">
        <v>15</v>
      </c>
      <c r="J7" s="13" t="s">
        <v>13</v>
      </c>
      <c r="K7" s="13" t="s">
        <v>14</v>
      </c>
      <c r="L7" s="13" t="s">
        <v>15</v>
      </c>
      <c r="M7" s="13" t="s">
        <v>16</v>
      </c>
      <c r="N7" s="13" t="s">
        <v>17</v>
      </c>
      <c r="O7" s="13" t="s">
        <v>18</v>
      </c>
      <c r="P7" s="13" t="s">
        <v>19</v>
      </c>
      <c r="Q7" s="14" t="s">
        <v>20</v>
      </c>
      <c r="R7" s="13" t="s">
        <v>21</v>
      </c>
      <c r="S7" s="13" t="s">
        <v>22</v>
      </c>
      <c r="T7" s="15" t="s">
        <v>23</v>
      </c>
      <c r="U7" s="16"/>
      <c r="V7" s="16"/>
    </row>
    <row r="8" spans="1:22" s="25" customFormat="1" ht="245" customHeight="1">
      <c r="A8" s="17">
        <v>1</v>
      </c>
      <c r="B8" s="18" t="s">
        <v>24</v>
      </c>
      <c r="C8" s="19" t="s">
        <v>25</v>
      </c>
      <c r="D8" s="18" t="s">
        <v>26</v>
      </c>
      <c r="E8" s="18" t="s">
        <v>27</v>
      </c>
      <c r="F8" s="20">
        <v>46147</v>
      </c>
      <c r="G8" s="21" t="s">
        <v>28</v>
      </c>
      <c r="H8" s="21" t="s">
        <v>29</v>
      </c>
      <c r="I8" s="21">
        <f>G8-H8</f>
        <v>814</v>
      </c>
      <c r="J8" s="18"/>
      <c r="K8" s="18"/>
      <c r="L8" s="18"/>
      <c r="M8" s="18"/>
      <c r="N8" s="18"/>
      <c r="O8" s="22">
        <v>988924</v>
      </c>
      <c r="P8" s="22">
        <v>434</v>
      </c>
      <c r="Q8" s="22">
        <f>O8+P8</f>
        <v>989358</v>
      </c>
      <c r="R8" s="23">
        <v>46188</v>
      </c>
      <c r="S8" s="22">
        <v>880840</v>
      </c>
      <c r="T8" s="18"/>
      <c r="U8" s="24"/>
      <c r="V8" s="24"/>
    </row>
    <row r="9" spans="1:22" s="2" customFormat="1" ht="45" customHeight="1">
      <c r="A9" s="26" t="s">
        <v>30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8"/>
      <c r="Q9" s="29">
        <f>SUM(Q8:Q8)</f>
        <v>989358</v>
      </c>
      <c r="R9" s="30"/>
      <c r="S9" s="31"/>
      <c r="T9" s="31"/>
    </row>
    <row r="10" spans="1:22">
      <c r="G10" s="32"/>
      <c r="H10" s="32"/>
      <c r="I10" s="32"/>
      <c r="J10" s="32"/>
      <c r="K10" s="32"/>
      <c r="L10" s="33"/>
      <c r="M10" s="33"/>
      <c r="N10" s="33"/>
      <c r="O10" s="33"/>
      <c r="P10" s="34"/>
      <c r="Q10" s="34"/>
      <c r="R10" s="34"/>
      <c r="S10" s="32"/>
      <c r="T10" s="32"/>
    </row>
    <row r="11" spans="1:22">
      <c r="A11" s="34"/>
      <c r="B11" s="35"/>
      <c r="C11" s="35"/>
      <c r="D11" s="32"/>
      <c r="E11" s="36"/>
      <c r="F11" s="32"/>
      <c r="G11" s="32"/>
      <c r="H11" s="32"/>
      <c r="I11" s="32"/>
      <c r="J11" s="32"/>
      <c r="K11" s="32"/>
      <c r="L11" s="33"/>
      <c r="M11" s="33"/>
      <c r="N11" s="33"/>
      <c r="O11" s="33"/>
      <c r="P11" s="34"/>
      <c r="Q11" s="34"/>
      <c r="R11" s="34"/>
      <c r="S11" s="32"/>
      <c r="T11" s="32"/>
    </row>
    <row r="12" spans="1:22">
      <c r="A12" s="34"/>
      <c r="B12" s="35"/>
      <c r="C12" s="35"/>
      <c r="D12" s="32"/>
      <c r="E12" s="36"/>
      <c r="F12" s="32"/>
      <c r="G12" s="32"/>
      <c r="H12" s="32"/>
      <c r="I12" s="32"/>
      <c r="J12" s="32"/>
      <c r="K12" s="32"/>
      <c r="L12" s="33"/>
      <c r="M12" s="33"/>
      <c r="N12" s="33"/>
      <c r="O12" s="33"/>
      <c r="P12" s="34"/>
      <c r="Q12" s="34"/>
      <c r="R12" s="34"/>
      <c r="S12" s="32"/>
      <c r="T12" s="32"/>
    </row>
    <row r="13" spans="1:22" ht="142" customHeight="1">
      <c r="A13" s="34"/>
      <c r="B13" s="35"/>
      <c r="C13" s="35"/>
      <c r="D13" s="32"/>
      <c r="E13" s="36"/>
      <c r="F13" s="32"/>
      <c r="G13" s="32"/>
      <c r="H13" s="32"/>
      <c r="I13" s="32"/>
      <c r="J13" s="32"/>
      <c r="K13" s="32"/>
      <c r="L13" s="33"/>
      <c r="M13" s="33"/>
      <c r="N13" s="33"/>
      <c r="O13" s="33"/>
      <c r="P13" s="34"/>
      <c r="Q13" s="34"/>
      <c r="R13" s="34"/>
      <c r="S13" s="32"/>
      <c r="T13" s="32"/>
    </row>
    <row r="14" spans="1:22">
      <c r="A14" s="34"/>
      <c r="B14" s="35"/>
      <c r="C14" s="35"/>
      <c r="D14" s="32"/>
      <c r="E14" s="36"/>
      <c r="F14" s="32"/>
      <c r="G14" s="32"/>
      <c r="H14" s="32"/>
      <c r="I14" s="32"/>
      <c r="J14" s="32"/>
      <c r="K14" s="32"/>
      <c r="L14" s="33"/>
      <c r="M14" s="33"/>
      <c r="N14" s="33"/>
      <c r="O14" s="33"/>
      <c r="P14" s="34"/>
      <c r="Q14" s="34"/>
      <c r="R14" s="34"/>
      <c r="S14" s="32"/>
      <c r="T14" s="32"/>
    </row>
    <row r="15" spans="1:22">
      <c r="A15" s="34"/>
      <c r="B15" s="35"/>
      <c r="C15" s="35"/>
      <c r="D15" s="32"/>
      <c r="E15" s="37"/>
      <c r="F15" s="32"/>
      <c r="G15" s="32"/>
      <c r="H15" s="32"/>
      <c r="I15" s="32"/>
      <c r="J15" s="32"/>
      <c r="K15" s="32"/>
      <c r="L15" s="33"/>
      <c r="M15" s="33"/>
      <c r="N15" s="33"/>
      <c r="O15" s="33"/>
      <c r="P15" s="34"/>
      <c r="Q15" s="34"/>
      <c r="R15" s="34"/>
      <c r="S15" s="32"/>
      <c r="T15" s="32"/>
    </row>
    <row r="16" spans="1:22">
      <c r="A16" s="34"/>
      <c r="B16" s="35"/>
      <c r="C16" s="35"/>
      <c r="D16" s="32"/>
      <c r="E16" s="36"/>
      <c r="F16" s="32"/>
      <c r="G16" s="32"/>
      <c r="H16" s="32"/>
      <c r="I16" s="32"/>
      <c r="J16" s="32"/>
      <c r="K16" s="32"/>
      <c r="L16" s="33"/>
      <c r="M16" s="33"/>
      <c r="N16" s="33"/>
      <c r="O16" s="33"/>
      <c r="P16" s="34"/>
      <c r="Q16" s="34"/>
      <c r="R16" s="34"/>
      <c r="S16" s="32"/>
      <c r="T16" s="32"/>
    </row>
    <row r="17" spans="1:20">
      <c r="A17" s="34"/>
      <c r="B17" s="35"/>
      <c r="C17" s="35"/>
      <c r="D17" s="32"/>
      <c r="E17" s="36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4"/>
      <c r="Q17" s="34"/>
      <c r="R17" s="34"/>
      <c r="S17" s="32"/>
      <c r="T17" s="32"/>
    </row>
    <row r="18" spans="1:20">
      <c r="A18" s="34"/>
      <c r="B18" s="38"/>
      <c r="C18" s="38"/>
      <c r="D18" s="39"/>
      <c r="E18" s="39"/>
      <c r="F18" s="40"/>
      <c r="G18" s="41"/>
      <c r="H18" s="41"/>
      <c r="I18" s="32"/>
      <c r="J18" s="40"/>
      <c r="K18" s="40"/>
      <c r="L18" s="40"/>
      <c r="M18" s="33"/>
      <c r="N18" s="42"/>
      <c r="O18" s="42"/>
      <c r="P18" s="32"/>
      <c r="Q18" s="40"/>
      <c r="R18" s="40"/>
      <c r="S18" s="40"/>
      <c r="T18" s="40"/>
    </row>
    <row r="19" spans="1:20" s="11" customFormat="1" ht="18.5">
      <c r="A19" s="43"/>
      <c r="B19" s="44"/>
      <c r="C19" s="44"/>
      <c r="D19" s="45"/>
      <c r="E19" s="45"/>
      <c r="F19" s="46"/>
      <c r="G19" s="47"/>
      <c r="H19" s="47"/>
      <c r="I19" s="47"/>
      <c r="J19" s="48"/>
      <c r="K19" s="48"/>
      <c r="L19" s="48"/>
      <c r="M19" s="49"/>
      <c r="N19" s="50"/>
      <c r="O19" s="50"/>
      <c r="P19" s="47"/>
      <c r="Q19" s="48"/>
      <c r="R19" s="48"/>
      <c r="S19" s="48"/>
      <c r="T19" s="48"/>
    </row>
    <row r="20" spans="1:20" s="11" customFormat="1" ht="18.5">
      <c r="B20" s="51" t="s">
        <v>31</v>
      </c>
      <c r="C20" s="51"/>
      <c r="D20" s="52" t="s">
        <v>32</v>
      </c>
      <c r="E20" s="52"/>
      <c r="F20" s="52" t="s">
        <v>32</v>
      </c>
      <c r="G20" s="52"/>
      <c r="H20" s="52"/>
      <c r="I20" s="53"/>
      <c r="J20" s="53"/>
      <c r="K20" s="53"/>
      <c r="L20" s="53"/>
      <c r="M20" s="53"/>
      <c r="N20" s="53"/>
      <c r="O20" s="54" t="s">
        <v>33</v>
      </c>
      <c r="P20" s="54"/>
      <c r="Q20" s="55"/>
      <c r="R20" s="52" t="s">
        <v>34</v>
      </c>
      <c r="S20" s="52"/>
      <c r="T20" s="52"/>
    </row>
    <row r="21" spans="1:20" s="56" customFormat="1" ht="18.5">
      <c r="B21" s="51" t="s">
        <v>35</v>
      </c>
      <c r="C21" s="51"/>
      <c r="D21" s="52" t="s">
        <v>36</v>
      </c>
      <c r="E21" s="52"/>
      <c r="F21" s="52" t="s">
        <v>37</v>
      </c>
      <c r="G21" s="52"/>
      <c r="H21" s="52"/>
      <c r="I21" s="55"/>
      <c r="J21" s="55"/>
      <c r="K21" s="55"/>
      <c r="L21" s="55"/>
      <c r="M21" s="55"/>
      <c r="N21" s="55"/>
      <c r="O21" s="52" t="s">
        <v>38</v>
      </c>
      <c r="P21" s="52"/>
      <c r="Q21" s="57"/>
      <c r="R21" s="58" t="s">
        <v>39</v>
      </c>
      <c r="S21" s="58"/>
      <c r="T21" s="58"/>
    </row>
    <row r="22" spans="1:20" s="11" customFormat="1" ht="18.5">
      <c r="B22" s="59" t="s">
        <v>40</v>
      </c>
      <c r="C22" s="59"/>
      <c r="D22" s="60"/>
      <c r="E22" s="60"/>
      <c r="F22" s="61" t="s">
        <v>41</v>
      </c>
      <c r="G22" s="61"/>
      <c r="H22" s="61"/>
      <c r="I22" s="60"/>
      <c r="J22" s="60"/>
      <c r="K22" s="60"/>
      <c r="L22" s="60"/>
      <c r="M22" s="60"/>
      <c r="N22" s="60"/>
      <c r="O22" s="61" t="s">
        <v>42</v>
      </c>
      <c r="P22" s="61"/>
      <c r="Q22" s="62"/>
      <c r="R22" s="63" t="s">
        <v>43</v>
      </c>
      <c r="S22" s="63"/>
      <c r="T22" s="63"/>
    </row>
    <row r="23" spans="1:20" s="11" customFormat="1" ht="18.5">
      <c r="B23" s="59" t="s">
        <v>44</v>
      </c>
      <c r="C23" s="60"/>
      <c r="D23" s="60"/>
      <c r="E23" s="60"/>
      <c r="F23" s="61" t="s">
        <v>45</v>
      </c>
      <c r="G23" s="61"/>
      <c r="H23" s="61"/>
      <c r="I23" s="60"/>
      <c r="J23" s="60"/>
      <c r="K23" s="60"/>
      <c r="L23" s="60"/>
      <c r="M23" s="60"/>
      <c r="N23" s="60"/>
      <c r="O23" s="61" t="s">
        <v>45</v>
      </c>
      <c r="P23" s="61"/>
      <c r="Q23" s="64"/>
      <c r="R23" s="60"/>
      <c r="S23" s="60"/>
      <c r="T23" s="59"/>
    </row>
    <row r="25" spans="1:20">
      <c r="A25" s="34"/>
      <c r="B25" s="35"/>
      <c r="C25" s="35"/>
      <c r="D25" s="32"/>
      <c r="E25" s="36"/>
      <c r="F25" s="32"/>
    </row>
    <row r="28" spans="1:20" ht="18.5">
      <c r="E28" s="65"/>
    </row>
  </sheetData>
  <mergeCells count="33">
    <mergeCell ref="F23:H23"/>
    <mergeCell ref="O23:P23"/>
    <mergeCell ref="D21:E21"/>
    <mergeCell ref="F21:H21"/>
    <mergeCell ref="O21:P21"/>
    <mergeCell ref="R21:T21"/>
    <mergeCell ref="F22:H22"/>
    <mergeCell ref="O22:P22"/>
    <mergeCell ref="R22:T22"/>
    <mergeCell ref="D19:E19"/>
    <mergeCell ref="J19:L19"/>
    <mergeCell ref="Q19:T19"/>
    <mergeCell ref="D20:E20"/>
    <mergeCell ref="F20:H20"/>
    <mergeCell ref="O20:P20"/>
    <mergeCell ref="R20:T20"/>
    <mergeCell ref="M6:N6"/>
    <mergeCell ref="P6:T6"/>
    <mergeCell ref="A9:P9"/>
    <mergeCell ref="D18:E18"/>
    <mergeCell ref="F18:H18"/>
    <mergeCell ref="J18:L18"/>
    <mergeCell ref="Q18:T18"/>
    <mergeCell ref="A4:T4"/>
    <mergeCell ref="A5:T5"/>
    <mergeCell ref="A6:A7"/>
    <mergeCell ref="B6:B7"/>
    <mergeCell ref="C6:C7"/>
    <mergeCell ref="D6:D7"/>
    <mergeCell ref="E6:E7"/>
    <mergeCell ref="F6:F7"/>
    <mergeCell ref="G6:I6"/>
    <mergeCell ref="J6:L6"/>
  </mergeCells>
  <printOptions horizontalCentered="1"/>
  <pageMargins left="0.1" right="0.1" top="0.5" bottom="0" header="0.3" footer="0.05"/>
  <pageSetup paperSize="9" scale="5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27BD-93AB-4E4B-9CE7-CADE2ECFD2FC}">
  <sheetPr>
    <tabColor theme="0"/>
    <pageSetUpPr fitToPage="1"/>
  </sheetPr>
  <dimension ref="A4:S30"/>
  <sheetViews>
    <sheetView zoomScale="77" zoomScaleNormal="77" workbookViewId="0">
      <selection activeCell="Q10" sqref="Q10"/>
    </sheetView>
  </sheetViews>
  <sheetFormatPr defaultRowHeight="14.5"/>
  <cols>
    <col min="1" max="1" width="5.1796875" customWidth="1"/>
    <col min="2" max="2" width="32.453125" bestFit="1" customWidth="1"/>
    <col min="3" max="3" width="25.7265625" customWidth="1"/>
    <col min="4" max="4" width="37.54296875" customWidth="1"/>
    <col min="5" max="5" width="30.26953125" customWidth="1"/>
    <col min="6" max="6" width="11.54296875" customWidth="1"/>
    <col min="7" max="8" width="10.26953125" customWidth="1"/>
    <col min="9" max="9" width="12" customWidth="1"/>
    <col min="10" max="10" width="10.26953125" hidden="1" customWidth="1"/>
    <col min="11" max="11" width="10.453125" hidden="1" customWidth="1"/>
    <col min="12" max="12" width="8" hidden="1" customWidth="1"/>
    <col min="13" max="13" width="11.54296875" hidden="1" customWidth="1"/>
    <col min="14" max="14" width="9.26953125" hidden="1" customWidth="1"/>
    <col min="15" max="15" width="8.54296875" hidden="1" customWidth="1"/>
    <col min="16" max="16" width="13.54296875" customWidth="1"/>
    <col min="17" max="17" width="13.1796875" customWidth="1"/>
    <col min="18" max="18" width="10" customWidth="1"/>
    <col min="19" max="19" width="19.08984375" customWidth="1"/>
  </cols>
  <sheetData>
    <row r="4" spans="1:19" ht="45" customHeight="1">
      <c r="A4" s="66" t="s">
        <v>46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</row>
    <row r="5" spans="1:19" ht="45" customHeight="1">
      <c r="A5" s="67" t="s">
        <v>47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</row>
    <row r="6" spans="1:19" ht="31" customHeight="1">
      <c r="A6" s="68" t="s">
        <v>2</v>
      </c>
      <c r="B6" s="69" t="s">
        <v>3</v>
      </c>
      <c r="C6" s="70" t="s">
        <v>48</v>
      </c>
      <c r="D6" s="70" t="s">
        <v>5</v>
      </c>
      <c r="E6" s="4" t="s">
        <v>49</v>
      </c>
      <c r="F6" s="69" t="s">
        <v>7</v>
      </c>
      <c r="G6" s="71" t="s">
        <v>50</v>
      </c>
      <c r="H6" s="68"/>
      <c r="I6" s="68"/>
      <c r="J6" s="68" t="s">
        <v>9</v>
      </c>
      <c r="K6" s="68"/>
      <c r="L6" s="68"/>
      <c r="M6" s="68" t="s">
        <v>10</v>
      </c>
      <c r="N6" s="68"/>
      <c r="O6" s="72">
        <v>46161</v>
      </c>
      <c r="P6" s="72"/>
      <c r="Q6" s="72"/>
      <c r="R6" s="72"/>
      <c r="S6" s="72"/>
    </row>
    <row r="7" spans="1:19" s="77" customFormat="1" ht="64.5" customHeight="1">
      <c r="A7" s="68"/>
      <c r="B7" s="69"/>
      <c r="C7" s="73"/>
      <c r="D7" s="73"/>
      <c r="E7" s="4"/>
      <c r="F7" s="69"/>
      <c r="G7" s="74" t="s">
        <v>13</v>
      </c>
      <c r="H7" s="74" t="s">
        <v>14</v>
      </c>
      <c r="I7" s="74" t="s">
        <v>15</v>
      </c>
      <c r="J7" s="74" t="s">
        <v>13</v>
      </c>
      <c r="K7" s="74" t="s">
        <v>14</v>
      </c>
      <c r="L7" s="74" t="s">
        <v>15</v>
      </c>
      <c r="M7" s="74" t="s">
        <v>16</v>
      </c>
      <c r="N7" s="74" t="s">
        <v>17</v>
      </c>
      <c r="O7" s="74" t="s">
        <v>19</v>
      </c>
      <c r="P7" s="75" t="s">
        <v>20</v>
      </c>
      <c r="Q7" s="74" t="s">
        <v>21</v>
      </c>
      <c r="R7" s="74" t="s">
        <v>22</v>
      </c>
      <c r="S7" s="76" t="s">
        <v>23</v>
      </c>
    </row>
    <row r="8" spans="1:19" s="77" customFormat="1" ht="104" customHeight="1">
      <c r="A8" s="76">
        <v>1</v>
      </c>
      <c r="B8" s="74" t="s">
        <v>51</v>
      </c>
      <c r="C8" s="78" t="s">
        <v>52</v>
      </c>
      <c r="D8" s="79" t="s">
        <v>53</v>
      </c>
      <c r="E8" s="80" t="s">
        <v>54</v>
      </c>
      <c r="F8" s="81">
        <v>46119</v>
      </c>
      <c r="G8" s="74">
        <v>115772</v>
      </c>
      <c r="H8" s="74">
        <v>113878</v>
      </c>
      <c r="I8" s="74">
        <f>G8-H8</f>
        <v>1894</v>
      </c>
      <c r="J8" s="74"/>
      <c r="K8" s="74"/>
      <c r="L8" s="74"/>
      <c r="M8" s="74"/>
      <c r="N8" s="74"/>
      <c r="O8" s="74"/>
      <c r="P8" s="75">
        <v>30778</v>
      </c>
      <c r="Q8" s="82">
        <v>46166</v>
      </c>
      <c r="R8" s="75">
        <v>32289</v>
      </c>
      <c r="S8" s="83"/>
    </row>
    <row r="9" spans="1:19" ht="26">
      <c r="A9" s="84" t="s">
        <v>30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6"/>
      <c r="P9" s="87">
        <f>SUM(P8)</f>
        <v>30778</v>
      </c>
      <c r="Q9" s="34"/>
      <c r="R9" s="32"/>
      <c r="S9" s="32"/>
    </row>
    <row r="10" spans="1:19">
      <c r="G10" s="32"/>
      <c r="H10" s="32"/>
      <c r="I10" s="32"/>
      <c r="J10" s="32"/>
      <c r="K10" s="32"/>
      <c r="L10" s="33"/>
      <c r="M10" s="33"/>
      <c r="N10" s="33"/>
      <c r="O10" s="34"/>
      <c r="P10" s="34"/>
      <c r="Q10" s="34"/>
      <c r="R10" s="32"/>
      <c r="S10" s="32"/>
    </row>
    <row r="11" spans="1:19">
      <c r="A11" s="88"/>
      <c r="B11" s="88"/>
      <c r="C11" s="88"/>
      <c r="D11" s="88"/>
      <c r="G11" s="32"/>
      <c r="H11" s="32"/>
      <c r="I11" s="32"/>
      <c r="J11" s="32"/>
      <c r="K11" s="32"/>
      <c r="L11" s="33"/>
      <c r="M11" s="33"/>
      <c r="N11" s="33"/>
      <c r="O11" s="34"/>
      <c r="P11" s="34"/>
      <c r="Q11" s="34"/>
      <c r="R11" s="32"/>
      <c r="S11" s="32"/>
    </row>
    <row r="12" spans="1:19">
      <c r="A12" s="88"/>
      <c r="B12" s="88"/>
      <c r="C12" s="88"/>
      <c r="D12" s="88"/>
      <c r="G12" s="32"/>
      <c r="H12" s="32"/>
      <c r="I12" s="32"/>
      <c r="J12" s="32"/>
      <c r="K12" s="32"/>
      <c r="L12" s="33"/>
      <c r="M12" s="33"/>
      <c r="N12" s="33"/>
      <c r="O12" s="34"/>
      <c r="P12" s="34"/>
      <c r="Q12" s="34"/>
      <c r="R12" s="32"/>
      <c r="S12" s="32"/>
    </row>
    <row r="13" spans="1:19" ht="34" customHeight="1">
      <c r="A13" s="34"/>
      <c r="B13" s="35"/>
      <c r="C13" s="35"/>
      <c r="D13" s="32"/>
      <c r="E13" s="36"/>
      <c r="F13" s="32"/>
      <c r="G13" s="32"/>
      <c r="H13" s="32"/>
      <c r="I13" s="32"/>
      <c r="J13" s="32"/>
      <c r="K13" s="32"/>
      <c r="L13" s="33"/>
      <c r="M13" s="33"/>
      <c r="N13" s="33"/>
      <c r="O13" s="34"/>
      <c r="P13" s="34"/>
      <c r="Q13" s="34"/>
      <c r="R13" s="32"/>
      <c r="S13" s="32"/>
    </row>
    <row r="14" spans="1:19" ht="15" thickBot="1">
      <c r="A14" s="34"/>
      <c r="B14" s="35"/>
      <c r="C14" s="35"/>
      <c r="D14" s="32"/>
      <c r="E14" s="36"/>
      <c r="F14" s="32"/>
      <c r="G14" s="32"/>
      <c r="H14" s="32"/>
      <c r="I14" s="32"/>
      <c r="J14" s="32"/>
      <c r="K14" s="32"/>
      <c r="L14" s="33"/>
      <c r="M14" s="33"/>
      <c r="N14" s="33"/>
      <c r="O14" s="34"/>
      <c r="P14" s="34"/>
      <c r="Q14" s="34"/>
      <c r="R14" s="32"/>
      <c r="S14" s="32"/>
    </row>
    <row r="15" spans="1:19" s="11" customFormat="1" ht="19" thickBot="1">
      <c r="A15" s="43"/>
      <c r="B15" s="89" t="s">
        <v>55</v>
      </c>
      <c r="C15" s="90" t="s">
        <v>56</v>
      </c>
      <c r="D15" s="90" t="s">
        <v>57</v>
      </c>
      <c r="E15" s="90" t="s">
        <v>58</v>
      </c>
      <c r="F15" s="47"/>
      <c r="G15" s="47"/>
      <c r="H15" s="47"/>
      <c r="I15" s="47"/>
      <c r="J15" s="47"/>
      <c r="K15" s="47"/>
      <c r="L15" s="49"/>
      <c r="M15" s="49"/>
      <c r="N15" s="49"/>
      <c r="O15" s="43"/>
      <c r="P15" s="43"/>
      <c r="Q15" s="43"/>
      <c r="R15" s="47"/>
      <c r="S15" s="47"/>
    </row>
    <row r="16" spans="1:19" s="11" customFormat="1" ht="19" thickBot="1">
      <c r="A16" s="43"/>
      <c r="B16" s="91" t="s">
        <v>54</v>
      </c>
      <c r="C16" s="92" t="s">
        <v>59</v>
      </c>
      <c r="D16" s="93" t="s">
        <v>60</v>
      </c>
      <c r="E16" s="94">
        <v>250263613</v>
      </c>
      <c r="F16" s="47"/>
      <c r="G16" s="47"/>
      <c r="H16" s="47"/>
      <c r="I16" s="47"/>
      <c r="J16" s="47"/>
      <c r="K16" s="47"/>
      <c r="L16" s="49"/>
      <c r="M16" s="49"/>
      <c r="N16" s="49"/>
      <c r="O16" s="43"/>
      <c r="P16" s="43"/>
      <c r="Q16" s="43"/>
      <c r="R16" s="47"/>
      <c r="S16" s="47"/>
    </row>
    <row r="17" spans="1:19">
      <c r="A17" s="34"/>
      <c r="B17" s="35"/>
      <c r="C17" s="35"/>
      <c r="D17" s="32"/>
      <c r="E17" s="36"/>
      <c r="F17" s="32"/>
      <c r="G17" s="32"/>
      <c r="H17" s="32"/>
      <c r="I17" s="32"/>
      <c r="J17" s="32"/>
      <c r="K17" s="32"/>
      <c r="L17" s="33"/>
      <c r="M17" s="33"/>
      <c r="N17" s="33"/>
      <c r="O17" s="34"/>
      <c r="P17" s="34"/>
      <c r="Q17" s="34"/>
      <c r="R17" s="32"/>
      <c r="S17" s="32"/>
    </row>
    <row r="18" spans="1:19" ht="99" customHeight="1">
      <c r="A18" s="34"/>
      <c r="B18" s="35"/>
      <c r="C18" s="35"/>
      <c r="D18" s="32"/>
      <c r="E18" s="36"/>
      <c r="F18" s="32"/>
      <c r="G18" s="32"/>
      <c r="H18" s="32"/>
      <c r="I18" s="32"/>
      <c r="J18" s="32"/>
      <c r="K18" s="32"/>
      <c r="L18" s="33"/>
      <c r="M18" s="33"/>
      <c r="N18" s="33"/>
      <c r="O18" s="34"/>
      <c r="P18" s="34"/>
      <c r="Q18" s="34"/>
      <c r="R18" s="32"/>
      <c r="S18" s="32"/>
    </row>
    <row r="19" spans="1:19">
      <c r="A19" s="34"/>
      <c r="B19" s="35"/>
      <c r="C19" s="35"/>
      <c r="D19" s="32"/>
      <c r="E19" s="36"/>
      <c r="F19" s="33"/>
      <c r="G19" s="33"/>
      <c r="H19" s="33"/>
      <c r="I19" s="33"/>
      <c r="J19" s="33"/>
      <c r="K19" s="33"/>
      <c r="L19" s="33"/>
      <c r="M19" s="33"/>
      <c r="N19" s="33"/>
      <c r="O19" s="34"/>
      <c r="P19" s="34"/>
      <c r="Q19" s="34"/>
      <c r="R19" s="32"/>
      <c r="S19" s="32"/>
    </row>
    <row r="20" spans="1:19">
      <c r="A20" s="34"/>
      <c r="B20" s="38"/>
      <c r="C20" s="38"/>
      <c r="D20" s="39"/>
      <c r="E20" s="39"/>
      <c r="F20" s="40"/>
      <c r="G20" s="41"/>
      <c r="H20" s="41"/>
      <c r="I20" s="32"/>
      <c r="J20" s="40"/>
      <c r="K20" s="40"/>
      <c r="L20" s="40"/>
      <c r="M20" s="33"/>
      <c r="N20" s="42"/>
      <c r="O20" s="32"/>
      <c r="P20" s="40"/>
      <c r="Q20" s="40"/>
      <c r="R20" s="40"/>
      <c r="S20" s="40"/>
    </row>
    <row r="21" spans="1:19">
      <c r="A21" s="34"/>
      <c r="B21" s="38"/>
      <c r="C21" s="38"/>
      <c r="D21" s="39"/>
      <c r="E21" s="39"/>
      <c r="F21" s="95"/>
      <c r="G21" s="32"/>
      <c r="H21" s="32"/>
      <c r="I21" s="32"/>
      <c r="J21" s="40"/>
      <c r="K21" s="40"/>
      <c r="L21" s="40"/>
      <c r="M21" s="33"/>
      <c r="N21" s="42"/>
      <c r="O21" s="32"/>
      <c r="P21" s="40"/>
      <c r="Q21" s="40"/>
      <c r="R21" s="40"/>
      <c r="S21" s="40"/>
    </row>
    <row r="22" spans="1:19" s="11" customFormat="1" ht="18.5">
      <c r="B22" s="51" t="s">
        <v>31</v>
      </c>
      <c r="C22" s="51"/>
      <c r="D22" s="52" t="s">
        <v>32</v>
      </c>
      <c r="E22" s="52"/>
      <c r="F22" s="52"/>
      <c r="G22" s="54" t="s">
        <v>61</v>
      </c>
      <c r="H22" s="54"/>
      <c r="I22" s="54"/>
      <c r="J22" s="54"/>
      <c r="K22" s="54"/>
      <c r="L22" s="54"/>
      <c r="M22" s="54"/>
      <c r="N22" s="53"/>
      <c r="O22" s="55"/>
      <c r="P22" s="52" t="s">
        <v>34</v>
      </c>
      <c r="Q22" s="52"/>
      <c r="R22" s="52"/>
      <c r="S22" s="52"/>
    </row>
    <row r="23" spans="1:19" s="56" customFormat="1" ht="18.5">
      <c r="B23" s="51" t="s">
        <v>35</v>
      </c>
      <c r="C23" s="51"/>
      <c r="D23" s="52" t="s">
        <v>37</v>
      </c>
      <c r="E23" s="52"/>
      <c r="F23" s="52"/>
      <c r="G23" s="52" t="s">
        <v>38</v>
      </c>
      <c r="H23" s="52"/>
      <c r="I23" s="52"/>
      <c r="J23" s="52"/>
      <c r="K23" s="52"/>
      <c r="L23" s="52"/>
      <c r="M23" s="52"/>
      <c r="N23" s="55"/>
      <c r="O23" s="57"/>
      <c r="P23" s="58" t="s">
        <v>39</v>
      </c>
      <c r="Q23" s="58"/>
      <c r="R23" s="58"/>
      <c r="S23" s="58"/>
    </row>
    <row r="24" spans="1:19" s="11" customFormat="1" ht="18.5">
      <c r="B24" s="59" t="s">
        <v>40</v>
      </c>
      <c r="C24" s="59"/>
      <c r="D24" s="61" t="s">
        <v>41</v>
      </c>
      <c r="E24" s="61"/>
      <c r="F24" s="61"/>
      <c r="G24" s="61" t="s">
        <v>42</v>
      </c>
      <c r="H24" s="61"/>
      <c r="I24" s="61"/>
      <c r="J24" s="61"/>
      <c r="K24" s="61"/>
      <c r="L24" s="61"/>
      <c r="M24" s="61"/>
      <c r="N24" s="60"/>
      <c r="O24" s="62"/>
      <c r="P24" s="63" t="s">
        <v>43</v>
      </c>
      <c r="Q24" s="63"/>
      <c r="R24" s="63"/>
      <c r="S24" s="63"/>
    </row>
    <row r="25" spans="1:19" s="11" customFormat="1" ht="18.5">
      <c r="B25" s="59" t="s">
        <v>44</v>
      </c>
      <c r="C25" s="60"/>
      <c r="D25" s="61" t="s">
        <v>45</v>
      </c>
      <c r="E25" s="61"/>
      <c r="F25" s="61"/>
      <c r="G25" s="61" t="s">
        <v>45</v>
      </c>
      <c r="H25" s="61"/>
      <c r="I25" s="61"/>
      <c r="J25" s="61"/>
      <c r="K25" s="61"/>
      <c r="L25" s="61"/>
      <c r="M25" s="61"/>
      <c r="N25" s="60"/>
      <c r="O25" s="64"/>
      <c r="P25" s="64"/>
      <c r="Q25" s="60"/>
      <c r="R25" s="60"/>
      <c r="S25" s="59"/>
    </row>
    <row r="27" spans="1:19">
      <c r="A27" s="34"/>
      <c r="B27" s="35"/>
      <c r="C27" s="35"/>
      <c r="D27" s="32"/>
      <c r="E27" s="36"/>
      <c r="F27" s="32"/>
    </row>
    <row r="30" spans="1:19" ht="18.5">
      <c r="E30" s="65"/>
    </row>
  </sheetData>
  <mergeCells count="32">
    <mergeCell ref="D25:F25"/>
    <mergeCell ref="G25:M25"/>
    <mergeCell ref="D23:F23"/>
    <mergeCell ref="G23:M23"/>
    <mergeCell ref="P23:S23"/>
    <mergeCell ref="D24:F24"/>
    <mergeCell ref="G24:M24"/>
    <mergeCell ref="P24:S24"/>
    <mergeCell ref="D21:E21"/>
    <mergeCell ref="J21:L21"/>
    <mergeCell ref="P21:S21"/>
    <mergeCell ref="D22:F22"/>
    <mergeCell ref="G22:M22"/>
    <mergeCell ref="P22:S22"/>
    <mergeCell ref="M6:N6"/>
    <mergeCell ref="O6:S6"/>
    <mergeCell ref="A9:O9"/>
    <mergeCell ref="A11:D12"/>
    <mergeCell ref="D20:E20"/>
    <mergeCell ref="F20:H20"/>
    <mergeCell ref="J20:L20"/>
    <mergeCell ref="P20:S20"/>
    <mergeCell ref="A4:S4"/>
    <mergeCell ref="A5:S5"/>
    <mergeCell ref="A6:A7"/>
    <mergeCell ref="B6:B7"/>
    <mergeCell ref="C6:C7"/>
    <mergeCell ref="D6:D7"/>
    <mergeCell ref="E6:E7"/>
    <mergeCell ref="F6:F7"/>
    <mergeCell ref="G6:I6"/>
    <mergeCell ref="J6:L6"/>
  </mergeCells>
  <printOptions horizontalCentered="1"/>
  <pageMargins left="0.1" right="0.1" top="0.5" bottom="0" header="0.3" footer="0.05"/>
  <pageSetup paperSize="9" scale="62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74CC-7792-44BF-A3B4-B6D4D6C7AD95}">
  <sheetPr>
    <tabColor theme="0"/>
    <pageSetUpPr fitToPage="1"/>
  </sheetPr>
  <dimension ref="A4:T25"/>
  <sheetViews>
    <sheetView view="pageBreakPreview" topLeftCell="A4" zoomScale="60" zoomScaleNormal="77" workbookViewId="0">
      <selection activeCell="K13" sqref="K13"/>
    </sheetView>
  </sheetViews>
  <sheetFormatPr defaultRowHeight="14.5"/>
  <cols>
    <col min="1" max="1" width="7.90625" customWidth="1"/>
    <col min="2" max="2" width="32.453125" bestFit="1" customWidth="1"/>
    <col min="3" max="3" width="25.7265625" customWidth="1"/>
    <col min="4" max="4" width="33.1796875" customWidth="1"/>
    <col min="5" max="5" width="14.08984375" customWidth="1"/>
    <col min="6" max="6" width="15.26953125" customWidth="1"/>
    <col min="7" max="7" width="14.08984375" customWidth="1"/>
    <col min="8" max="8" width="12" customWidth="1"/>
    <col min="9" max="9" width="10.26953125" customWidth="1"/>
    <col min="10" max="10" width="10.453125" customWidth="1"/>
    <col min="11" max="11" width="12.7265625" customWidth="1"/>
    <col min="12" max="13" width="11.54296875" customWidth="1"/>
    <col min="14" max="14" width="9.26953125" customWidth="1"/>
    <col min="15" max="15" width="13.7265625" bestFit="1" customWidth="1"/>
    <col min="16" max="16" width="13.54296875" customWidth="1"/>
    <col min="17" max="17" width="20.36328125" bestFit="1" customWidth="1"/>
    <col min="18" max="18" width="16.90625" bestFit="1" customWidth="1"/>
    <col min="19" max="19" width="13.453125" customWidth="1"/>
    <col min="20" max="20" width="19.08984375" customWidth="1"/>
  </cols>
  <sheetData>
    <row r="4" spans="1:20" ht="45" customHeight="1">
      <c r="A4" s="96" t="s">
        <v>62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</row>
    <row r="5" spans="1:20" ht="45" customHeight="1">
      <c r="A5" s="67" t="s">
        <v>1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</row>
    <row r="6" spans="1:20" ht="46.5" customHeight="1">
      <c r="A6" s="68" t="s">
        <v>2</v>
      </c>
      <c r="B6" s="69" t="s">
        <v>3</v>
      </c>
      <c r="C6" s="70" t="s">
        <v>48</v>
      </c>
      <c r="D6" s="70" t="s">
        <v>5</v>
      </c>
      <c r="E6" s="69" t="s">
        <v>7</v>
      </c>
      <c r="F6" s="97" t="s">
        <v>63</v>
      </c>
      <c r="G6" s="97"/>
      <c r="H6" s="97"/>
      <c r="I6" s="5" t="s">
        <v>64</v>
      </c>
      <c r="J6" s="5"/>
      <c r="K6" s="5"/>
      <c r="L6" s="68" t="s">
        <v>10</v>
      </c>
      <c r="M6" s="68"/>
      <c r="N6" s="68"/>
      <c r="O6" s="98" t="s">
        <v>65</v>
      </c>
      <c r="P6" s="99"/>
      <c r="Q6" s="99"/>
      <c r="R6" s="100"/>
      <c r="S6" s="101">
        <v>46155</v>
      </c>
      <c r="T6" s="102"/>
    </row>
    <row r="7" spans="1:20" s="77" customFormat="1" ht="64.5" customHeight="1">
      <c r="A7" s="68"/>
      <c r="B7" s="69"/>
      <c r="C7" s="73"/>
      <c r="D7" s="73"/>
      <c r="E7" s="69"/>
      <c r="F7" s="74" t="s">
        <v>13</v>
      </c>
      <c r="G7" s="74" t="s">
        <v>14</v>
      </c>
      <c r="H7" s="74" t="s">
        <v>15</v>
      </c>
      <c r="I7" s="74" t="s">
        <v>13</v>
      </c>
      <c r="J7" s="74" t="s">
        <v>14</v>
      </c>
      <c r="K7" s="74" t="s">
        <v>15</v>
      </c>
      <c r="L7" s="74" t="s">
        <v>16</v>
      </c>
      <c r="M7" s="74" t="s">
        <v>66</v>
      </c>
      <c r="N7" s="74" t="s">
        <v>17</v>
      </c>
      <c r="O7" s="75" t="s">
        <v>67</v>
      </c>
      <c r="P7" s="75" t="s">
        <v>19</v>
      </c>
      <c r="Q7" s="75" t="s">
        <v>20</v>
      </c>
      <c r="R7" s="74" t="s">
        <v>21</v>
      </c>
      <c r="S7" s="74" t="s">
        <v>22</v>
      </c>
      <c r="T7" s="76" t="s">
        <v>23</v>
      </c>
    </row>
    <row r="8" spans="1:20" s="25" customFormat="1" ht="146.5" customHeight="1">
      <c r="A8" s="17">
        <v>1</v>
      </c>
      <c r="B8" s="103" t="s">
        <v>68</v>
      </c>
      <c r="C8" s="104" t="s">
        <v>69</v>
      </c>
      <c r="D8" s="105" t="s">
        <v>53</v>
      </c>
      <c r="E8" s="20">
        <v>46137</v>
      </c>
      <c r="F8" s="103">
        <v>734</v>
      </c>
      <c r="G8" s="103">
        <v>651</v>
      </c>
      <c r="H8" s="103">
        <f>F8-G8</f>
        <v>83</v>
      </c>
      <c r="I8" s="103"/>
      <c r="J8" s="103">
        <v>0</v>
      </c>
      <c r="K8" s="103">
        <f>I8-J8</f>
        <v>0</v>
      </c>
      <c r="L8" s="103">
        <f>H8+K8</f>
        <v>83</v>
      </c>
      <c r="M8" s="103">
        <v>925</v>
      </c>
      <c r="N8" s="103">
        <v>11.516999999999999</v>
      </c>
      <c r="O8" s="22">
        <v>964760</v>
      </c>
      <c r="P8" s="106"/>
      <c r="Q8" s="22">
        <f>O8+P8</f>
        <v>964760</v>
      </c>
      <c r="R8" s="107">
        <v>46162</v>
      </c>
      <c r="S8" s="22">
        <v>860548</v>
      </c>
      <c r="T8" s="108"/>
    </row>
    <row r="9" spans="1:20" s="115" customFormat="1" ht="46" customHeight="1">
      <c r="A9" s="109" t="s">
        <v>18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1"/>
      <c r="Q9" s="112">
        <f>Q8</f>
        <v>964760</v>
      </c>
      <c r="R9" s="113"/>
      <c r="S9" s="114"/>
      <c r="T9" s="114"/>
    </row>
    <row r="10" spans="1:20" ht="35.5" customHeight="1">
      <c r="A10" s="116" t="s">
        <v>70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7">
        <v>0</v>
      </c>
      <c r="R10" s="34"/>
      <c r="S10" s="32"/>
      <c r="T10" s="32"/>
    </row>
    <row r="11" spans="1:20" ht="35.5" customHeight="1">
      <c r="A11" s="118" t="s">
        <v>30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7">
        <f>Q9-Q10</f>
        <v>964760</v>
      </c>
      <c r="R11" s="34"/>
      <c r="S11" s="32"/>
      <c r="T11" s="32"/>
    </row>
    <row r="12" spans="1:20">
      <c r="A12" s="34"/>
      <c r="B12" s="35"/>
      <c r="C12" s="35"/>
      <c r="D12" s="32"/>
      <c r="E12" s="32"/>
      <c r="F12" s="32"/>
      <c r="G12" s="32"/>
      <c r="H12" s="32"/>
      <c r="I12" s="32"/>
      <c r="J12" s="32"/>
      <c r="K12" s="33"/>
      <c r="L12" s="33"/>
      <c r="M12" s="33"/>
      <c r="N12" s="33"/>
      <c r="O12" s="34"/>
      <c r="P12" s="34"/>
      <c r="Q12" s="34"/>
      <c r="R12" s="34"/>
      <c r="S12" s="32"/>
      <c r="T12" s="32"/>
    </row>
    <row r="13" spans="1:20" ht="54" customHeight="1">
      <c r="A13" s="34"/>
      <c r="B13" s="35"/>
      <c r="C13" s="35"/>
      <c r="D13" s="32"/>
      <c r="E13" s="32"/>
      <c r="F13" s="32"/>
      <c r="G13" s="32"/>
      <c r="H13" s="32"/>
      <c r="I13" s="32"/>
      <c r="J13" s="32"/>
      <c r="K13" s="33"/>
      <c r="L13" s="33"/>
      <c r="M13" s="33"/>
      <c r="N13" s="33"/>
      <c r="O13" s="34"/>
      <c r="P13" s="34"/>
      <c r="Q13" s="34"/>
      <c r="R13" s="34"/>
      <c r="S13" s="32"/>
      <c r="T13" s="32"/>
    </row>
    <row r="14" spans="1:20" s="47" customFormat="1" ht="44" customHeight="1">
      <c r="A14" s="119"/>
      <c r="B14" s="119"/>
      <c r="C14" s="119"/>
      <c r="D14" s="119"/>
      <c r="E14" s="119"/>
      <c r="F14" s="119"/>
    </row>
    <row r="15" spans="1:20" ht="26" customHeight="1">
      <c r="A15" s="34"/>
      <c r="B15" s="35"/>
      <c r="C15" s="35"/>
      <c r="D15" s="32"/>
      <c r="E15" s="32"/>
      <c r="F15" s="32"/>
      <c r="G15" s="32"/>
      <c r="H15" s="32"/>
      <c r="I15" s="32"/>
      <c r="J15" s="32"/>
      <c r="K15" s="33"/>
      <c r="L15" s="33"/>
      <c r="M15" s="33"/>
      <c r="N15" s="33"/>
      <c r="O15" s="34"/>
      <c r="P15" s="34"/>
      <c r="Q15" s="34"/>
      <c r="R15" s="34"/>
      <c r="S15" s="32"/>
      <c r="T15" s="32"/>
    </row>
    <row r="16" spans="1:20" ht="26" customHeight="1">
      <c r="A16" s="34"/>
      <c r="B16" s="35"/>
      <c r="C16" s="35"/>
      <c r="D16" s="32"/>
      <c r="E16" s="32"/>
      <c r="F16" s="32"/>
      <c r="G16" s="32"/>
      <c r="H16" s="32"/>
      <c r="I16" s="32"/>
      <c r="J16" s="32"/>
      <c r="K16" s="33"/>
      <c r="L16" s="33"/>
      <c r="M16" s="33"/>
      <c r="N16" s="33"/>
      <c r="O16" s="34"/>
      <c r="P16" s="34"/>
      <c r="Q16" s="34"/>
      <c r="R16" s="34"/>
      <c r="S16" s="32"/>
      <c r="T16" s="32"/>
    </row>
    <row r="17" spans="1:20" ht="59.5" customHeight="1">
      <c r="A17" s="34"/>
      <c r="B17" s="35"/>
      <c r="C17" s="35"/>
      <c r="D17" s="32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/>
      <c r="P17" s="34"/>
      <c r="Q17" s="34"/>
      <c r="R17" s="34"/>
      <c r="S17" s="32"/>
      <c r="T17" s="32"/>
    </row>
    <row r="18" spans="1:20">
      <c r="A18" s="34"/>
      <c r="B18" s="38"/>
      <c r="C18" s="38"/>
      <c r="D18" s="38"/>
      <c r="E18" s="40"/>
      <c r="F18" s="41"/>
      <c r="G18" s="41"/>
      <c r="H18" s="32"/>
      <c r="I18" s="40"/>
      <c r="J18" s="40"/>
      <c r="K18" s="40"/>
      <c r="L18" s="33"/>
      <c r="M18" s="33"/>
      <c r="N18" s="42"/>
      <c r="O18" s="32"/>
      <c r="P18" s="40"/>
      <c r="Q18" s="40"/>
      <c r="R18" s="40"/>
      <c r="S18" s="40"/>
      <c r="T18" s="40"/>
    </row>
    <row r="19" spans="1:20">
      <c r="A19" s="34"/>
      <c r="B19" s="38"/>
      <c r="C19" s="38"/>
      <c r="D19" s="38"/>
      <c r="E19" s="95"/>
      <c r="F19" s="32"/>
      <c r="G19" s="32"/>
      <c r="H19" s="32"/>
      <c r="I19" s="40"/>
      <c r="J19" s="40"/>
      <c r="K19" s="40"/>
      <c r="L19" s="33"/>
      <c r="M19" s="33"/>
      <c r="N19" s="42"/>
      <c r="O19" s="32"/>
      <c r="P19" s="40"/>
      <c r="Q19" s="40"/>
      <c r="R19" s="40"/>
      <c r="S19" s="40"/>
      <c r="T19" s="40"/>
    </row>
    <row r="20" spans="1:20" s="120" customFormat="1" ht="23.5">
      <c r="B20" s="121" t="s">
        <v>31</v>
      </c>
      <c r="C20" s="121"/>
      <c r="D20" s="122" t="s">
        <v>71</v>
      </c>
      <c r="E20" s="123"/>
      <c r="F20" s="124" t="s">
        <v>71</v>
      </c>
      <c r="G20" s="124"/>
      <c r="H20" s="123"/>
      <c r="I20" s="123"/>
      <c r="J20" s="123"/>
      <c r="K20" s="124" t="s">
        <v>61</v>
      </c>
      <c r="L20" s="124"/>
      <c r="M20" s="124"/>
      <c r="N20" s="124"/>
      <c r="O20" s="124"/>
      <c r="P20" s="125" t="s">
        <v>34</v>
      </c>
      <c r="Q20" s="125"/>
      <c r="R20" s="125"/>
      <c r="S20" s="125"/>
      <c r="T20" s="125"/>
    </row>
    <row r="21" spans="1:20" s="126" customFormat="1" ht="23.5">
      <c r="B21" s="121" t="s">
        <v>35</v>
      </c>
      <c r="C21" s="121"/>
      <c r="D21" s="121" t="s">
        <v>36</v>
      </c>
      <c r="E21" s="127"/>
      <c r="F21" s="125" t="s">
        <v>37</v>
      </c>
      <c r="G21" s="125"/>
      <c r="H21" s="127"/>
      <c r="I21" s="127"/>
      <c r="J21" s="127"/>
      <c r="K21" s="125" t="s">
        <v>38</v>
      </c>
      <c r="L21" s="125"/>
      <c r="M21" s="125"/>
      <c r="N21" s="125"/>
      <c r="O21" s="125"/>
      <c r="P21" s="128" t="s">
        <v>39</v>
      </c>
      <c r="Q21" s="128"/>
      <c r="R21" s="128"/>
      <c r="S21" s="128"/>
      <c r="T21" s="128"/>
    </row>
    <row r="22" spans="1:20" s="120" customFormat="1" ht="23.5">
      <c r="B22" s="129" t="s">
        <v>40</v>
      </c>
      <c r="C22" s="129"/>
      <c r="D22" s="129"/>
      <c r="E22" s="130"/>
      <c r="F22" s="131" t="s">
        <v>41</v>
      </c>
      <c r="G22" s="131"/>
      <c r="H22" s="130"/>
      <c r="I22" s="130"/>
      <c r="J22" s="130"/>
      <c r="K22" s="131" t="s">
        <v>72</v>
      </c>
      <c r="L22" s="131"/>
      <c r="M22" s="131"/>
      <c r="N22" s="131"/>
      <c r="O22" s="131"/>
      <c r="P22" s="132" t="s">
        <v>43</v>
      </c>
      <c r="Q22" s="132"/>
      <c r="R22" s="132"/>
      <c r="S22" s="132"/>
      <c r="T22" s="132"/>
    </row>
    <row r="23" spans="1:20" s="120" customFormat="1" ht="23.5">
      <c r="B23" s="129" t="s">
        <v>44</v>
      </c>
      <c r="C23" s="130"/>
      <c r="D23" s="129"/>
      <c r="E23" s="130"/>
      <c r="F23" s="131" t="s">
        <v>45</v>
      </c>
      <c r="G23" s="131"/>
      <c r="H23" s="130"/>
      <c r="I23" s="130"/>
      <c r="J23" s="130"/>
      <c r="K23" s="131" t="s">
        <v>45</v>
      </c>
      <c r="L23" s="131"/>
      <c r="M23" s="131"/>
      <c r="N23" s="131"/>
      <c r="O23" s="131"/>
      <c r="P23" s="133"/>
      <c r="Q23" s="133"/>
      <c r="R23" s="130"/>
      <c r="S23" s="130"/>
      <c r="T23" s="129"/>
    </row>
    <row r="25" spans="1:20">
      <c r="A25" s="34"/>
      <c r="B25" s="35"/>
      <c r="C25" s="35"/>
      <c r="D25" s="32"/>
      <c r="E25" s="32"/>
    </row>
  </sheetData>
  <mergeCells count="30">
    <mergeCell ref="F22:G22"/>
    <mergeCell ref="K22:O22"/>
    <mergeCell ref="P22:T22"/>
    <mergeCell ref="F23:G23"/>
    <mergeCell ref="K23:O23"/>
    <mergeCell ref="I19:K19"/>
    <mergeCell ref="P19:T19"/>
    <mergeCell ref="F20:G20"/>
    <mergeCell ref="K20:O20"/>
    <mergeCell ref="P20:T20"/>
    <mergeCell ref="F21:G21"/>
    <mergeCell ref="K21:O21"/>
    <mergeCell ref="P21:T21"/>
    <mergeCell ref="O6:R6"/>
    <mergeCell ref="A9:P9"/>
    <mergeCell ref="A10:P10"/>
    <mergeCell ref="A11:P11"/>
    <mergeCell ref="E18:G18"/>
    <mergeCell ref="I18:K18"/>
    <mergeCell ref="P18:T18"/>
    <mergeCell ref="A4:T4"/>
    <mergeCell ref="A5:T5"/>
    <mergeCell ref="A6:A7"/>
    <mergeCell ref="B6:B7"/>
    <mergeCell ref="C6:C7"/>
    <mergeCell ref="D6:D7"/>
    <mergeCell ref="E6:E7"/>
    <mergeCell ref="F6:H6"/>
    <mergeCell ref="I6:K6"/>
    <mergeCell ref="L6:N6"/>
  </mergeCells>
  <printOptions horizontalCentered="1"/>
  <pageMargins left="0.1" right="0.1" top="0.5" bottom="0" header="0.3" footer="0.05"/>
  <pageSetup paperSize="9" scale="45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307D-5E46-4330-BCF2-8509AE488DCA}">
  <sheetPr>
    <tabColor theme="0"/>
    <pageSetUpPr fitToPage="1"/>
  </sheetPr>
  <dimension ref="A4:T26"/>
  <sheetViews>
    <sheetView view="pageBreakPreview" topLeftCell="B7" zoomScale="60" zoomScaleNormal="77" workbookViewId="0">
      <selection activeCell="P15" sqref="P15"/>
    </sheetView>
  </sheetViews>
  <sheetFormatPr defaultRowHeight="14.5"/>
  <cols>
    <col min="1" max="1" width="5.1796875" customWidth="1"/>
    <col min="2" max="2" width="32.453125" bestFit="1" customWidth="1"/>
    <col min="3" max="3" width="25.7265625" customWidth="1"/>
    <col min="4" max="4" width="33.90625" customWidth="1"/>
    <col min="5" max="5" width="11.54296875" customWidth="1"/>
    <col min="6" max="6" width="10.26953125" customWidth="1"/>
    <col min="7" max="7" width="14.08984375" customWidth="1"/>
    <col min="8" max="8" width="12" customWidth="1"/>
    <col min="9" max="9" width="10.26953125" customWidth="1"/>
    <col min="10" max="10" width="10.453125" customWidth="1"/>
    <col min="11" max="11" width="8" customWidth="1"/>
    <col min="12" max="13" width="11.54296875" customWidth="1"/>
    <col min="14" max="14" width="9.26953125" customWidth="1"/>
    <col min="15" max="15" width="13.7265625" bestFit="1" customWidth="1"/>
    <col min="16" max="16" width="13.54296875" customWidth="1"/>
    <col min="17" max="17" width="20.36328125" bestFit="1" customWidth="1"/>
    <col min="18" max="18" width="15.26953125" bestFit="1" customWidth="1"/>
    <col min="19" max="19" width="13.453125" customWidth="1"/>
    <col min="20" max="20" width="19.08984375" customWidth="1"/>
  </cols>
  <sheetData>
    <row r="4" spans="1:20" ht="45" customHeight="1">
      <c r="A4" s="134" t="s">
        <v>73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</row>
    <row r="5" spans="1:20" ht="45" customHeight="1">
      <c r="A5" s="135" t="s">
        <v>47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</row>
    <row r="6" spans="1:20" ht="46.5" customHeight="1">
      <c r="A6" s="68" t="s">
        <v>2</v>
      </c>
      <c r="B6" s="69" t="s">
        <v>3</v>
      </c>
      <c r="C6" s="70" t="s">
        <v>48</v>
      </c>
      <c r="D6" s="70" t="s">
        <v>5</v>
      </c>
      <c r="E6" s="69" t="s">
        <v>7</v>
      </c>
      <c r="F6" s="97" t="s">
        <v>63</v>
      </c>
      <c r="G6" s="97"/>
      <c r="H6" s="97"/>
      <c r="I6" s="5" t="s">
        <v>64</v>
      </c>
      <c r="J6" s="5"/>
      <c r="K6" s="5"/>
      <c r="L6" s="68" t="s">
        <v>10</v>
      </c>
      <c r="M6" s="68"/>
      <c r="N6" s="68"/>
      <c r="O6" s="136">
        <v>46174</v>
      </c>
      <c r="P6" s="137"/>
      <c r="Q6" s="137"/>
      <c r="R6" s="137"/>
      <c r="S6" s="138"/>
      <c r="T6" s="102"/>
    </row>
    <row r="7" spans="1:20" s="77" customFormat="1" ht="64.5" customHeight="1">
      <c r="A7" s="68"/>
      <c r="B7" s="69"/>
      <c r="C7" s="73"/>
      <c r="D7" s="73"/>
      <c r="E7" s="69"/>
      <c r="F7" s="74" t="s">
        <v>13</v>
      </c>
      <c r="G7" s="74" t="s">
        <v>14</v>
      </c>
      <c r="H7" s="74" t="s">
        <v>15</v>
      </c>
      <c r="I7" s="74" t="s">
        <v>13</v>
      </c>
      <c r="J7" s="74" t="s">
        <v>14</v>
      </c>
      <c r="K7" s="74" t="s">
        <v>15</v>
      </c>
      <c r="L7" s="74" t="s">
        <v>16</v>
      </c>
      <c r="M7" s="74" t="s">
        <v>66</v>
      </c>
      <c r="N7" s="74" t="s">
        <v>17</v>
      </c>
      <c r="O7" s="75" t="s">
        <v>67</v>
      </c>
      <c r="P7" s="75" t="s">
        <v>19</v>
      </c>
      <c r="Q7" s="75" t="s">
        <v>20</v>
      </c>
      <c r="R7" s="74" t="s">
        <v>21</v>
      </c>
      <c r="S7" s="74" t="s">
        <v>22</v>
      </c>
      <c r="T7" s="76" t="s">
        <v>23</v>
      </c>
    </row>
    <row r="8" spans="1:20" s="25" customFormat="1" ht="160.5" customHeight="1">
      <c r="A8" s="17">
        <v>1</v>
      </c>
      <c r="B8" s="103" t="s">
        <v>74</v>
      </c>
      <c r="C8" s="104" t="s">
        <v>75</v>
      </c>
      <c r="D8" s="105" t="s">
        <v>53</v>
      </c>
      <c r="E8" s="20">
        <v>46167</v>
      </c>
      <c r="F8" s="103">
        <v>4234</v>
      </c>
      <c r="G8" s="103">
        <v>4004</v>
      </c>
      <c r="H8" s="103">
        <f>F8-G8</f>
        <v>230</v>
      </c>
      <c r="I8" s="103"/>
      <c r="J8" s="103">
        <v>0</v>
      </c>
      <c r="K8" s="103">
        <f>I8-J8</f>
        <v>0</v>
      </c>
      <c r="L8" s="103">
        <f>H8+K8</f>
        <v>230</v>
      </c>
      <c r="M8" s="103">
        <v>80</v>
      </c>
      <c r="N8" s="103">
        <v>16.5</v>
      </c>
      <c r="O8" s="22">
        <f>(L8*M8)*N8+15180</f>
        <v>318780</v>
      </c>
      <c r="P8" s="106">
        <v>6000</v>
      </c>
      <c r="Q8" s="22">
        <f>O8+P8</f>
        <v>324780</v>
      </c>
      <c r="R8" s="139">
        <v>46183</v>
      </c>
      <c r="S8" s="22">
        <v>335868</v>
      </c>
      <c r="T8" s="108"/>
    </row>
    <row r="9" spans="1:20" s="115" customFormat="1" ht="46" customHeight="1">
      <c r="A9" s="109" t="s">
        <v>18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1"/>
      <c r="Q9" s="112">
        <f>Q8</f>
        <v>324780</v>
      </c>
      <c r="R9" s="113"/>
      <c r="S9" s="114"/>
      <c r="T9" s="114"/>
    </row>
    <row r="10" spans="1:20" ht="35.5" customHeight="1">
      <c r="A10" s="116" t="s">
        <v>70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7">
        <v>0</v>
      </c>
      <c r="R10" s="34"/>
      <c r="S10" s="32"/>
      <c r="T10" s="32"/>
    </row>
    <row r="11" spans="1:20" ht="35.5" customHeight="1">
      <c r="A11" s="118" t="s">
        <v>30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7">
        <f>Q9-Q10</f>
        <v>324780</v>
      </c>
      <c r="R11" s="34"/>
      <c r="S11" s="32"/>
      <c r="T11" s="32"/>
    </row>
    <row r="12" spans="1:20">
      <c r="A12" s="34"/>
      <c r="B12" s="35"/>
      <c r="C12" s="35"/>
      <c r="D12" s="32"/>
      <c r="E12" s="32"/>
      <c r="F12" s="32"/>
      <c r="G12" s="32"/>
      <c r="H12" s="32"/>
      <c r="I12" s="32"/>
      <c r="J12" s="32"/>
      <c r="K12" s="33"/>
      <c r="L12" s="33"/>
      <c r="M12" s="33"/>
      <c r="N12" s="33"/>
      <c r="O12" s="34"/>
      <c r="P12" s="34"/>
      <c r="Q12" s="34"/>
      <c r="R12" s="34"/>
      <c r="S12" s="32"/>
      <c r="T12" s="32"/>
    </row>
    <row r="13" spans="1:20" ht="54" customHeight="1">
      <c r="A13" s="34"/>
      <c r="B13" s="35"/>
      <c r="C13" s="35"/>
      <c r="D13" s="32"/>
      <c r="E13" s="32"/>
      <c r="F13" s="32"/>
      <c r="G13" s="32"/>
      <c r="H13" s="32"/>
      <c r="I13" s="32"/>
      <c r="J13" s="32"/>
      <c r="K13" s="33"/>
      <c r="L13" s="33"/>
      <c r="M13" s="33"/>
      <c r="N13" s="33"/>
      <c r="O13" s="34"/>
      <c r="P13" s="34"/>
      <c r="Q13" s="34"/>
      <c r="R13" s="34"/>
      <c r="S13" s="32"/>
      <c r="T13" s="32"/>
    </row>
    <row r="14" spans="1:20" ht="52.5" hidden="1" customHeight="1" thickBot="1">
      <c r="A14" s="140" t="s">
        <v>76</v>
      </c>
      <c r="B14" s="141"/>
      <c r="C14" s="141"/>
      <c r="D14" s="141"/>
      <c r="E14" s="141"/>
      <c r="F14" s="141"/>
      <c r="G14" s="142"/>
      <c r="H14" s="32"/>
      <c r="I14" s="32"/>
      <c r="J14" s="32"/>
      <c r="K14" s="33"/>
      <c r="L14" s="33"/>
      <c r="M14" s="33"/>
      <c r="N14" s="33"/>
      <c r="O14" s="34"/>
      <c r="P14" s="34"/>
      <c r="Q14" s="34"/>
      <c r="R14" s="34"/>
      <c r="S14" s="32"/>
      <c r="T14" s="32"/>
    </row>
    <row r="15" spans="1:20" ht="51.5" customHeight="1">
      <c r="A15" s="34"/>
      <c r="B15" s="35"/>
      <c r="C15" s="35"/>
      <c r="D15" s="32"/>
      <c r="E15" s="32"/>
      <c r="F15" s="32"/>
      <c r="G15" s="32"/>
      <c r="H15" s="32"/>
      <c r="I15" s="32"/>
      <c r="J15" s="32"/>
      <c r="K15" s="33"/>
      <c r="L15" s="33"/>
      <c r="M15" s="33"/>
      <c r="N15" s="33"/>
      <c r="O15" s="34"/>
      <c r="P15" s="34"/>
      <c r="Q15" s="34"/>
      <c r="R15" s="34"/>
      <c r="S15" s="32"/>
      <c r="T15" s="32"/>
    </row>
    <row r="16" spans="1:20" ht="52.5" customHeight="1">
      <c r="A16" s="34"/>
      <c r="B16" s="35"/>
      <c r="C16" s="35"/>
      <c r="D16" s="32"/>
      <c r="E16" s="32"/>
      <c r="F16" s="32"/>
      <c r="G16" s="32"/>
      <c r="H16" s="32"/>
      <c r="I16" s="32"/>
      <c r="J16" s="32"/>
      <c r="K16" s="33"/>
      <c r="L16" s="33"/>
      <c r="M16" s="33"/>
      <c r="N16" s="33"/>
      <c r="O16" s="34"/>
      <c r="P16" s="34"/>
      <c r="Q16" s="34"/>
      <c r="R16" s="34"/>
      <c r="S16" s="32"/>
      <c r="T16" s="32"/>
    </row>
    <row r="17" spans="1:20" ht="51.5" customHeight="1">
      <c r="A17" s="34"/>
      <c r="B17" s="35"/>
      <c r="C17" s="35"/>
      <c r="D17" s="32"/>
      <c r="E17" s="32"/>
      <c r="F17" s="32"/>
      <c r="G17" s="32"/>
      <c r="H17" s="32"/>
      <c r="I17" s="32"/>
      <c r="J17" s="32"/>
      <c r="K17" s="33"/>
      <c r="L17" s="33"/>
      <c r="M17" s="33"/>
      <c r="N17" s="33"/>
      <c r="O17" s="34"/>
      <c r="P17" s="34"/>
      <c r="Q17" s="34"/>
      <c r="R17" s="34"/>
      <c r="S17" s="32"/>
      <c r="T17" s="32"/>
    </row>
    <row r="18" spans="1:20">
      <c r="A18" s="34"/>
      <c r="B18" s="35"/>
      <c r="C18" s="35"/>
      <c r="D18" s="32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/>
      <c r="P18" s="34"/>
      <c r="Q18" s="34"/>
      <c r="R18" s="34"/>
      <c r="S18" s="32"/>
      <c r="T18" s="32"/>
    </row>
    <row r="19" spans="1:20">
      <c r="A19" s="34"/>
      <c r="B19" s="38"/>
      <c r="C19" s="38"/>
      <c r="D19" s="38"/>
      <c r="E19" s="40"/>
      <c r="F19" s="41"/>
      <c r="G19" s="41"/>
      <c r="H19" s="32"/>
      <c r="I19" s="40"/>
      <c r="J19" s="40"/>
      <c r="K19" s="40"/>
      <c r="L19" s="33"/>
      <c r="M19" s="33"/>
      <c r="N19" s="42"/>
      <c r="O19" s="32"/>
      <c r="P19" s="40"/>
      <c r="Q19" s="40"/>
      <c r="R19" s="40"/>
      <c r="S19" s="40"/>
      <c r="T19" s="40"/>
    </row>
    <row r="20" spans="1:20">
      <c r="A20" s="34"/>
      <c r="B20" s="38"/>
      <c r="C20" s="38"/>
      <c r="D20" s="38"/>
      <c r="E20" s="95"/>
      <c r="F20" s="32"/>
      <c r="G20" s="32"/>
      <c r="H20" s="32"/>
      <c r="I20" s="40"/>
      <c r="J20" s="40"/>
      <c r="K20" s="40"/>
      <c r="L20" s="33"/>
      <c r="M20" s="33"/>
      <c r="N20" s="42"/>
      <c r="O20" s="32"/>
      <c r="P20" s="40"/>
      <c r="Q20" s="40"/>
      <c r="R20" s="40"/>
      <c r="S20" s="40"/>
      <c r="T20" s="40"/>
    </row>
    <row r="21" spans="1:20" s="120" customFormat="1" ht="23.5">
      <c r="B21" s="121" t="s">
        <v>31</v>
      </c>
      <c r="C21" s="121"/>
      <c r="D21" s="121" t="s">
        <v>77</v>
      </c>
      <c r="E21" s="124" t="s">
        <v>71</v>
      </c>
      <c r="F21" s="124"/>
      <c r="G21" s="124"/>
      <c r="H21" s="124"/>
      <c r="I21" s="124"/>
      <c r="J21" s="123"/>
      <c r="K21" s="123"/>
      <c r="L21" s="124" t="s">
        <v>61</v>
      </c>
      <c r="M21" s="124"/>
      <c r="N21" s="124"/>
      <c r="O21" s="127"/>
      <c r="P21" s="125" t="s">
        <v>34</v>
      </c>
      <c r="Q21" s="125"/>
      <c r="R21" s="125"/>
      <c r="S21" s="125"/>
      <c r="T21" s="125"/>
    </row>
    <row r="22" spans="1:20" s="126" customFormat="1" ht="23.5">
      <c r="B22" s="121" t="s">
        <v>35</v>
      </c>
      <c r="C22" s="121"/>
      <c r="D22" s="121" t="s">
        <v>36</v>
      </c>
      <c r="E22" s="125" t="s">
        <v>37</v>
      </c>
      <c r="F22" s="125"/>
      <c r="G22" s="125"/>
      <c r="H22" s="125"/>
      <c r="I22" s="125"/>
      <c r="J22" s="127"/>
      <c r="K22" s="127"/>
      <c r="L22" s="125" t="s">
        <v>38</v>
      </c>
      <c r="M22" s="125"/>
      <c r="N22" s="125"/>
      <c r="O22" s="143"/>
      <c r="P22" s="128" t="s">
        <v>39</v>
      </c>
      <c r="Q22" s="128"/>
      <c r="R22" s="128"/>
      <c r="S22" s="128"/>
      <c r="T22" s="128"/>
    </row>
    <row r="23" spans="1:20" s="120" customFormat="1" ht="23.5">
      <c r="B23" s="129" t="s">
        <v>40</v>
      </c>
      <c r="C23" s="129"/>
      <c r="D23" s="129"/>
      <c r="E23" s="131" t="s">
        <v>41</v>
      </c>
      <c r="F23" s="131"/>
      <c r="G23" s="131"/>
      <c r="H23" s="131"/>
      <c r="I23" s="131"/>
      <c r="J23" s="130"/>
      <c r="K23" s="130"/>
      <c r="L23" s="131" t="s">
        <v>72</v>
      </c>
      <c r="M23" s="131"/>
      <c r="N23" s="131"/>
      <c r="O23" s="144"/>
      <c r="P23" s="132" t="s">
        <v>43</v>
      </c>
      <c r="Q23" s="132"/>
      <c r="R23" s="132"/>
      <c r="S23" s="132"/>
      <c r="T23" s="132"/>
    </row>
    <row r="24" spans="1:20" s="120" customFormat="1" ht="23.5">
      <c r="B24" s="129" t="s">
        <v>44</v>
      </c>
      <c r="C24" s="130"/>
      <c r="D24" s="129"/>
      <c r="E24" s="131" t="s">
        <v>45</v>
      </c>
      <c r="F24" s="131"/>
      <c r="G24" s="131"/>
      <c r="H24" s="131"/>
      <c r="I24" s="131"/>
      <c r="J24" s="130"/>
      <c r="K24" s="130"/>
      <c r="L24" s="131" t="s">
        <v>45</v>
      </c>
      <c r="M24" s="131"/>
      <c r="N24" s="131"/>
      <c r="O24" s="133"/>
      <c r="P24" s="133"/>
      <c r="Q24" s="133"/>
      <c r="R24" s="130"/>
      <c r="S24" s="130"/>
      <c r="T24" s="129"/>
    </row>
    <row r="26" spans="1:20">
      <c r="A26" s="34"/>
      <c r="B26" s="35"/>
      <c r="C26" s="35"/>
      <c r="D26" s="32"/>
      <c r="E26" s="32"/>
    </row>
  </sheetData>
  <mergeCells count="31">
    <mergeCell ref="E23:I23"/>
    <mergeCell ref="L23:N23"/>
    <mergeCell ref="P23:T23"/>
    <mergeCell ref="E24:I24"/>
    <mergeCell ref="L24:N24"/>
    <mergeCell ref="I20:K20"/>
    <mergeCell ref="P20:T20"/>
    <mergeCell ref="E21:I21"/>
    <mergeCell ref="L21:N21"/>
    <mergeCell ref="P21:T21"/>
    <mergeCell ref="E22:I22"/>
    <mergeCell ref="L22:N22"/>
    <mergeCell ref="P22:T22"/>
    <mergeCell ref="O6:S6"/>
    <mergeCell ref="A9:P9"/>
    <mergeCell ref="A10:P10"/>
    <mergeCell ref="A11:P11"/>
    <mergeCell ref="A14:G14"/>
    <mergeCell ref="E19:G19"/>
    <mergeCell ref="I19:K19"/>
    <mergeCell ref="P19:T19"/>
    <mergeCell ref="A4:T4"/>
    <mergeCell ref="A5:T5"/>
    <mergeCell ref="A6:A7"/>
    <mergeCell ref="B6:B7"/>
    <mergeCell ref="C6:C7"/>
    <mergeCell ref="D6:D7"/>
    <mergeCell ref="E6:E7"/>
    <mergeCell ref="F6:H6"/>
    <mergeCell ref="I6:K6"/>
    <mergeCell ref="L6:N6"/>
  </mergeCells>
  <printOptions horizontalCentered="1"/>
  <pageMargins left="0.1" right="0.1" top="0.5" bottom="0" header="0.3" footer="0.05"/>
  <pageSetup paperSize="9" scale="47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3138-0A7A-4A2C-8DBE-7512F580BFF2}">
  <dimension ref="A1:V19"/>
  <sheetViews>
    <sheetView zoomScale="85" zoomScaleNormal="85" workbookViewId="0">
      <selection activeCell="H11" sqref="H11"/>
    </sheetView>
  </sheetViews>
  <sheetFormatPr defaultRowHeight="13"/>
  <cols>
    <col min="1" max="1" width="4.6328125" style="146" customWidth="1"/>
    <col min="2" max="2" width="20.36328125" style="146" customWidth="1"/>
    <col min="3" max="3" width="12.7265625" style="146" customWidth="1"/>
    <col min="4" max="4" width="14.90625" style="146" customWidth="1"/>
    <col min="5" max="5" width="17" style="146" customWidth="1"/>
    <col min="6" max="6" width="11.90625" style="146" customWidth="1"/>
    <col min="7" max="7" width="7.08984375" style="146" customWidth="1"/>
    <col min="8" max="8" width="7.90625" style="146" customWidth="1"/>
    <col min="9" max="9" width="6.26953125" style="146" customWidth="1"/>
    <col min="10" max="10" width="10.1796875" style="146" customWidth="1"/>
    <col min="11" max="11" width="7.90625" style="146" customWidth="1"/>
    <col min="12" max="12" width="11.26953125" style="146" bestFit="1" customWidth="1"/>
    <col min="13" max="13" width="8.54296875" style="146" customWidth="1"/>
    <col min="14" max="14" width="9.453125" style="146" customWidth="1"/>
    <col min="15" max="15" width="10.36328125" style="146" customWidth="1"/>
    <col min="16" max="16" width="9.26953125" style="146" customWidth="1"/>
    <col min="17" max="17" width="10.26953125" style="146" customWidth="1"/>
    <col min="18" max="20" width="10.54296875" style="146" customWidth="1"/>
    <col min="21" max="21" width="12.36328125" style="146" customWidth="1"/>
    <col min="22" max="22" width="2.453125" style="146" customWidth="1"/>
    <col min="23" max="16384" width="8.7265625" style="146"/>
  </cols>
  <sheetData>
    <row r="1" spans="1:22" ht="38" customHeight="1">
      <c r="A1" s="145" t="s">
        <v>78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</row>
    <row r="2" spans="1:22" ht="26.25" customHeight="1">
      <c r="A2" s="147" t="s">
        <v>79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</row>
    <row r="3" spans="1:22" s="155" customFormat="1" ht="40.5" customHeight="1">
      <c r="A3" s="148" t="s">
        <v>2</v>
      </c>
      <c r="B3" s="148" t="s">
        <v>80</v>
      </c>
      <c r="C3" s="148" t="s">
        <v>81</v>
      </c>
      <c r="D3" s="148" t="s">
        <v>82</v>
      </c>
      <c r="E3" s="148" t="s">
        <v>83</v>
      </c>
      <c r="F3" s="148" t="s">
        <v>5</v>
      </c>
      <c r="G3" s="148" t="s">
        <v>7</v>
      </c>
      <c r="H3" s="149" t="s">
        <v>10</v>
      </c>
      <c r="I3" s="150"/>
      <c r="J3" s="151"/>
      <c r="K3" s="152">
        <v>46177</v>
      </c>
      <c r="L3" s="153"/>
      <c r="M3" s="153"/>
      <c r="N3" s="153"/>
      <c r="O3" s="153"/>
      <c r="P3" s="154"/>
      <c r="Q3" s="148" t="s">
        <v>84</v>
      </c>
      <c r="R3" s="148" t="s">
        <v>85</v>
      </c>
      <c r="S3" s="148" t="s">
        <v>86</v>
      </c>
      <c r="T3" s="148" t="s">
        <v>87</v>
      </c>
      <c r="U3" s="148" t="s">
        <v>88</v>
      </c>
    </row>
    <row r="4" spans="1:22" s="155" customFormat="1" ht="40.5" customHeight="1">
      <c r="A4" s="156"/>
      <c r="B4" s="156"/>
      <c r="C4" s="156"/>
      <c r="D4" s="156"/>
      <c r="E4" s="156"/>
      <c r="F4" s="156"/>
      <c r="G4" s="156"/>
      <c r="H4" s="157" t="s">
        <v>89</v>
      </c>
      <c r="I4" s="157" t="s">
        <v>17</v>
      </c>
      <c r="J4" s="158" t="s">
        <v>90</v>
      </c>
      <c r="K4" s="157" t="s">
        <v>19</v>
      </c>
      <c r="L4" s="157" t="s">
        <v>20</v>
      </c>
      <c r="M4" s="157" t="s">
        <v>91</v>
      </c>
      <c r="N4" s="157" t="s">
        <v>92</v>
      </c>
      <c r="O4" s="157" t="s">
        <v>93</v>
      </c>
      <c r="P4" s="157" t="s">
        <v>23</v>
      </c>
      <c r="Q4" s="156"/>
      <c r="R4" s="156"/>
      <c r="S4" s="156"/>
      <c r="T4" s="156"/>
      <c r="U4" s="156"/>
    </row>
    <row r="5" spans="1:22" s="169" customFormat="1" ht="70.5" customHeight="1">
      <c r="A5" s="159">
        <v>1</v>
      </c>
      <c r="B5" s="160" t="s">
        <v>94</v>
      </c>
      <c r="C5" s="160" t="s">
        <v>95</v>
      </c>
      <c r="D5" s="160" t="s">
        <v>96</v>
      </c>
      <c r="E5" s="160" t="s">
        <v>97</v>
      </c>
      <c r="F5" s="160" t="s">
        <v>98</v>
      </c>
      <c r="G5" s="161">
        <v>46143</v>
      </c>
      <c r="H5" s="162">
        <f>118400+1195</f>
        <v>119595</v>
      </c>
      <c r="I5" s="163">
        <v>14.4</v>
      </c>
      <c r="J5" s="164">
        <f>H5*I5</f>
        <v>1722168</v>
      </c>
      <c r="K5" s="165">
        <f>5208+5208+420+420</f>
        <v>11256</v>
      </c>
      <c r="L5" s="166">
        <f>J5+K5</f>
        <v>1733424</v>
      </c>
      <c r="M5" s="167">
        <v>46177</v>
      </c>
      <c r="N5" s="167">
        <v>46188</v>
      </c>
      <c r="O5" s="166">
        <v>1790498</v>
      </c>
      <c r="P5" s="168"/>
      <c r="Q5" s="168"/>
      <c r="R5" s="168"/>
      <c r="S5" s="168"/>
      <c r="T5" s="168"/>
      <c r="U5" s="168"/>
    </row>
    <row r="6" spans="1:22" s="171" customFormat="1" ht="46" customHeight="1">
      <c r="A6" s="170" t="s">
        <v>99</v>
      </c>
      <c r="B6" s="170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</row>
    <row r="7" spans="1:22" ht="24" customHeight="1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</row>
    <row r="8" spans="1:22" ht="26" hidden="1" customHeight="1">
      <c r="A8" s="172" t="s">
        <v>100</v>
      </c>
      <c r="B8" s="173"/>
      <c r="C8" s="173"/>
      <c r="D8" s="173"/>
      <c r="E8" s="174"/>
    </row>
    <row r="9" spans="1:22" ht="13.5" hidden="1" thickBot="1">
      <c r="A9" s="175"/>
      <c r="B9" s="176"/>
      <c r="C9" s="176"/>
      <c r="D9" s="176"/>
      <c r="E9" s="177"/>
    </row>
    <row r="12" spans="1:22" ht="35.5" customHeight="1"/>
    <row r="15" spans="1:22">
      <c r="B15" s="178"/>
      <c r="D15" s="178"/>
      <c r="G15" s="178"/>
      <c r="H15" s="178"/>
      <c r="I15" s="178"/>
      <c r="L15" s="178"/>
      <c r="M15" s="178"/>
    </row>
    <row r="16" spans="1:22">
      <c r="B16" s="179" t="s">
        <v>31</v>
      </c>
      <c r="D16" s="179" t="s">
        <v>77</v>
      </c>
      <c r="E16" s="180" t="s">
        <v>77</v>
      </c>
      <c r="F16" s="180"/>
      <c r="G16" s="180" t="s">
        <v>101</v>
      </c>
      <c r="H16" s="180"/>
      <c r="I16" s="180"/>
      <c r="K16" s="180" t="s">
        <v>34</v>
      </c>
      <c r="L16" s="180"/>
      <c r="M16" s="180"/>
      <c r="N16" s="180"/>
    </row>
    <row r="17" spans="2:14">
      <c r="B17" s="179" t="s">
        <v>35</v>
      </c>
      <c r="D17" s="179" t="s">
        <v>36</v>
      </c>
      <c r="E17" s="180" t="s">
        <v>37</v>
      </c>
      <c r="F17" s="180"/>
      <c r="G17" s="180" t="s">
        <v>38</v>
      </c>
      <c r="H17" s="180"/>
      <c r="I17" s="180"/>
      <c r="K17" s="180" t="s">
        <v>39</v>
      </c>
      <c r="L17" s="180"/>
      <c r="M17" s="180"/>
      <c r="N17" s="180"/>
    </row>
    <row r="18" spans="2:14">
      <c r="B18" s="179" t="s">
        <v>40</v>
      </c>
      <c r="D18" s="179"/>
      <c r="E18" s="180" t="s">
        <v>41</v>
      </c>
      <c r="F18" s="180"/>
      <c r="G18" s="180" t="s">
        <v>42</v>
      </c>
      <c r="H18" s="180"/>
      <c r="I18" s="180"/>
      <c r="K18" s="180" t="s">
        <v>102</v>
      </c>
      <c r="L18" s="180"/>
      <c r="M18" s="180"/>
      <c r="N18" s="180"/>
    </row>
    <row r="19" spans="2:14">
      <c r="B19" s="179" t="s">
        <v>103</v>
      </c>
      <c r="D19" s="179"/>
      <c r="E19" s="180" t="s">
        <v>45</v>
      </c>
      <c r="F19" s="180"/>
      <c r="G19" s="180" t="s">
        <v>45</v>
      </c>
      <c r="H19" s="180"/>
      <c r="I19" s="180"/>
    </row>
  </sheetData>
  <mergeCells count="30">
    <mergeCell ref="E19:F19"/>
    <mergeCell ref="G19:I19"/>
    <mergeCell ref="E17:F17"/>
    <mergeCell ref="G17:I17"/>
    <mergeCell ref="K17:N17"/>
    <mergeCell ref="E18:F18"/>
    <mergeCell ref="G18:I18"/>
    <mergeCell ref="K18:N18"/>
    <mergeCell ref="A6:V6"/>
    <mergeCell ref="A7:V7"/>
    <mergeCell ref="A8:E9"/>
    <mergeCell ref="E16:F16"/>
    <mergeCell ref="G16:I16"/>
    <mergeCell ref="K16:N16"/>
    <mergeCell ref="K3:P3"/>
    <mergeCell ref="Q3:Q4"/>
    <mergeCell ref="R3:R4"/>
    <mergeCell ref="S3:S4"/>
    <mergeCell ref="T3:T4"/>
    <mergeCell ref="U3:U4"/>
    <mergeCell ref="A1:V1"/>
    <mergeCell ref="A2:V2"/>
    <mergeCell ref="A3:A4"/>
    <mergeCell ref="B3:B4"/>
    <mergeCell ref="C3:C4"/>
    <mergeCell ref="D3:D4"/>
    <mergeCell ref="E3:E4"/>
    <mergeCell ref="F3:F4"/>
    <mergeCell ref="G3:G4"/>
    <mergeCell ref="H3:J3"/>
  </mergeCells>
  <pageMargins left="0.18" right="0.17" top="0.75" bottom="0.75" header="0.3" footer="0.3"/>
  <pageSetup paperSize="9" scale="8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044E-50B5-4937-BEBD-853B0516384B}">
  <dimension ref="A1:V21"/>
  <sheetViews>
    <sheetView tabSelected="1" workbookViewId="0">
      <selection activeCell="G8" sqref="G8"/>
    </sheetView>
  </sheetViews>
  <sheetFormatPr defaultRowHeight="13"/>
  <cols>
    <col min="1" max="1" width="4.6328125" style="146" customWidth="1"/>
    <col min="2" max="2" width="27.26953125" style="146" customWidth="1"/>
    <col min="3" max="3" width="12.7265625" style="146" customWidth="1"/>
    <col min="4" max="4" width="14.7265625" style="146" customWidth="1"/>
    <col min="5" max="5" width="16.54296875" style="146" customWidth="1"/>
    <col min="6" max="6" width="11.7265625" style="146" customWidth="1"/>
    <col min="7" max="7" width="6.26953125" style="146" customWidth="1"/>
    <col min="8" max="8" width="8.453125" style="146" customWidth="1"/>
    <col min="9" max="9" width="6.26953125" style="146" customWidth="1"/>
    <col min="10" max="10" width="8.90625" style="146" customWidth="1"/>
    <col min="11" max="11" width="8.08984375" style="146" customWidth="1"/>
    <col min="12" max="12" width="8.7265625" style="146" customWidth="1"/>
    <col min="13" max="13" width="8.08984375" style="146" customWidth="1"/>
    <col min="14" max="14" width="7.90625" style="146" customWidth="1"/>
    <col min="15" max="15" width="8.90625" style="146" customWidth="1"/>
    <col min="16" max="16" width="9.26953125" style="146" customWidth="1"/>
    <col min="17" max="20" width="10.54296875" style="146" customWidth="1"/>
    <col min="21" max="21" width="12.08984375" style="146" customWidth="1"/>
    <col min="22" max="22" width="2.1796875" style="146" customWidth="1"/>
    <col min="23" max="16384" width="8.7265625" style="146"/>
  </cols>
  <sheetData>
    <row r="1" spans="1:22" ht="38" customHeight="1">
      <c r="A1" s="145" t="s">
        <v>104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</row>
    <row r="2" spans="1:22" ht="26.75" customHeight="1">
      <c r="A2" s="181" t="s">
        <v>105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</row>
    <row r="3" spans="1:22" ht="24" customHeight="1">
      <c r="A3" s="182" t="s">
        <v>106</v>
      </c>
      <c r="B3" s="183" t="s">
        <v>107</v>
      </c>
      <c r="C3" s="182" t="s">
        <v>108</v>
      </c>
      <c r="D3" s="182" t="s">
        <v>109</v>
      </c>
      <c r="E3" s="184" t="s">
        <v>110</v>
      </c>
      <c r="F3" s="184" t="s">
        <v>111</v>
      </c>
      <c r="G3" s="182" t="s">
        <v>112</v>
      </c>
      <c r="H3" s="185" t="s">
        <v>113</v>
      </c>
      <c r="I3" s="186"/>
      <c r="J3" s="187"/>
      <c r="K3" s="188">
        <v>46183</v>
      </c>
      <c r="L3" s="189"/>
      <c r="M3" s="189"/>
      <c r="N3" s="189"/>
      <c r="O3" s="189"/>
      <c r="P3" s="190"/>
      <c r="Q3" s="182" t="s">
        <v>114</v>
      </c>
      <c r="R3" s="191" t="s">
        <v>115</v>
      </c>
      <c r="S3" s="192" t="s">
        <v>116</v>
      </c>
      <c r="T3" s="193" t="s">
        <v>117</v>
      </c>
      <c r="U3" s="192" t="s">
        <v>118</v>
      </c>
    </row>
    <row r="4" spans="1:22" ht="29" customHeight="1">
      <c r="A4" s="194"/>
      <c r="B4" s="195"/>
      <c r="C4" s="194"/>
      <c r="D4" s="194"/>
      <c r="E4" s="196"/>
      <c r="F4" s="196"/>
      <c r="G4" s="194"/>
      <c r="H4" s="197" t="s">
        <v>119</v>
      </c>
      <c r="I4" s="198" t="s">
        <v>120</v>
      </c>
      <c r="J4" s="199" t="s">
        <v>121</v>
      </c>
      <c r="K4" s="198" t="s">
        <v>122</v>
      </c>
      <c r="L4" s="198" t="s">
        <v>123</v>
      </c>
      <c r="M4" s="198" t="s">
        <v>124</v>
      </c>
      <c r="N4" s="200" t="s">
        <v>125</v>
      </c>
      <c r="O4" s="197" t="s">
        <v>126</v>
      </c>
      <c r="P4" s="197" t="s">
        <v>127</v>
      </c>
      <c r="Q4" s="194"/>
      <c r="R4" s="201"/>
      <c r="S4" s="202"/>
      <c r="T4" s="203"/>
      <c r="U4" s="202"/>
    </row>
    <row r="5" spans="1:22" s="171" customFormat="1" ht="62.5" customHeight="1">
      <c r="A5" s="204">
        <v>1</v>
      </c>
      <c r="B5" s="205" t="s">
        <v>128</v>
      </c>
      <c r="C5" s="206" t="s">
        <v>129</v>
      </c>
      <c r="D5" s="205" t="s">
        <v>130</v>
      </c>
      <c r="E5" s="205" t="s">
        <v>131</v>
      </c>
      <c r="F5" s="207"/>
      <c r="G5" s="208">
        <v>46143</v>
      </c>
      <c r="H5" s="209">
        <v>0</v>
      </c>
      <c r="I5" s="209">
        <v>0</v>
      </c>
      <c r="J5" s="209">
        <v>21858</v>
      </c>
      <c r="K5" s="209">
        <v>2310</v>
      </c>
      <c r="L5" s="209">
        <f>J5+K5</f>
        <v>24168</v>
      </c>
      <c r="M5" s="210">
        <v>46181</v>
      </c>
      <c r="N5" s="210">
        <v>46193</v>
      </c>
      <c r="O5" s="209">
        <v>24168</v>
      </c>
      <c r="P5" s="207"/>
      <c r="Q5" s="207"/>
      <c r="R5" s="207"/>
      <c r="S5" s="207"/>
      <c r="T5" s="207"/>
      <c r="U5" s="207"/>
    </row>
    <row r="6" spans="1:22" s="211" customFormat="1" ht="41.5" customHeight="1">
      <c r="A6" s="170" t="s">
        <v>132</v>
      </c>
      <c r="B6" s="170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</row>
    <row r="7" spans="1:22" ht="24.5" customHeight="1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</row>
    <row r="8" spans="1:22" ht="14.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 spans="1:22" hidden="1">
      <c r="A9" s="212"/>
      <c r="B9" s="213"/>
      <c r="C9" s="213"/>
      <c r="D9" s="213"/>
      <c r="E9" s="214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</row>
    <row r="10" spans="1:22" hidden="1">
      <c r="A10" s="216"/>
      <c r="B10" s="217"/>
      <c r="C10" s="217"/>
      <c r="D10" s="217"/>
      <c r="E10" s="218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</row>
    <row r="11" spans="1:22" ht="13.5" hidden="1" thickBot="1">
      <c r="A11" s="219"/>
      <c r="B11" s="220"/>
      <c r="C11" s="220"/>
      <c r="D11" s="220"/>
      <c r="E11" s="221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</row>
    <row r="17" spans="1:22">
      <c r="A17" s="215"/>
      <c r="B17" s="222"/>
      <c r="C17" s="215"/>
      <c r="D17" s="222"/>
      <c r="E17" s="215"/>
      <c r="F17" s="222"/>
      <c r="G17" s="222"/>
      <c r="H17" s="222"/>
      <c r="I17" s="215"/>
      <c r="J17" s="215"/>
      <c r="K17" s="215"/>
      <c r="L17" s="222"/>
      <c r="M17" s="222"/>
      <c r="N17" s="215"/>
      <c r="O17" s="215"/>
      <c r="P17" s="215"/>
      <c r="Q17" s="215"/>
      <c r="R17" s="215"/>
      <c r="S17" s="215"/>
      <c r="T17" s="215"/>
      <c r="U17" s="215"/>
      <c r="V17" s="215"/>
    </row>
    <row r="18" spans="1:22">
      <c r="B18" s="223" t="s">
        <v>31</v>
      </c>
      <c r="C18" s="215"/>
      <c r="D18" s="223" t="s">
        <v>77</v>
      </c>
      <c r="E18" s="215"/>
      <c r="F18" s="224" t="s">
        <v>101</v>
      </c>
      <c r="G18" s="224"/>
      <c r="H18" s="224"/>
      <c r="I18" s="215"/>
      <c r="J18" s="215"/>
      <c r="K18" s="224" t="s">
        <v>34</v>
      </c>
      <c r="L18" s="224"/>
      <c r="M18" s="224"/>
      <c r="N18" s="224"/>
    </row>
    <row r="19" spans="1:22">
      <c r="B19" s="223" t="s">
        <v>35</v>
      </c>
      <c r="C19" s="215"/>
      <c r="D19" s="223" t="s">
        <v>37</v>
      </c>
      <c r="E19" s="215"/>
      <c r="F19" s="224" t="s">
        <v>38</v>
      </c>
      <c r="G19" s="224"/>
      <c r="H19" s="224"/>
      <c r="I19" s="215"/>
      <c r="J19" s="215"/>
      <c r="K19" s="224" t="s">
        <v>133</v>
      </c>
      <c r="L19" s="224"/>
      <c r="M19" s="224"/>
      <c r="N19" s="224"/>
    </row>
    <row r="20" spans="1:22">
      <c r="B20" s="223" t="s">
        <v>40</v>
      </c>
      <c r="C20" s="215"/>
      <c r="D20" s="223" t="s">
        <v>41</v>
      </c>
      <c r="E20" s="215"/>
      <c r="F20" s="224" t="s">
        <v>72</v>
      </c>
      <c r="G20" s="224"/>
      <c r="H20" s="224"/>
      <c r="I20" s="215"/>
      <c r="J20" s="215"/>
      <c r="K20" s="224" t="s">
        <v>102</v>
      </c>
      <c r="L20" s="224"/>
      <c r="M20" s="224"/>
      <c r="N20" s="224"/>
    </row>
    <row r="21" spans="1:22">
      <c r="B21" s="223" t="s">
        <v>45</v>
      </c>
      <c r="C21" s="215"/>
      <c r="D21" s="223" t="s">
        <v>45</v>
      </c>
      <c r="E21" s="215"/>
      <c r="F21" s="224" t="s">
        <v>45</v>
      </c>
      <c r="G21" s="224"/>
      <c r="H21" s="224"/>
      <c r="I21" s="215"/>
      <c r="J21" s="215"/>
      <c r="K21" s="215"/>
      <c r="L21" s="215"/>
      <c r="M21" s="215"/>
      <c r="N21" s="215"/>
    </row>
  </sheetData>
  <mergeCells count="26">
    <mergeCell ref="F20:H20"/>
    <mergeCell ref="K20:N20"/>
    <mergeCell ref="F21:H21"/>
    <mergeCell ref="A6:V6"/>
    <mergeCell ref="A7:V7"/>
    <mergeCell ref="A9:E11"/>
    <mergeCell ref="F18:H18"/>
    <mergeCell ref="K18:N18"/>
    <mergeCell ref="F19:H19"/>
    <mergeCell ref="K19:N19"/>
    <mergeCell ref="K3:P3"/>
    <mergeCell ref="Q3:Q4"/>
    <mergeCell ref="R3:R4"/>
    <mergeCell ref="S3:S4"/>
    <mergeCell ref="T3:T4"/>
    <mergeCell ref="U3:U4"/>
    <mergeCell ref="A1:V1"/>
    <mergeCell ref="A2:V2"/>
    <mergeCell ref="A3:A4"/>
    <mergeCell ref="B3:B4"/>
    <mergeCell ref="C3:C4"/>
    <mergeCell ref="D3:D4"/>
    <mergeCell ref="E3:E4"/>
    <mergeCell ref="F3:F4"/>
    <mergeCell ref="G3:G4"/>
    <mergeCell ref="H3:J3"/>
  </mergeCells>
  <pageMargins left="0.2" right="0.23" top="0.75" bottom="0.75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kaliakoire new technopolis</vt:lpstr>
      <vt:lpstr>Birulia</vt:lpstr>
      <vt:lpstr>Uttara New SC (3)</vt:lpstr>
      <vt:lpstr>Mirpur Anik Tower May-26</vt:lpstr>
      <vt:lpstr>Paltan</vt:lpstr>
      <vt:lpstr>Power Grid</vt:lpstr>
      <vt:lpstr>Birulia!Print_Area</vt:lpstr>
      <vt:lpstr>'kaliakoire new technopolis'!Print_Area</vt:lpstr>
      <vt:lpstr>'Mirpur Anik Tower May-26'!Print_Area</vt:lpstr>
      <vt:lpstr>'Uttara New SC (3)'!Print_Area</vt:lpstr>
    </vt:vector>
  </TitlesOfParts>
  <Company>Summit Communications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 Afroze Hassan/Administration SComm</dc:creator>
  <cp:lastModifiedBy>Ruhi Afroze Hassan/Administration SComm</cp:lastModifiedBy>
  <dcterms:created xsi:type="dcterms:W3CDTF">2026-06-15T09:18:23Z</dcterms:created>
  <dcterms:modified xsi:type="dcterms:W3CDTF">2026-06-15T09:21:30Z</dcterms:modified>
</cp:coreProperties>
</file>