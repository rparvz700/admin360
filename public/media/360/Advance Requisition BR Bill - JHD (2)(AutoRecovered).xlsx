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BR Project PoP\"/>
    </mc:Choice>
  </mc:AlternateContent>
  <xr:revisionPtr revIDLastSave="0" documentId="13_ncr:1_{3D1797FC-0DE1-46BB-A495-A7E6FA58C141}" xr6:coauthVersionLast="47" xr6:coauthVersionMax="47" xr10:uidLastSave="{00000000-0000-0000-0000-000000000000}"/>
  <bookViews>
    <workbookView xWindow="-110" yWindow="-110" windowWidth="19420" windowHeight="10300" tabRatio="650" firstSheet="58" activeTab="66" xr2:uid="{00000000-000D-0000-FFFF-FFFF00000000}"/>
  </bookViews>
  <sheets>
    <sheet name="Sep'23 BR" sheetId="18" r:id="rId1"/>
    <sheet name="Aug'23 BR" sheetId="15" r:id="rId2"/>
    <sheet name="BR" sheetId="10" r:id="rId3"/>
    <sheet name="BR (2)" sheetId="11" r:id="rId4"/>
    <sheet name="BR (3)" sheetId="12" r:id="rId5"/>
    <sheet name="BR (4)" sheetId="13" r:id="rId6"/>
    <sheet name="BR (5)" sheetId="14" r:id="rId7"/>
    <sheet name="BR (6)" sheetId="16" r:id="rId8"/>
    <sheet name="July'23 Akhaura BR" sheetId="17" r:id="rId9"/>
    <sheet name="Sheet1" sheetId="19" r:id="rId10"/>
    <sheet name="Sheet3" sheetId="21" r:id="rId11"/>
    <sheet name="Sheet4" sheetId="22" r:id="rId12"/>
    <sheet name="Sheet10" sheetId="28" r:id="rId13"/>
    <sheet name="Sheet8" sheetId="26" r:id="rId14"/>
    <sheet name="Sheet9" sheetId="27" r:id="rId15"/>
    <sheet name="Sheet31" sheetId="50" r:id="rId16"/>
    <sheet name="Sheet12" sheetId="30" r:id="rId17"/>
    <sheet name="Sheet5" sheetId="23" r:id="rId18"/>
    <sheet name="Sheet6" sheetId="24" r:id="rId19"/>
    <sheet name="Sheet11" sheetId="29" r:id="rId20"/>
    <sheet name="Sheet2" sheetId="20" r:id="rId21"/>
    <sheet name="Sheet7" sheetId="25" r:id="rId22"/>
    <sheet name="Sheet32" sheetId="51" r:id="rId23"/>
    <sheet name="Sheet13" sheetId="31" r:id="rId24"/>
    <sheet name="Sheet14" sheetId="32" r:id="rId25"/>
    <sheet name="Sheet16" sheetId="34" r:id="rId26"/>
    <sheet name="Sheet23" sheetId="41" r:id="rId27"/>
    <sheet name="Sheet20" sheetId="38" r:id="rId28"/>
    <sheet name="Sheet19" sheetId="37" r:id="rId29"/>
    <sheet name="Sheet15" sheetId="33" r:id="rId30"/>
    <sheet name="Sheet18" sheetId="36" r:id="rId31"/>
    <sheet name="Sheet22" sheetId="40" r:id="rId32"/>
    <sheet name="Sheet17" sheetId="35" r:id="rId33"/>
    <sheet name="Sheet21" sheetId="39" r:id="rId34"/>
    <sheet name="Sheet26" sheetId="44" r:id="rId35"/>
    <sheet name="Sheet28" sheetId="46" r:id="rId36"/>
    <sheet name="Sheet29" sheetId="49" r:id="rId37"/>
    <sheet name="Sheet34" sheetId="53" r:id="rId38"/>
    <sheet name="Sheet24" sheetId="42" r:id="rId39"/>
    <sheet name="Sheet27" sheetId="45" r:id="rId40"/>
    <sheet name="Sheet25" sheetId="43" r:id="rId41"/>
    <sheet name="Sheet30" sheetId="48" r:id="rId42"/>
    <sheet name="Sheet33" sheetId="52" r:id="rId43"/>
    <sheet name="Sheet35" sheetId="54" r:id="rId44"/>
    <sheet name="Sheet36" sheetId="55" r:id="rId45"/>
    <sheet name="Sheet37" sheetId="56" r:id="rId46"/>
    <sheet name="Sheet38" sheetId="57" r:id="rId47"/>
    <sheet name="Sheet39" sheetId="58" r:id="rId48"/>
    <sheet name="Sheet40" sheetId="59" r:id="rId49"/>
    <sheet name="Sheet41" sheetId="60" r:id="rId50"/>
    <sheet name="Sheet42" sheetId="61" r:id="rId51"/>
    <sheet name="Sheet43" sheetId="62" r:id="rId52"/>
    <sheet name="Sheet44" sheetId="63" r:id="rId53"/>
    <sheet name="Sheet45" sheetId="64" r:id="rId54"/>
    <sheet name="Sheet46" sheetId="65" r:id="rId55"/>
    <sheet name="Sheet47" sheetId="66" r:id="rId56"/>
    <sheet name="Sheet48" sheetId="67" r:id="rId57"/>
    <sheet name="Sheet49" sheetId="68" r:id="rId58"/>
    <sheet name="Sheet50" sheetId="69" r:id="rId59"/>
    <sheet name="Sheet51" sheetId="70" r:id="rId60"/>
    <sheet name="Sheet52" sheetId="71" r:id="rId61"/>
    <sheet name="Sheet53" sheetId="72" r:id="rId62"/>
    <sheet name="Sheet54" sheetId="73" r:id="rId63"/>
    <sheet name="Sheet55" sheetId="74" r:id="rId64"/>
    <sheet name="Sheet56" sheetId="75" r:id="rId65"/>
    <sheet name="Sheet58" sheetId="77" r:id="rId66"/>
    <sheet name="Sheet59" sheetId="79" r:id="rId67"/>
    <sheet name="Sheet57" sheetId="78" r:id="rId68"/>
  </sheets>
  <definedNames>
    <definedName name="_xlnm.Print_Area" localSheetId="1">'Aug''23 BR'!$A$1:$J$33</definedName>
    <definedName name="_xlnm.Print_Area" localSheetId="2">BR!$A$1:$I$35</definedName>
    <definedName name="_xlnm.Print_Area" localSheetId="3">'BR (2)'!$A$1:$J$35</definedName>
    <definedName name="_xlnm.Print_Area" localSheetId="4">'BR (3)'!$A$1:$J$30</definedName>
    <definedName name="_xlnm.Print_Area" localSheetId="5">'BR (4)'!$A$1:$J$33</definedName>
    <definedName name="_xlnm.Print_Area" localSheetId="6">'BR (5)'!$A$1:$J$33</definedName>
    <definedName name="_xlnm.Print_Area" localSheetId="7">'BR (6)'!$A$1:$J$30</definedName>
    <definedName name="_xlnm.Print_Area" localSheetId="8">'July''23 Akhaura BR'!$A$1:$K$30</definedName>
    <definedName name="_xlnm.Print_Area" localSheetId="0">'Sep''23 BR'!$A$1:$K$34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2" i="79" l="1"/>
  <c r="H13" i="79" s="1"/>
  <c r="B9" i="79" s="1"/>
  <c r="H13" i="78"/>
  <c r="H14" i="78"/>
  <c r="H15" i="78"/>
  <c r="H16" i="78"/>
  <c r="H17" i="78"/>
  <c r="H18" i="78"/>
  <c r="H19" i="78"/>
  <c r="H12" i="78"/>
  <c r="H12" i="77"/>
  <c r="H13" i="77" s="1"/>
  <c r="B9" i="77" s="1"/>
  <c r="G25" i="74"/>
  <c r="H14" i="75"/>
  <c r="H13" i="75"/>
  <c r="H12" i="75"/>
  <c r="H15" i="74"/>
  <c r="H14" i="74"/>
  <c r="H13" i="74"/>
  <c r="H12" i="74"/>
  <c r="H12" i="73"/>
  <c r="H14" i="73"/>
  <c r="H13" i="73"/>
  <c r="H13" i="72"/>
  <c r="H14" i="72"/>
  <c r="H12" i="72"/>
  <c r="H20" i="78" l="1"/>
  <c r="B9" i="78" s="1"/>
  <c r="H15" i="73"/>
  <c r="B9" i="73" s="1"/>
  <c r="H15" i="72"/>
  <c r="B9" i="72" s="1"/>
  <c r="H15" i="75"/>
  <c r="B9" i="75" s="1"/>
  <c r="H17" i="74"/>
  <c r="B9" i="74" s="1"/>
  <c r="H13" i="71"/>
  <c r="H12" i="71"/>
  <c r="H14" i="70"/>
  <c r="H15" i="70" s="1"/>
  <c r="B9" i="70" s="1"/>
  <c r="H19" i="69"/>
  <c r="H18" i="69"/>
  <c r="H17" i="69"/>
  <c r="H16" i="69"/>
  <c r="H15" i="69"/>
  <c r="H14" i="69"/>
  <c r="H13" i="69"/>
  <c r="H12" i="69"/>
  <c r="H13" i="68"/>
  <c r="H14" i="68"/>
  <c r="H15" i="68"/>
  <c r="H16" i="68"/>
  <c r="H17" i="68"/>
  <c r="H18" i="68"/>
  <c r="H19" i="68"/>
  <c r="H12" i="68"/>
  <c r="H19" i="67"/>
  <c r="H18" i="67"/>
  <c r="H17" i="67"/>
  <c r="H16" i="67"/>
  <c r="H15" i="67"/>
  <c r="H14" i="67"/>
  <c r="H13" i="67"/>
  <c r="H12" i="67"/>
  <c r="H14" i="66"/>
  <c r="H13" i="66"/>
  <c r="H12" i="66"/>
  <c r="H20" i="67" l="1"/>
  <c r="B9" i="67" s="1"/>
  <c r="H14" i="71"/>
  <c r="B9" i="71" s="1"/>
  <c r="H20" i="69"/>
  <c r="B9" i="69" s="1"/>
  <c r="H20" i="68"/>
  <c r="B9" i="68" s="1"/>
  <c r="H15" i="66"/>
  <c r="B9" i="66" s="1"/>
  <c r="H14" i="65"/>
  <c r="H15" i="65"/>
  <c r="H16" i="65"/>
  <c r="H13" i="65"/>
  <c r="H12" i="65"/>
  <c r="H12" i="64"/>
  <c r="H13" i="64" s="1"/>
  <c r="B9" i="64" s="1"/>
  <c r="H12" i="63"/>
  <c r="H15" i="63" s="1"/>
  <c r="B9" i="63" s="1"/>
  <c r="H16" i="62"/>
  <c r="H15" i="62"/>
  <c r="H14" i="62"/>
  <c r="H13" i="62"/>
  <c r="H12" i="62"/>
  <c r="H14" i="61"/>
  <c r="H13" i="61"/>
  <c r="H12" i="61"/>
  <c r="H16" i="60"/>
  <c r="H15" i="60"/>
  <c r="H14" i="60"/>
  <c r="H13" i="60"/>
  <c r="H12" i="60"/>
  <c r="H12" i="59"/>
  <c r="H13" i="59" s="1"/>
  <c r="B9" i="59" s="1"/>
  <c r="H14" i="58"/>
  <c r="H13" i="58"/>
  <c r="H12" i="58"/>
  <c r="H16" i="57"/>
  <c r="H15" i="57"/>
  <c r="H14" i="57"/>
  <c r="H13" i="57"/>
  <c r="H12" i="57"/>
  <c r="H14" i="56"/>
  <c r="H13" i="56"/>
  <c r="H12" i="56"/>
  <c r="H16" i="55"/>
  <c r="H15" i="55"/>
  <c r="H14" i="55"/>
  <c r="H13" i="55"/>
  <c r="H12" i="55"/>
  <c r="H14" i="54"/>
  <c r="H13" i="54"/>
  <c r="H12" i="54"/>
  <c r="H16" i="53"/>
  <c r="H15" i="53"/>
  <c r="H14" i="53"/>
  <c r="H13" i="53"/>
  <c r="H12" i="53"/>
  <c r="H12" i="52"/>
  <c r="H14" i="52"/>
  <c r="H13" i="52"/>
  <c r="H14" i="51"/>
  <c r="H13" i="51"/>
  <c r="H12" i="51"/>
  <c r="H14" i="50"/>
  <c r="H13" i="50"/>
  <c r="H12" i="50"/>
  <c r="H13" i="49"/>
  <c r="H14" i="49"/>
  <c r="H15" i="49"/>
  <c r="H16" i="49"/>
  <c r="H12" i="49"/>
  <c r="H17" i="65" l="1"/>
  <c r="B9" i="65" s="1"/>
  <c r="H15" i="51"/>
  <c r="B9" i="51" s="1"/>
  <c r="H15" i="54"/>
  <c r="B9" i="54" s="1"/>
  <c r="H15" i="56"/>
  <c r="B9" i="56" s="1"/>
  <c r="H17" i="62"/>
  <c r="B9" i="62" s="1"/>
  <c r="H15" i="61"/>
  <c r="B9" i="61" s="1"/>
  <c r="H17" i="60"/>
  <c r="B9" i="60" s="1"/>
  <c r="H15" i="58"/>
  <c r="B9" i="58" s="1"/>
  <c r="H17" i="57"/>
  <c r="B9" i="57" s="1"/>
  <c r="H17" i="55"/>
  <c r="B9" i="55" s="1"/>
  <c r="H17" i="53"/>
  <c r="B9" i="53" s="1"/>
  <c r="H15" i="52"/>
  <c r="B9" i="52" s="1"/>
  <c r="H15" i="50"/>
  <c r="B9" i="50" s="1"/>
  <c r="H17" i="49"/>
  <c r="B9" i="49" s="1"/>
  <c r="H14" i="48"/>
  <c r="H13" i="48"/>
  <c r="H12" i="48"/>
  <c r="H17" i="46"/>
  <c r="H16" i="46"/>
  <c r="H15" i="46"/>
  <c r="H14" i="46"/>
  <c r="H13" i="46"/>
  <c r="H12" i="46"/>
  <c r="H14" i="45"/>
  <c r="H13" i="45"/>
  <c r="H12" i="45"/>
  <c r="H16" i="44"/>
  <c r="H15" i="44"/>
  <c r="H14" i="44"/>
  <c r="H13" i="44"/>
  <c r="H12" i="44"/>
  <c r="H14" i="43"/>
  <c r="H13" i="43"/>
  <c r="H12" i="43"/>
  <c r="H14" i="42"/>
  <c r="H13" i="42"/>
  <c r="H12" i="42"/>
  <c r="H16" i="35"/>
  <c r="H15" i="35"/>
  <c r="H12" i="35"/>
  <c r="H12" i="41"/>
  <c r="H14" i="41"/>
  <c r="H12" i="40"/>
  <c r="H13" i="40" s="1"/>
  <c r="B9" i="40" s="1"/>
  <c r="H13" i="39"/>
  <c r="H14" i="39"/>
  <c r="H15" i="39"/>
  <c r="H16" i="39"/>
  <c r="H12" i="39"/>
  <c r="H14" i="38"/>
  <c r="B9" i="38" s="1"/>
  <c r="H12" i="37"/>
  <c r="H13" i="37" s="1"/>
  <c r="B9" i="37" s="1"/>
  <c r="H12" i="36"/>
  <c r="H13" i="36" s="1"/>
  <c r="B9" i="36" s="1"/>
  <c r="H15" i="43" l="1"/>
  <c r="B9" i="43" s="1"/>
  <c r="H15" i="42"/>
  <c r="B9" i="42" s="1"/>
  <c r="H15" i="48"/>
  <c r="B9" i="48" s="1"/>
  <c r="H15" i="41"/>
  <c r="B9" i="41" s="1"/>
  <c r="H15" i="45"/>
  <c r="B9" i="45" s="1"/>
  <c r="H18" i="46"/>
  <c r="B9" i="46" s="1"/>
  <c r="H17" i="44"/>
  <c r="B9" i="44" s="1"/>
  <c r="H17" i="39"/>
  <c r="B9" i="39" s="1"/>
  <c r="H14" i="35"/>
  <c r="H13" i="35"/>
  <c r="H13" i="34"/>
  <c r="H14" i="34"/>
  <c r="H14" i="33"/>
  <c r="H17" i="33"/>
  <c r="H16" i="33"/>
  <c r="H15" i="33"/>
  <c r="H13" i="33"/>
  <c r="H12" i="33"/>
  <c r="H17" i="32"/>
  <c r="H18" i="32"/>
  <c r="H19" i="32"/>
  <c r="H20" i="32"/>
  <c r="H16" i="32"/>
  <c r="H13" i="32"/>
  <c r="H12" i="32"/>
  <c r="H21" i="32" l="1"/>
  <c r="B9" i="32" s="1"/>
  <c r="H17" i="35"/>
  <c r="B9" i="35" s="1"/>
  <c r="H15" i="34"/>
  <c r="B9" i="34" s="1"/>
  <c r="H18" i="33"/>
  <c r="B9" i="33" s="1"/>
  <c r="H19" i="31" l="1"/>
  <c r="H18" i="31"/>
  <c r="H17" i="31"/>
  <c r="H20" i="31"/>
  <c r="H16" i="31"/>
  <c r="H15" i="31"/>
  <c r="H14" i="31"/>
  <c r="H13" i="31"/>
  <c r="H12" i="31"/>
  <c r="H12" i="30"/>
  <c r="H13" i="30" s="1"/>
  <c r="B9" i="30" s="1"/>
  <c r="H13" i="29"/>
  <c r="H12" i="29"/>
  <c r="H21" i="31" l="1"/>
  <c r="B9" i="31" s="1"/>
  <c r="H14" i="29"/>
  <c r="B9" i="29" s="1"/>
  <c r="H12" i="28"/>
  <c r="H14" i="28" s="1"/>
  <c r="B9" i="28" s="1"/>
  <c r="H15" i="27" l="1"/>
  <c r="H14" i="27"/>
  <c r="H13" i="27"/>
  <c r="H12" i="27"/>
  <c r="H13" i="26"/>
  <c r="H14" i="26"/>
  <c r="H15" i="26"/>
  <c r="H16" i="26"/>
  <c r="H17" i="26"/>
  <c r="H12" i="26"/>
  <c r="H16" i="27" l="1"/>
  <c r="B9" i="27" s="1"/>
  <c r="H18" i="26"/>
  <c r="B9" i="26" s="1"/>
  <c r="H13" i="25" l="1"/>
  <c r="H14" i="25"/>
  <c r="H12" i="25"/>
  <c r="H14" i="24"/>
  <c r="B9" i="24" s="1"/>
  <c r="H13" i="23"/>
  <c r="B9" i="23" s="1"/>
  <c r="H15" i="25" l="1"/>
  <c r="B9" i="25" s="1"/>
  <c r="H15" i="22"/>
  <c r="B9" i="22" s="1"/>
  <c r="H15" i="21" l="1"/>
  <c r="B9" i="21" s="1"/>
  <c r="H15" i="20" l="1"/>
  <c r="B9" i="20" l="1"/>
  <c r="H18" i="19"/>
  <c r="I16" i="18"/>
  <c r="B9" i="19" l="1"/>
  <c r="I15" i="18"/>
  <c r="I14" i="18"/>
  <c r="I13" i="18"/>
  <c r="I12" i="18"/>
  <c r="I12" i="17"/>
  <c r="I13" i="17" s="1"/>
  <c r="B9" i="17" s="1"/>
  <c r="H13" i="16"/>
  <c r="B9" i="16" s="1"/>
  <c r="H15" i="15"/>
  <c r="H14" i="15"/>
  <c r="H13" i="15"/>
  <c r="H12" i="15"/>
  <c r="H15" i="14"/>
  <c r="H14" i="14"/>
  <c r="H13" i="14"/>
  <c r="H12" i="14"/>
  <c r="H15" i="13"/>
  <c r="H14" i="13"/>
  <c r="H13" i="13"/>
  <c r="H12" i="13"/>
  <c r="H16" i="14" l="1"/>
  <c r="B9" i="14" s="1"/>
  <c r="I17" i="18"/>
  <c r="B9" i="18" s="1"/>
  <c r="H16" i="15"/>
  <c r="B9" i="15" s="1"/>
  <c r="H16" i="13"/>
  <c r="B9" i="13" s="1"/>
  <c r="H12" i="12"/>
  <c r="H13" i="12" l="1"/>
  <c r="B9" i="12" s="1"/>
  <c r="H13" i="11"/>
  <c r="H14" i="11"/>
  <c r="H15" i="11"/>
  <c r="H16" i="11"/>
  <c r="H17" i="11"/>
  <c r="H12" i="11"/>
  <c r="H18" i="11" l="1"/>
  <c r="B9" i="11" s="1"/>
  <c r="G12" i="10"/>
  <c r="F16" i="10"/>
  <c r="G16" i="10" s="1"/>
  <c r="F14" i="10"/>
  <c r="G14" i="10" s="1"/>
  <c r="G18" i="10" l="1"/>
  <c r="B9" i="10" s="1"/>
</calcChain>
</file>

<file path=xl/sharedStrings.xml><?xml version="1.0" encoding="utf-8"?>
<sst xmlns="http://schemas.openxmlformats.org/spreadsheetml/2006/main" count="4114" uniqueCount="207">
  <si>
    <t>Project Name</t>
  </si>
  <si>
    <t>Ref. No</t>
  </si>
  <si>
    <t>Purposes:</t>
  </si>
  <si>
    <t xml:space="preserve">Electricity Bill Payment. </t>
  </si>
  <si>
    <t>Date:</t>
  </si>
  <si>
    <t>HR ID:</t>
  </si>
  <si>
    <t>Name:</t>
  </si>
  <si>
    <t>Md. Jahidul Islam Jahid</t>
  </si>
  <si>
    <t>Designation:</t>
  </si>
  <si>
    <t>Total ( BDT)</t>
  </si>
  <si>
    <t>Description of Bill</t>
  </si>
  <si>
    <t>SL No</t>
  </si>
  <si>
    <t>Received Form Sub-Centre</t>
  </si>
  <si>
    <t>Site/ Office/ POP Neme</t>
  </si>
  <si>
    <t>Bill Month</t>
  </si>
  <si>
    <t>Bill Amount</t>
  </si>
  <si>
    <t>Total (BDT)</t>
  </si>
  <si>
    <t xml:space="preserve">  </t>
  </si>
  <si>
    <t>Amount in Word:</t>
  </si>
  <si>
    <t>Requisition By</t>
  </si>
  <si>
    <t>Checked By</t>
  </si>
  <si>
    <t>Recommended By</t>
  </si>
  <si>
    <t>Approve By</t>
  </si>
  <si>
    <t>Kazi Shawon</t>
  </si>
  <si>
    <t>Md. Abdur Rashed</t>
  </si>
  <si>
    <t>Brig. Gen. Ali Murtoza Khan (Retd.)</t>
  </si>
  <si>
    <t>Chief Corporate Affairs Officer</t>
  </si>
  <si>
    <t>Administration</t>
  </si>
  <si>
    <t>Sr. Executive</t>
  </si>
  <si>
    <t>Total Bill Amount</t>
  </si>
  <si>
    <t>Payment Mode</t>
  </si>
  <si>
    <t>Cheque Name</t>
  </si>
  <si>
    <t>Govt. Revenue Collection</t>
  </si>
  <si>
    <t xml:space="preserve">                                                      </t>
  </si>
  <si>
    <t xml:space="preserve">                                                               </t>
  </si>
  <si>
    <t xml:space="preserve">                                             </t>
  </si>
  <si>
    <t>Checked &amp; Verified By</t>
  </si>
  <si>
    <t>Md Jahidul Islam Jahid</t>
  </si>
  <si>
    <t xml:space="preserve">Desg : </t>
  </si>
  <si>
    <t>Senior Manager</t>
  </si>
  <si>
    <t>Central Power (CP)</t>
  </si>
  <si>
    <t>Deputy Manager</t>
  </si>
  <si>
    <t>Requisition for Electricity Bill - BEFTN</t>
  </si>
  <si>
    <t>BEFTN</t>
  </si>
  <si>
    <t>Apr' 23</t>
  </si>
  <si>
    <t>May' 23</t>
  </si>
  <si>
    <t>BR Project</t>
  </si>
  <si>
    <t>BR</t>
  </si>
  <si>
    <t>Chandpur (CDR)</t>
  </si>
  <si>
    <t>Laksham (LKM)</t>
  </si>
  <si>
    <t>Noakhali (NKA)</t>
  </si>
  <si>
    <t>Taka One Lac Seventeen Thousand Five Hundred and Sixty-eight Only</t>
  </si>
  <si>
    <t>Admin/E-bill/Adv/2023/Jul-9/F001</t>
  </si>
  <si>
    <t>Admin/E-bill/BEFTN/2023/Aug-2/F001</t>
  </si>
  <si>
    <t>Chattogram (CTG)</t>
  </si>
  <si>
    <t>Jun' 23</t>
  </si>
  <si>
    <t>Site Code</t>
  </si>
  <si>
    <t>Taka Sixty-six Thousand Two Hundred and Seventy-six Only</t>
  </si>
  <si>
    <t>Akhaura</t>
  </si>
  <si>
    <t>Taka Fifty-seven Thousand One Hundred and Ninty-seven Only</t>
  </si>
  <si>
    <t>Admin/E-bill/BEFTN/2023/Aug-28/F001</t>
  </si>
  <si>
    <t>Admin/E-bill/BEFTN/2023/Aug-30/F001</t>
  </si>
  <si>
    <t>Jul' 23</t>
  </si>
  <si>
    <t>Taka Eighty Thousand Seven Hundred and Twenty-four Only</t>
  </si>
  <si>
    <t>Md. Akif Khan</t>
  </si>
  <si>
    <t>Executive</t>
  </si>
  <si>
    <t>Aug'23</t>
  </si>
  <si>
    <t>Taka Eighty-four Thousand Eight Hundred and Senventy-four Only</t>
  </si>
  <si>
    <t>June' 23</t>
  </si>
  <si>
    <t>Sep'23</t>
  </si>
  <si>
    <t>Admin/E-bill/BEFTN/2023/Sep-30/F001</t>
  </si>
  <si>
    <t>Feni (FNI)</t>
  </si>
  <si>
    <t>Taka One Lac Four Thousand Six Hundred and Eighty-six Only</t>
  </si>
  <si>
    <t>Last Payment Date</t>
  </si>
  <si>
    <t>22-11-2023</t>
  </si>
  <si>
    <t>25-11-2023</t>
  </si>
  <si>
    <t>24-11-2023</t>
  </si>
  <si>
    <t>Aug' 23</t>
  </si>
  <si>
    <t>Taka Twenty-six Thousand and Seventy-eight Taka Only</t>
  </si>
  <si>
    <t>Last Paymnet Date</t>
  </si>
  <si>
    <t>Admin/E-bill/BEFTN/2023/Nov-21/F001</t>
  </si>
  <si>
    <t>06-11-2023</t>
  </si>
  <si>
    <t>Kh Nafiz Rahman</t>
  </si>
  <si>
    <t>Sr Executive</t>
  </si>
  <si>
    <t>Site/ Office/ POP Name</t>
  </si>
  <si>
    <t>Sr.Executive</t>
  </si>
  <si>
    <t>Bogura BR PoP</t>
  </si>
  <si>
    <t>Dinajpur BR PoP</t>
  </si>
  <si>
    <t>Gaibandha BR PoP</t>
  </si>
  <si>
    <t>Lalmonirhat BR PoP</t>
  </si>
  <si>
    <t>Rangpur BR PoP</t>
  </si>
  <si>
    <t>Shantahar BR PoP</t>
  </si>
  <si>
    <t>Last Payment date</t>
  </si>
  <si>
    <t>Ashoke Kumar</t>
  </si>
  <si>
    <t>Bhairab Bazar</t>
  </si>
  <si>
    <t>Admin/E-bill/BEFTN/2023/Jan-24/F002</t>
  </si>
  <si>
    <t>Senior Executive</t>
  </si>
  <si>
    <t>Taka Twenty-Nine Thousand One Hundred and Seventy-Seven Only</t>
  </si>
  <si>
    <t>Admin/E-bill/BEFTN/2023/Jan-24/F003</t>
  </si>
  <si>
    <t>Taka Four Thousand Three Hundred and Thirteen  Only</t>
  </si>
  <si>
    <t>Admin/E-bill/BEFTN/2023/Feb-24/F001</t>
  </si>
  <si>
    <t>Taka Twenty Seven Thousand Two Hundred and Sixty Nine  Only</t>
  </si>
  <si>
    <t>Admin/E-bill/BEFTN/2023/Feb-24/F002</t>
  </si>
  <si>
    <t>Taka Forty Four Thousand Four Hundred and Ninty Seven  Only</t>
  </si>
  <si>
    <t>Bhairab Bazar BR PoP</t>
  </si>
  <si>
    <t>Taka Thirty Eight Thousand Two Hundred and Twenty Six  Only</t>
  </si>
  <si>
    <t>Admin/E-bill/BEFTN/2023/Feb-24/F003</t>
  </si>
  <si>
    <t>Santahar BR PoP</t>
  </si>
  <si>
    <t>Taka Four Thousand Two Hundred and Fifty Eight  Only</t>
  </si>
  <si>
    <t>Rajshahi BR PoP</t>
  </si>
  <si>
    <t>Chapai BR PoP</t>
  </si>
  <si>
    <t>Taka Seven Thousand Five Hundred and Twenty One  Only</t>
  </si>
  <si>
    <t>Admin/E-bill/BEFTN/2024/Mar-24/F001</t>
  </si>
  <si>
    <t>Admin/E-bill/BEFTN/2024/Apr-24/F001</t>
  </si>
  <si>
    <t>Taka Seventeen Thousand Five Hundred and Fourty Seven  Only</t>
  </si>
  <si>
    <r>
      <rPr>
        <b/>
        <sz val="11"/>
        <color theme="1"/>
        <rFont val="Calibri"/>
        <family val="2"/>
        <scheme val="minor"/>
      </rPr>
      <t>Note:</t>
    </r>
    <r>
      <rPr>
        <sz val="11"/>
        <color theme="1"/>
        <rFont val="Calibri"/>
        <family val="2"/>
        <scheme val="minor"/>
      </rPr>
      <t xml:space="preserve"> Due to late collection of Bills couldn't submit it before 1st April 2024. On 1st April Finance stopped bill receiving due to Eid Ul Fitr
From next month these bills will be directly collected by me from authority through Email to avoid LPS</t>
    </r>
  </si>
  <si>
    <t>Chapai Nobabganj BR PoP</t>
  </si>
  <si>
    <t>Taka Eighty Thousand  and Fifty Nine  Only</t>
  </si>
  <si>
    <t>Admin/E-bill/BEFTN/2024/Apr-24/F003</t>
  </si>
  <si>
    <t>Taka Seventy Three Thousand  Five Hundred and Fourteen  Only</t>
  </si>
  <si>
    <t>Admin/E-bill/BEFTN/2023/May-24/F003</t>
  </si>
  <si>
    <t>Taka Twenty Eight Thousand Six Hundred and Fifty Two  Only</t>
  </si>
  <si>
    <t>Admin/E-bill/BEFTN/2024/May-24/F001</t>
  </si>
  <si>
    <t>Taka Fourty Five Thousand Four Hundred and Eighty Seven  Only</t>
  </si>
  <si>
    <t>Taka Thirty Two Thousand  Five Hundred and Twenty  Only</t>
  </si>
  <si>
    <t>Admin/E-bill/BEFTN/2024/May-24/F003</t>
  </si>
  <si>
    <t>Admin/E-bill/BEFTN/2024/Oct-24/F003</t>
  </si>
  <si>
    <t>Taka Two Lac Six Thousand  Four Hundred and Ninty  Only</t>
  </si>
  <si>
    <t>Desig:</t>
  </si>
  <si>
    <t>Taka Two Lac Eleven Thousand  Nine Hundred and Thirty Seven  Only</t>
  </si>
  <si>
    <t>Taka One Lac Forty Eight Thousand  Nine Hundred and Seventy Two  Only</t>
  </si>
  <si>
    <t>Admin/E-bill/BEFTN/2024/Nov-24/F003</t>
  </si>
  <si>
    <t>Taka Fifty Three Thousand  Six Hundred and Ninty Seven  Only</t>
  </si>
  <si>
    <t>Admin/E-bill/BEFTN/2024/Dec-24/F003</t>
  </si>
  <si>
    <t>Taka Twenty Seven Thousand  Seven Hundred and fifty Two  Only</t>
  </si>
  <si>
    <t>Taka  Five Thousand  Nine Hundred and Twenty Six  Only</t>
  </si>
  <si>
    <t>Admin/E-bill/BEFTN/2024/Jan-24/F003</t>
  </si>
  <si>
    <t>Taka Thirty Three Thousand  Five Hundred and Sixty Seven  Only</t>
  </si>
  <si>
    <t>Taka One Lac Forty  Thousand  One Hundred and Thirty  Only</t>
  </si>
  <si>
    <t>Admin/E-bill/BEFTN/2024/Jan-25/F003</t>
  </si>
  <si>
    <t>Taka Twenty Two Thousand  Five Hundred and Eighty Eight  Only</t>
  </si>
  <si>
    <t>Acknowleged By</t>
  </si>
  <si>
    <t>Taka Thirty Six Thousand  Eight Hundred and Ninty  Only</t>
  </si>
  <si>
    <t>Taka One lac Fifty Nine Thousand  Two Hundred and Fifty Nine Only</t>
  </si>
  <si>
    <t>Admin/E-bill/BEFTN/2024/Feb-25/F003</t>
  </si>
  <si>
    <t>Taka Thirty Seven Thousand  Three Hundred and Eighty Eight  Only</t>
  </si>
  <si>
    <t>LPS Amount</t>
  </si>
  <si>
    <t>Taka One Thousand  Eight Hundred and Seventy   Only</t>
  </si>
  <si>
    <t>Note: The Late payment occurred due to a temporary issue where the bill was misplaced or lost during processing, which caused a delay in Submission</t>
  </si>
  <si>
    <t>Admin/E-bill/BEFTN/2024/Feb-24/F003</t>
  </si>
  <si>
    <t>Taka One Lac Twenty Seven Thousand  Four Hundred and Thirty Seven  Only</t>
  </si>
  <si>
    <t>Taka Two Lac Fifty Eight Thousand  Four Hundred and Ninty Only</t>
  </si>
  <si>
    <r>
      <rPr>
        <b/>
        <sz val="11"/>
        <rFont val="Cambria"/>
        <family val="1"/>
      </rPr>
      <t>Note:</t>
    </r>
    <r>
      <rPr>
        <sz val="11"/>
        <rFont val="Cambria"/>
        <family val="1"/>
      </rPr>
      <t xml:space="preserve"> I sincerely apologize for missing the electricity bill for Rangpur BR PoP, Jun 24. This was an oversight on my part, and not a usual occurrence. At that time, Rangpur Sc was missing any admin assistant,Both of the admin assistant from Rangpur Sc was sacked. So during the transition of duties this bill was missed.</t>
    </r>
  </si>
  <si>
    <t>Taka Forty Thousand  Eight Hundred and Sixty Three  Only</t>
  </si>
  <si>
    <t>Note : Due to some internal issue, these bills got late</t>
  </si>
  <si>
    <t xml:space="preserve"> </t>
  </si>
  <si>
    <t>Admin/E-bill/BEFTN/2024/Mar-25/F003</t>
  </si>
  <si>
    <t>Taka Fifty Nine Thousand and Thirty Nine  Only</t>
  </si>
  <si>
    <t>Admin/E-bill/BEFTN/2024/May-25/F003</t>
  </si>
  <si>
    <t>Taka One Lac Seventy Six Thousand  Two Hundred and Eighty Three Only</t>
  </si>
  <si>
    <t>Akhaura BR PoP</t>
  </si>
  <si>
    <t>Toni BR PoP</t>
  </si>
  <si>
    <t>Taka One Lac Thirty Four Thousand Seven Hundred and Fourty Six  Only</t>
  </si>
  <si>
    <t>Taka Sixty Five Thousand Two Hundred and Ninty Eight  Only</t>
  </si>
  <si>
    <t>Admin/E-bill/BEFTN/2024/Jun-25/F003</t>
  </si>
  <si>
    <t>Taka One Lac Sixty Seven Thousand  Three Hundred and Twenty Four Three Only</t>
  </si>
  <si>
    <t>DGM</t>
  </si>
  <si>
    <t>Taka Sixty Nine Thousand Two Hundred and Thirty One  Only</t>
  </si>
  <si>
    <t>Admin/E-bill/BEFTN/2024/Jul-25/F003</t>
  </si>
  <si>
    <t>Taka One Lac Thirty Three Thousand  Eight Hundred and Ninty Two Only</t>
  </si>
  <si>
    <t>Taka Sixty Six Thousand Two Hundred and Ninty  Only</t>
  </si>
  <si>
    <t>Admin/E-bill/BEFTN/2024/Aug-25/F003</t>
  </si>
  <si>
    <t>Taka One Lac FIfty Eight Thousand  Nine Hundred and Three Only</t>
  </si>
  <si>
    <t>Taka Sixty Eight Thousand  Ninty Nine  Only</t>
  </si>
  <si>
    <t>Admin/E-bill/BEFTN/2024/Sep-25/F003</t>
  </si>
  <si>
    <t>Taka Forty  Thousand  Five Hundred and Sixty Five  Only</t>
  </si>
  <si>
    <t>Taka One Lac Ninty One Thousand  Two Hundred and Fourty Seven Only</t>
  </si>
  <si>
    <t>Taka Seventy Three Thousand  Six Hundred and Eighty  Only</t>
  </si>
  <si>
    <t>Taka One Lac Ninty Two Thousand  Nine Hundred and Seventy Four Only</t>
  </si>
  <si>
    <t>Admin/E-bill/BEFTN/2024/OCt-25/F003</t>
  </si>
  <si>
    <t>Taka Seventy Thousand  Six Hundred and Sixty  Only</t>
  </si>
  <si>
    <t>Admin/E-bill/BEFTN/2024/Oct-25/F003</t>
  </si>
  <si>
    <t>Admin/E-bill/BEFTN/2024/Nov-25/F003</t>
  </si>
  <si>
    <t>Taka Forty Three Thousand  Six  Hundred and Forty Four  Only</t>
  </si>
  <si>
    <t>Taka One Lac Seventy Six Thousand  and Ninty One Only</t>
  </si>
  <si>
    <t>Taka Seventy Two Thousand  Six Hundred and Sixty Seven  Only</t>
  </si>
  <si>
    <t>Taka Two Lac Three Thousand Eight Hundred and Twenty Three Only</t>
  </si>
  <si>
    <t>Admin/E-bill/BEFTN/2024/Jan-26/F003</t>
  </si>
  <si>
    <t>Taka One Lac Sixty Eight Thousand Two Hundred and Sixty Six Only</t>
  </si>
  <si>
    <t>Admin/E-bill/BEFTN/2026/Feb-26/F003</t>
  </si>
  <si>
    <t>Taka One Lac Ninty Seven Thousand Four Hundred and Twenty Only</t>
  </si>
  <si>
    <t>Admin/E-bill/BEFTN/2026/Mar-26/F003</t>
  </si>
  <si>
    <t>Taka Twenty Nine Thousand and Thirteen  Only</t>
  </si>
  <si>
    <t>Taka Eighty One Thousand and Sixty One Only</t>
  </si>
  <si>
    <t>Taka Fifty Three Thousand Two Hundred and Ninty Nine Only</t>
  </si>
  <si>
    <t>Akhaura BR</t>
  </si>
  <si>
    <t>Tongi BR</t>
  </si>
  <si>
    <t>Taka Eighty Nine Thousand  Three  Hundred and Thirty Six  Only</t>
  </si>
  <si>
    <t>Admin/E-bill/BEFTN/2024/Apr-26/F003</t>
  </si>
  <si>
    <t>Taka One Lac Forty Two Thousand  Three Hundred and Fourteen Only</t>
  </si>
  <si>
    <t>Taka Sixty Thousand Two Hundred and Twelve Only</t>
  </si>
  <si>
    <t>Taka Thirty Five Thousand  Six  Hundred and Ninty Eight  Only</t>
  </si>
  <si>
    <t>Admin/E-bill/BEFTN/2024/May-26/F003</t>
  </si>
  <si>
    <t>Admin/E-bill/BEFTN/2026/Jun-26/F003</t>
  </si>
  <si>
    <t>Taka Two Lac Forty Six Thousand Seven Hundred and Forty Five Only</t>
  </si>
  <si>
    <t>Admin/E-bill/BEFTN/2024/Jun-26/F003</t>
  </si>
  <si>
    <t>Taka Thirty Six Thousand  Four  Hundred and Ninty Three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</si>
</sst>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F800]dddd\,\ mmmm\ dd\,\ yyyy"/>
    <numFmt numFmtId="165" formatCode="[$-409]d\-mmm\-yy;@"/>
    <numFmt numFmtId="166" formatCode="[$-409]mmm\-yy;@"/>
    <numFmt numFmtId="167" formatCode="_(* #,##0_);_(* \(#,##0\);_(* &quot;-&quot;??_);_(@_)"/>
    <numFmt numFmtId="168" formatCode="[$-409]dd\-mmm\-yy;@"/>
  </numFmts>
  <fonts count="22" x14ac:knownFonts="1">
    <font>
      <sz val="11"/>
      <color theme="1"/>
      <name val="Calibri"/>
      <family val="2"/>
      <scheme val="minor"/>
    </font>
    <font>
      <sz val="11"/>
      <color theme="1"/>
      <name val="Calibri"/>
      <family val="2"/>
      <scheme val="minor"/>
    </font>
    <font>
      <b/>
      <sz val="16"/>
      <color theme="1"/>
      <name val="Cambria"/>
      <family val="1"/>
    </font>
    <font>
      <sz val="11"/>
      <color theme="1"/>
      <name val="Cambria"/>
      <family val="1"/>
    </font>
    <font>
      <b/>
      <sz val="11"/>
      <color theme="1"/>
      <name val="Cambria"/>
      <family val="1"/>
    </font>
    <font>
      <sz val="16"/>
      <color theme="1"/>
      <name val="Cambria"/>
      <family val="1"/>
    </font>
    <font>
      <b/>
      <sz val="11"/>
      <color rgb="FFFF0000"/>
      <name val="Cambria"/>
      <family val="1"/>
    </font>
    <font>
      <b/>
      <sz val="12"/>
      <color theme="1"/>
      <name val="Cambria"/>
      <family val="1"/>
    </font>
    <font>
      <b/>
      <sz val="14"/>
      <color theme="1"/>
      <name val="Cambria"/>
      <family val="1"/>
    </font>
    <font>
      <b/>
      <sz val="10"/>
      <color theme="1"/>
      <name val="Cambria"/>
      <family val="1"/>
    </font>
    <font>
      <sz val="10"/>
      <color theme="1"/>
      <name val="Cambria"/>
      <family val="1"/>
    </font>
    <font>
      <sz val="11"/>
      <name val="Cambria"/>
      <family val="1"/>
    </font>
    <font>
      <sz val="12"/>
      <name val="Cambria"/>
      <family val="1"/>
    </font>
    <font>
      <sz val="11"/>
      <color rgb="FFFF0000"/>
      <name val="Cambria"/>
      <family val="1"/>
    </font>
    <font>
      <sz val="12"/>
      <color theme="1"/>
      <name val="Cambria"/>
      <family val="1"/>
    </font>
    <font>
      <u/>
      <sz val="11"/>
      <color theme="1"/>
      <name val="Cambria"/>
      <family val="1"/>
    </font>
    <font>
      <sz val="9"/>
      <color theme="1"/>
      <name val="Cambria"/>
      <family val="1"/>
    </font>
    <font>
      <b/>
      <sz val="12"/>
      <name val="Cambria"/>
      <family val="1"/>
    </font>
    <font>
      <b/>
      <sz val="10"/>
      <name val="Cambria"/>
      <family val="1"/>
    </font>
    <font>
      <sz val="8"/>
      <name val="Calibri"/>
      <family val="2"/>
      <scheme val="minor"/>
    </font>
    <font>
      <b/>
      <sz val="11"/>
      <color theme="1"/>
      <name val="Calibri"/>
      <family val="2"/>
      <scheme val="minor"/>
    </font>
    <font>
      <b/>
      <sz val="11"/>
      <name val="Cambria"/>
      <family val="1"/>
    </font>
  </fonts>
  <fills count="3">
    <fill>
      <patternFill patternType="none"/>
    </fill>
    <fill>
      <patternFill patternType="gray125"/>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420">
    <xf numFmtId="0" fontId="0" fillId="0" borderId="0" xfId="0"/>
    <xf numFmtId="0" fontId="3" fillId="0" borderId="0" xfId="0" applyFont="1"/>
    <xf numFmtId="0" fontId="4" fillId="0" borderId="1" xfId="0" applyFont="1" applyBorder="1" applyAlignment="1">
      <alignment vertical="center"/>
    </xf>
    <xf numFmtId="43" fontId="3" fillId="0" borderId="0" xfId="1" applyFont="1"/>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0" borderId="0" xfId="0" applyFont="1"/>
    <xf numFmtId="0" fontId="13" fillId="0" borderId="0" xfId="0" applyFont="1"/>
    <xf numFmtId="0" fontId="16" fillId="0" borderId="0" xfId="0" applyFont="1"/>
    <xf numFmtId="166" fontId="12" fillId="0" borderId="1" xfId="0" applyNumberFormat="1" applyFont="1" applyBorder="1" applyAlignment="1">
      <alignment horizontal="center" vertical="center" wrapText="1"/>
    </xf>
    <xf numFmtId="167" fontId="3" fillId="0" borderId="1" xfId="1" applyNumberFormat="1" applyFont="1" applyFill="1" applyBorder="1" applyAlignment="1">
      <alignment horizontal="center" vertical="center"/>
    </xf>
    <xf numFmtId="167" fontId="7" fillId="2" borderId="1" xfId="1" applyNumberFormat="1" applyFont="1" applyFill="1" applyBorder="1" applyAlignment="1">
      <alignment vertical="center"/>
    </xf>
    <xf numFmtId="0" fontId="9" fillId="0" borderId="0" xfId="0" applyFont="1"/>
    <xf numFmtId="0" fontId="4" fillId="0" borderId="0" xfId="0" applyFont="1" applyAlignment="1">
      <alignment vertical="center"/>
    </xf>
    <xf numFmtId="0" fontId="3" fillId="0" borderId="0" xfId="0" applyFont="1" applyAlignment="1">
      <alignment vertical="center"/>
    </xf>
    <xf numFmtId="0" fontId="10" fillId="0" borderId="0" xfId="0" applyFont="1" applyAlignment="1">
      <alignment horizontal="center"/>
    </xf>
    <xf numFmtId="0" fontId="10" fillId="0" borderId="0" xfId="0" applyFont="1" applyAlignment="1">
      <alignment horizontal="center" wrapText="1"/>
    </xf>
    <xf numFmtId="0" fontId="16" fillId="0" borderId="0" xfId="0" applyFont="1" applyAlignment="1">
      <alignment horizontal="center"/>
    </xf>
    <xf numFmtId="0" fontId="16" fillId="0" borderId="0" xfId="0" applyFont="1" applyAlignment="1">
      <alignment horizontal="center" vertical="center"/>
    </xf>
    <xf numFmtId="0" fontId="15" fillId="0" borderId="0" xfId="0" applyFont="1" applyAlignment="1">
      <alignment horizontal="center"/>
    </xf>
    <xf numFmtId="0" fontId="9" fillId="0" borderId="0" xfId="0" applyFont="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11" fillId="0" borderId="5" xfId="0" applyFont="1" applyBorder="1" applyAlignment="1">
      <alignment horizontal="center" vertical="center"/>
    </xf>
    <xf numFmtId="0" fontId="3"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left" vertical="center"/>
    </xf>
    <xf numFmtId="0" fontId="18" fillId="0" borderId="1" xfId="0" applyFont="1" applyBorder="1" applyAlignment="1">
      <alignment horizontal="center" vertical="center"/>
    </xf>
    <xf numFmtId="167" fontId="17" fillId="2" borderId="1" xfId="1" applyNumberFormat="1" applyFont="1" applyFill="1" applyBorder="1" applyAlignment="1">
      <alignment horizontal="center" vertical="center"/>
    </xf>
    <xf numFmtId="1" fontId="12" fillId="0" borderId="1" xfId="0" applyNumberFormat="1" applyFont="1" applyBorder="1" applyAlignment="1">
      <alignment horizontal="center" vertical="center"/>
    </xf>
    <xf numFmtId="1" fontId="12" fillId="0" borderId="5" xfId="0" applyNumberFormat="1" applyFont="1" applyBorder="1" applyAlignment="1">
      <alignment horizontal="center"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7" fontId="17" fillId="2" borderId="5" xfId="1" applyNumberFormat="1" applyFont="1" applyFill="1" applyBorder="1" applyAlignment="1">
      <alignment horizontal="center" vertical="center"/>
    </xf>
    <xf numFmtId="0" fontId="11" fillId="0" borderId="1" xfId="0" applyFont="1" applyBorder="1" applyAlignment="1">
      <alignment horizontal="center" vertical="center"/>
    </xf>
    <xf numFmtId="167" fontId="3" fillId="0" borderId="5" xfId="1" applyNumberFormat="1" applyFont="1" applyFill="1" applyBorder="1" applyAlignment="1">
      <alignment horizontal="center" vertical="center"/>
    </xf>
    <xf numFmtId="49" fontId="12" fillId="0" borderId="1" xfId="0" applyNumberFormat="1" applyFont="1" applyBorder="1" applyAlignment="1">
      <alignment horizontal="center" vertical="center" wrapText="1"/>
    </xf>
    <xf numFmtId="0" fontId="9" fillId="0" borderId="1" xfId="0" applyFont="1" applyBorder="1" applyAlignment="1">
      <alignment horizontal="center" vertical="center"/>
    </xf>
    <xf numFmtId="0" fontId="9" fillId="0" borderId="0" xfId="0" applyFont="1" applyAlignment="1">
      <alignment vertical="center"/>
    </xf>
    <xf numFmtId="0" fontId="4" fillId="0" borderId="2" xfId="0" applyFont="1" applyBorder="1" applyAlignment="1">
      <alignment vertical="center"/>
    </xf>
    <xf numFmtId="0" fontId="9" fillId="0" borderId="12" xfId="0" applyFont="1" applyBorder="1" applyAlignment="1">
      <alignment horizontal="center"/>
    </xf>
    <xf numFmtId="167" fontId="7" fillId="2" borderId="6" xfId="1" applyNumberFormat="1" applyFont="1" applyFill="1" applyBorder="1" applyAlignment="1">
      <alignment vertical="center"/>
    </xf>
    <xf numFmtId="0" fontId="11" fillId="0" borderId="0" xfId="0" applyFont="1" applyAlignment="1">
      <alignment horizontal="center" vertical="center"/>
    </xf>
    <xf numFmtId="0" fontId="4" fillId="0" borderId="11" xfId="0" applyFont="1" applyBorder="1" applyAlignment="1">
      <alignment horizontal="right" vertical="center"/>
    </xf>
    <xf numFmtId="0" fontId="4" fillId="0" borderId="10" xfId="0" applyFont="1" applyBorder="1" applyAlignment="1">
      <alignment horizontal="right" vertical="center"/>
    </xf>
    <xf numFmtId="0" fontId="4" fillId="0" borderId="0" xfId="0" applyFont="1" applyAlignment="1">
      <alignment horizontal="right" vertical="center"/>
    </xf>
    <xf numFmtId="165" fontId="17" fillId="2" borderId="5" xfId="1" applyNumberFormat="1" applyFont="1" applyFill="1" applyBorder="1" applyAlignment="1">
      <alignment horizontal="center" vertical="center"/>
    </xf>
    <xf numFmtId="165" fontId="7" fillId="2" borderId="13" xfId="1" applyNumberFormat="1" applyFont="1" applyFill="1" applyBorder="1" applyAlignment="1">
      <alignment vertical="center"/>
    </xf>
    <xf numFmtId="0" fontId="9" fillId="0" borderId="0" xfId="0" applyFont="1" applyAlignment="1">
      <alignment horizontal="center" vertical="center"/>
    </xf>
    <xf numFmtId="167" fontId="17" fillId="2" borderId="6" xfId="1" applyNumberFormat="1" applyFont="1" applyFill="1" applyBorder="1" applyAlignment="1">
      <alignment horizontal="center" vertical="center"/>
    </xf>
    <xf numFmtId="167" fontId="7" fillId="2" borderId="13" xfId="1" applyNumberFormat="1" applyFont="1" applyFill="1" applyBorder="1" applyAlignment="1">
      <alignment vertical="center"/>
    </xf>
    <xf numFmtId="168" fontId="17" fillId="2" borderId="5" xfId="1" applyNumberFormat="1" applyFont="1" applyFill="1" applyBorder="1" applyAlignment="1">
      <alignment horizontal="center" vertical="center"/>
    </xf>
    <xf numFmtId="168" fontId="17" fillId="2" borderId="1" xfId="1" applyNumberFormat="1" applyFont="1" applyFill="1" applyBorder="1" applyAlignment="1">
      <alignment horizontal="center" vertical="center"/>
    </xf>
    <xf numFmtId="0" fontId="9" fillId="0" borderId="8" xfId="0" applyFont="1" applyBorder="1" applyAlignment="1">
      <alignment horizontal="center" vertical="center"/>
    </xf>
    <xf numFmtId="0" fontId="18" fillId="0" borderId="5" xfId="0" applyFont="1" applyBorder="1" applyAlignment="1">
      <alignment horizontal="center" vertical="center"/>
    </xf>
    <xf numFmtId="1" fontId="12" fillId="0" borderId="11" xfId="0" applyNumberFormat="1" applyFont="1" applyBorder="1" applyAlignment="1">
      <alignment horizontal="center" vertical="center"/>
    </xf>
    <xf numFmtId="0" fontId="18" fillId="0" borderId="11" xfId="0" applyFont="1" applyBorder="1" applyAlignment="1">
      <alignment horizontal="center" vertical="center"/>
    </xf>
    <xf numFmtId="166" fontId="12" fillId="0" borderId="11" xfId="0" applyNumberFormat="1" applyFont="1" applyBorder="1" applyAlignment="1">
      <alignment horizontal="center" vertical="center" wrapText="1"/>
    </xf>
    <xf numFmtId="167" fontId="3" fillId="0" borderId="10" xfId="1" applyNumberFormat="1" applyFont="1" applyFill="1" applyBorder="1" applyAlignment="1">
      <alignment horizontal="center" vertical="center"/>
    </xf>
    <xf numFmtId="165" fontId="12" fillId="0" borderId="11" xfId="0" applyNumberFormat="1" applyFont="1" applyBorder="1" applyAlignment="1">
      <alignment horizontal="center" vertical="center"/>
    </xf>
    <xf numFmtId="165" fontId="17" fillId="2" borderId="14" xfId="1" applyNumberFormat="1" applyFont="1" applyFill="1" applyBorder="1" applyAlignment="1">
      <alignment horizontal="center" vertical="center"/>
    </xf>
    <xf numFmtId="165" fontId="12" fillId="0" borderId="14" xfId="0" applyNumberFormat="1" applyFont="1" applyBorder="1" applyAlignment="1">
      <alignment horizontal="center" vertical="center"/>
    </xf>
    <xf numFmtId="0" fontId="4" fillId="0" borderId="1" xfId="0" applyFont="1" applyBorder="1" applyAlignment="1">
      <alignment horizontal="right" vertical="center"/>
    </xf>
    <xf numFmtId="0" fontId="11" fillId="0" borderId="6" xfId="0" applyFont="1" applyBorder="1" applyAlignment="1">
      <alignment horizontal="center" vertical="center"/>
    </xf>
    <xf numFmtId="167" fontId="17" fillId="2" borderId="2" xfId="1" applyNumberFormat="1" applyFont="1" applyFill="1" applyBorder="1" applyAlignment="1">
      <alignment horizontal="center" vertical="center"/>
    </xf>
    <xf numFmtId="167" fontId="17" fillId="2" borderId="13" xfId="1" applyNumberFormat="1" applyFont="1" applyFill="1" applyBorder="1" applyAlignment="1">
      <alignment horizontal="center" vertical="center"/>
    </xf>
    <xf numFmtId="168" fontId="17" fillId="2" borderId="13" xfId="1" applyNumberFormat="1" applyFont="1" applyFill="1" applyBorder="1" applyAlignment="1">
      <alignment horizontal="center" vertical="center"/>
    </xf>
    <xf numFmtId="0" fontId="11" fillId="0" borderId="0" xfId="0" applyFont="1" applyAlignment="1">
      <alignment vertical="center" wrapText="1"/>
    </xf>
    <xf numFmtId="43" fontId="3" fillId="0" borderId="10" xfId="1" applyFont="1" applyFill="1" applyBorder="1" applyAlignment="1">
      <alignment horizontal="center" vertical="center"/>
    </xf>
    <xf numFmtId="43" fontId="3" fillId="0" borderId="1" xfId="1" applyNumberFormat="1" applyFont="1" applyFill="1" applyBorder="1" applyAlignment="1">
      <alignment horizontal="center" vertical="center"/>
    </xf>
    <xf numFmtId="43" fontId="17" fillId="2" borderId="1" xfId="1" applyNumberFormat="1" applyFont="1" applyFill="1" applyBorder="1" applyAlignment="1">
      <alignment horizontal="center" vertical="center"/>
    </xf>
    <xf numFmtId="168" fontId="17" fillId="2" borderId="2" xfId="1" applyNumberFormat="1" applyFont="1" applyFill="1" applyBorder="1" applyAlignment="1">
      <alignment horizontal="center" vertical="center"/>
    </xf>
    <xf numFmtId="0" fontId="9" fillId="2" borderId="5" xfId="0" applyFont="1" applyFill="1" applyBorder="1" applyAlignment="1">
      <alignment horizontal="center" vertical="center"/>
    </xf>
    <xf numFmtId="165" fontId="12" fillId="0" borderId="19" xfId="0" applyNumberFormat="1" applyFont="1" applyBorder="1" applyAlignment="1">
      <alignment horizontal="center" vertical="center"/>
    </xf>
    <xf numFmtId="0" fontId="9" fillId="0" borderId="19" xfId="0" applyFont="1" applyBorder="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12" xfId="0" applyFont="1" applyBorder="1" applyAlignment="1">
      <alignment horizont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12" xfId="0" applyFont="1" applyBorder="1" applyAlignment="1">
      <alignment horizont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166" fontId="12" fillId="0" borderId="1" xfId="0" applyNumberFormat="1" applyFont="1" applyBorder="1" applyAlignment="1">
      <alignment horizontal="center" vertical="center" wrapText="1"/>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12" xfId="0" applyFont="1" applyBorder="1" applyAlignment="1">
      <alignment horizont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167" fontId="17" fillId="2" borderId="5" xfId="1" applyNumberFormat="1" applyFont="1" applyFill="1" applyBorder="1" applyAlignment="1">
      <alignment horizontal="center" vertical="center"/>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43" fontId="3" fillId="0" borderId="5" xfId="1" applyNumberFormat="1" applyFont="1" applyFill="1" applyBorder="1" applyAlignment="1">
      <alignment horizontal="center" vertical="center"/>
    </xf>
    <xf numFmtId="168" fontId="17" fillId="2" borderId="20" xfId="1" applyNumberFormat="1" applyFont="1" applyFill="1" applyBorder="1" applyAlignment="1">
      <alignment horizontal="center" vertical="center"/>
    </xf>
    <xf numFmtId="0" fontId="0" fillId="0" borderId="1" xfId="0" applyBorder="1"/>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12" xfId="0" applyFont="1" applyBorder="1" applyAlignment="1">
      <alignment horizont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6" fontId="12" fillId="0" borderId="5" xfId="0" applyNumberFormat="1"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0" fontId="18" fillId="0" borderId="5" xfId="0" applyFont="1" applyBorder="1" applyAlignment="1">
      <alignment horizontal="center" vertical="center"/>
    </xf>
    <xf numFmtId="167" fontId="17" fillId="2" borderId="5" xfId="1" applyNumberFormat="1" applyFont="1" applyFill="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167" fontId="11" fillId="0" borderId="0" xfId="0" applyNumberFormat="1" applyFont="1" applyAlignment="1">
      <alignment vertical="center" wrapText="1"/>
    </xf>
    <xf numFmtId="0" fontId="11" fillId="0" borderId="1"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5" xfId="0" applyNumberFormat="1" applyFont="1" applyBorder="1" applyAlignment="1">
      <alignment horizontal="center" vertical="center"/>
    </xf>
    <xf numFmtId="0" fontId="9" fillId="0" borderId="5" xfId="0" applyFont="1" applyBorder="1" applyAlignment="1">
      <alignment horizontal="center" vertical="center"/>
    </xf>
    <xf numFmtId="166" fontId="12" fillId="0" borderId="5"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18" fillId="0" borderId="5" xfId="0" applyFont="1" applyBorder="1" applyAlignment="1">
      <alignment horizontal="center" vertical="center"/>
    </xf>
    <xf numFmtId="1" fontId="12" fillId="0" borderId="5" xfId="0" applyNumberFormat="1" applyFont="1" applyBorder="1" applyAlignment="1">
      <alignment horizontal="center" vertical="center"/>
    </xf>
    <xf numFmtId="0" fontId="9" fillId="0" borderId="12" xfId="0" applyFont="1"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12" xfId="0" applyFont="1" applyBorder="1" applyAlignment="1">
      <alignment horizontal="center"/>
    </xf>
    <xf numFmtId="0" fontId="4" fillId="0" borderId="1" xfId="0" quotePrefix="1" applyFont="1" applyBorder="1" applyAlignment="1">
      <alignment horizontal="left" vertical="center"/>
    </xf>
    <xf numFmtId="0" fontId="4" fillId="0" borderId="1" xfId="0" applyFont="1" applyBorder="1" applyAlignment="1">
      <alignment horizontal="left" vertical="center"/>
    </xf>
    <xf numFmtId="0" fontId="2" fillId="0" borderId="1" xfId="0" applyFont="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3" fillId="0" borderId="1" xfId="0" applyFont="1" applyBorder="1" applyAlignment="1">
      <alignment horizontal="left" vertical="center"/>
    </xf>
    <xf numFmtId="164" fontId="6" fillId="0" borderId="1" xfId="0" applyNumberFormat="1" applyFont="1" applyBorder="1" applyAlignment="1">
      <alignment horizontal="left" vertical="center"/>
    </xf>
    <xf numFmtId="0" fontId="9" fillId="0" borderId="1" xfId="0" applyFont="1" applyBorder="1" applyAlignment="1">
      <alignment horizontal="left" vertical="center"/>
    </xf>
    <xf numFmtId="0" fontId="3"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xf>
    <xf numFmtId="3"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8" fillId="0" borderId="1" xfId="0" applyFont="1" applyBorder="1" applyAlignment="1">
      <alignment horizontal="center" vertical="center"/>
    </xf>
    <xf numFmtId="165" fontId="12" fillId="0" borderId="5" xfId="0" applyNumberFormat="1" applyFont="1" applyBorder="1" applyAlignment="1">
      <alignment horizontal="center" vertical="center"/>
    </xf>
    <xf numFmtId="165" fontId="12" fillId="0" borderId="7" xfId="0" applyNumberFormat="1" applyFont="1" applyBorder="1" applyAlignment="1">
      <alignment horizontal="center" vertical="center"/>
    </xf>
    <xf numFmtId="165" fontId="12" fillId="0" borderId="6" xfId="0" applyNumberFormat="1" applyFont="1" applyBorder="1" applyAlignment="1">
      <alignment horizontal="center" vertical="center"/>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9" fillId="0" borderId="6" xfId="0" applyFont="1" applyBorder="1" applyAlignment="1">
      <alignment horizontal="center" vertical="center"/>
    </xf>
    <xf numFmtId="166" fontId="12" fillId="0" borderId="5" xfId="0" applyNumberFormat="1" applyFont="1" applyBorder="1" applyAlignment="1">
      <alignment horizontal="center" vertical="center" wrapText="1"/>
    </xf>
    <xf numFmtId="166" fontId="12" fillId="0" borderId="7" xfId="0" applyNumberFormat="1" applyFont="1" applyBorder="1" applyAlignment="1">
      <alignment horizontal="center" vertical="center" wrapText="1"/>
    </xf>
    <xf numFmtId="166" fontId="12" fillId="0" borderId="6" xfId="0" applyNumberFormat="1" applyFont="1" applyBorder="1" applyAlignment="1">
      <alignment horizontal="center" vertical="center" wrapText="1"/>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165"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wrapText="1"/>
    </xf>
    <xf numFmtId="0" fontId="9" fillId="0" borderId="9" xfId="0" applyFont="1" applyBorder="1" applyAlignment="1">
      <alignment horizontal="center" vertical="center"/>
    </xf>
    <xf numFmtId="0" fontId="9" fillId="0" borderId="8"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167" fontId="17" fillId="2" borderId="5" xfId="1" applyNumberFormat="1" applyFont="1" applyFill="1" applyBorder="1" applyAlignment="1">
      <alignment horizontal="center" vertical="center"/>
    </xf>
    <xf numFmtId="167" fontId="17" fillId="2" borderId="6" xfId="1" applyNumberFormat="1" applyFont="1" applyFill="1" applyBorder="1" applyAlignment="1">
      <alignment horizontal="center" vertical="center"/>
    </xf>
    <xf numFmtId="0" fontId="18" fillId="0" borderId="7" xfId="0" applyFont="1" applyBorder="1" applyAlignment="1">
      <alignment horizontal="center" vertical="center"/>
    </xf>
    <xf numFmtId="0" fontId="9" fillId="0" borderId="10" xfId="0" applyFont="1" applyBorder="1" applyAlignment="1">
      <alignment horizontal="center" vertical="center"/>
    </xf>
    <xf numFmtId="1" fontId="12" fillId="0" borderId="5" xfId="0" applyNumberFormat="1" applyFont="1" applyBorder="1" applyAlignment="1">
      <alignment horizontal="center" vertical="center"/>
    </xf>
    <xf numFmtId="1" fontId="12" fillId="0" borderId="7" xfId="0" applyNumberFormat="1" applyFont="1" applyBorder="1" applyAlignment="1">
      <alignment horizontal="center" vertical="center"/>
    </xf>
    <xf numFmtId="1" fontId="12" fillId="0" borderId="6" xfId="0" applyNumberFormat="1" applyFont="1" applyBorder="1" applyAlignment="1">
      <alignment horizontal="center" vertical="center"/>
    </xf>
    <xf numFmtId="0" fontId="9" fillId="0" borderId="11" xfId="0" applyFont="1" applyBorder="1" applyAlignment="1">
      <alignment horizontal="left" vertical="center"/>
    </xf>
    <xf numFmtId="0" fontId="9" fillId="0" borderId="10" xfId="0" applyFont="1" applyBorder="1" applyAlignment="1">
      <alignment horizontal="left" vertical="center"/>
    </xf>
    <xf numFmtId="0" fontId="14" fillId="0" borderId="0" xfId="0" applyFont="1" applyAlignment="1">
      <alignment horizontal="center" vertical="center"/>
    </xf>
    <xf numFmtId="0" fontId="9" fillId="0" borderId="12" xfId="0" applyFont="1" applyBorder="1" applyAlignment="1">
      <alignment horizontal="center"/>
    </xf>
    <xf numFmtId="0" fontId="14" fillId="0" borderId="13" xfId="0" applyFont="1" applyBorder="1" applyAlignment="1">
      <alignment horizontal="center" vertical="center"/>
    </xf>
    <xf numFmtId="0" fontId="14" fillId="0" borderId="10" xfId="0" applyFont="1" applyBorder="1" applyAlignment="1">
      <alignment horizontal="center" vertical="center"/>
    </xf>
    <xf numFmtId="0" fontId="0" fillId="0" borderId="1" xfId="0" applyBorder="1" applyAlignment="1">
      <alignment horizontal="center" vertical="top" wrapText="1"/>
    </xf>
    <xf numFmtId="0" fontId="11"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7" xfId="0" applyFont="1" applyBorder="1" applyAlignment="1">
      <alignment horizontal="center" wrapText="1"/>
    </xf>
    <xf numFmtId="0" fontId="3" fillId="0" borderId="18" xfId="0" applyFont="1" applyBorder="1" applyAlignment="1">
      <alignment horizontal="center" wrapText="1"/>
    </xf>
    <xf numFmtId="0" fontId="3" fillId="0" borderId="16" xfId="0" applyFont="1" applyBorder="1" applyAlignment="1">
      <alignment horizontal="center" wrapText="1"/>
    </xf>
    <xf numFmtId="0" fontId="3" fillId="0" borderId="15" xfId="0" applyFont="1" applyBorder="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479D08F2-AD62-4F22-9D16-B9783B411C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800589</xdr:colOff>
      <xdr:row>24</xdr:row>
      <xdr:rowOff>166077</xdr:rowOff>
    </xdr:from>
    <xdr:to>
      <xdr:col>1</xdr:col>
      <xdr:colOff>1087926</xdr:colOff>
      <xdr:row>24</xdr:row>
      <xdr:rowOff>166077</xdr:rowOff>
    </xdr:to>
    <xdr:cxnSp macro="">
      <xdr:nvCxnSpPr>
        <xdr:cNvPr id="3" name="Straight Connector 2">
          <a:extLst>
            <a:ext uri="{FF2B5EF4-FFF2-40B4-BE49-F238E27FC236}">
              <a16:creationId xmlns:a16="http://schemas.microsoft.com/office/drawing/2014/main" id="{E1B513B9-B7CF-4488-81B7-0CFC3AA60E09}"/>
            </a:ext>
          </a:extLst>
        </xdr:cNvPr>
        <xdr:cNvCxnSpPr/>
      </xdr:nvCxnSpPr>
      <xdr:spPr>
        <a:xfrm>
          <a:off x="800589" y="7043615"/>
          <a:ext cx="160618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25</xdr:row>
      <xdr:rowOff>20108</xdr:rowOff>
    </xdr:from>
    <xdr:to>
      <xdr:col>5</xdr:col>
      <xdr:colOff>153987</xdr:colOff>
      <xdr:row>25</xdr:row>
      <xdr:rowOff>20108</xdr:rowOff>
    </xdr:to>
    <xdr:cxnSp macro="">
      <xdr:nvCxnSpPr>
        <xdr:cNvPr id="4" name="Straight Connector 3">
          <a:extLst>
            <a:ext uri="{FF2B5EF4-FFF2-40B4-BE49-F238E27FC236}">
              <a16:creationId xmlns:a16="http://schemas.microsoft.com/office/drawing/2014/main" id="{89536D66-358C-4A53-99A6-36D04B931B2F}"/>
            </a:ext>
          </a:extLst>
        </xdr:cNvPr>
        <xdr:cNvCxnSpPr/>
      </xdr:nvCxnSpPr>
      <xdr:spPr>
        <a:xfrm>
          <a:off x="6408208" y="6852708"/>
          <a:ext cx="18928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1030816</xdr:colOff>
      <xdr:row>24</xdr:row>
      <xdr:rowOff>173566</xdr:rowOff>
    </xdr:from>
    <xdr:to>
      <xdr:col>10</xdr:col>
      <xdr:colOff>936095</xdr:colOff>
      <xdr:row>24</xdr:row>
      <xdr:rowOff>173566</xdr:rowOff>
    </xdr:to>
    <xdr:cxnSp macro="">
      <xdr:nvCxnSpPr>
        <xdr:cNvPr id="5" name="Straight Connector 4">
          <a:extLst>
            <a:ext uri="{FF2B5EF4-FFF2-40B4-BE49-F238E27FC236}">
              <a16:creationId xmlns:a16="http://schemas.microsoft.com/office/drawing/2014/main" id="{4FFC048F-E303-41BC-A1C7-77C5D4A27043}"/>
            </a:ext>
          </a:extLst>
        </xdr:cNvPr>
        <xdr:cNvCxnSpPr/>
      </xdr:nvCxnSpPr>
      <xdr:spPr>
        <a:xfrm>
          <a:off x="13978466" y="7012516"/>
          <a:ext cx="16324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25</xdr:row>
      <xdr:rowOff>21167</xdr:rowOff>
    </xdr:from>
    <xdr:to>
      <xdr:col>3</xdr:col>
      <xdr:colOff>1472671</xdr:colOff>
      <xdr:row>25</xdr:row>
      <xdr:rowOff>21167</xdr:rowOff>
    </xdr:to>
    <xdr:cxnSp macro="">
      <xdr:nvCxnSpPr>
        <xdr:cNvPr id="6" name="Straight Connector 5">
          <a:extLst>
            <a:ext uri="{FF2B5EF4-FFF2-40B4-BE49-F238E27FC236}">
              <a16:creationId xmlns:a16="http://schemas.microsoft.com/office/drawing/2014/main" id="{347DEBD0-4F49-4C71-9B6D-2280D47A2ADA}"/>
            </a:ext>
          </a:extLst>
        </xdr:cNvPr>
        <xdr:cNvCxnSpPr/>
      </xdr:nvCxnSpPr>
      <xdr:spPr>
        <a:xfrm>
          <a:off x="3788833" y="6853767"/>
          <a:ext cx="15890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FF835BC7-CA53-4609-A199-942C196285C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24</xdr:row>
      <xdr:rowOff>0</xdr:rowOff>
    </xdr:from>
    <xdr:to>
      <xdr:col>1</xdr:col>
      <xdr:colOff>306387</xdr:colOff>
      <xdr:row>24</xdr:row>
      <xdr:rowOff>0</xdr:rowOff>
    </xdr:to>
    <xdr:cxnSp macro="">
      <xdr:nvCxnSpPr>
        <xdr:cNvPr id="3" name="Straight Connector 2">
          <a:extLst>
            <a:ext uri="{FF2B5EF4-FFF2-40B4-BE49-F238E27FC236}">
              <a16:creationId xmlns:a16="http://schemas.microsoft.com/office/drawing/2014/main" id="{073C6660-565F-4202-A31C-2747B3B10D1C}"/>
            </a:ext>
          </a:extLst>
        </xdr:cNvPr>
        <xdr:cNvCxnSpPr/>
      </xdr:nvCxnSpPr>
      <xdr:spPr>
        <a:xfrm>
          <a:off x="19050" y="7080250"/>
          <a:ext cx="16017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24</xdr:row>
      <xdr:rowOff>20108</xdr:rowOff>
    </xdr:from>
    <xdr:to>
      <xdr:col>5</xdr:col>
      <xdr:colOff>153987</xdr:colOff>
      <xdr:row>24</xdr:row>
      <xdr:rowOff>20108</xdr:rowOff>
    </xdr:to>
    <xdr:cxnSp macro="">
      <xdr:nvCxnSpPr>
        <xdr:cNvPr id="4" name="Straight Connector 3">
          <a:extLst>
            <a:ext uri="{FF2B5EF4-FFF2-40B4-BE49-F238E27FC236}">
              <a16:creationId xmlns:a16="http://schemas.microsoft.com/office/drawing/2014/main" id="{E032DE90-0959-4B4F-A35A-13809E6925F2}"/>
            </a:ext>
          </a:extLst>
        </xdr:cNvPr>
        <xdr:cNvCxnSpPr/>
      </xdr:nvCxnSpPr>
      <xdr:spPr>
        <a:xfrm>
          <a:off x="6408208" y="7100358"/>
          <a:ext cx="18928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1576916</xdr:colOff>
      <xdr:row>23</xdr:row>
      <xdr:rowOff>179916</xdr:rowOff>
    </xdr:from>
    <xdr:to>
      <xdr:col>9</xdr:col>
      <xdr:colOff>1482195</xdr:colOff>
      <xdr:row>23</xdr:row>
      <xdr:rowOff>179916</xdr:rowOff>
    </xdr:to>
    <xdr:cxnSp macro="">
      <xdr:nvCxnSpPr>
        <xdr:cNvPr id="5" name="Straight Connector 4">
          <a:extLst>
            <a:ext uri="{FF2B5EF4-FFF2-40B4-BE49-F238E27FC236}">
              <a16:creationId xmlns:a16="http://schemas.microsoft.com/office/drawing/2014/main" id="{20206587-B46A-40E2-AF7B-1E70BA8EB469}"/>
            </a:ext>
          </a:extLst>
        </xdr:cNvPr>
        <xdr:cNvCxnSpPr/>
      </xdr:nvCxnSpPr>
      <xdr:spPr>
        <a:xfrm>
          <a:off x="14524566" y="7076016"/>
          <a:ext cx="17785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24</xdr:row>
      <xdr:rowOff>21167</xdr:rowOff>
    </xdr:from>
    <xdr:to>
      <xdr:col>3</xdr:col>
      <xdr:colOff>1472671</xdr:colOff>
      <xdr:row>24</xdr:row>
      <xdr:rowOff>21167</xdr:rowOff>
    </xdr:to>
    <xdr:cxnSp macro="">
      <xdr:nvCxnSpPr>
        <xdr:cNvPr id="6" name="Straight Connector 5">
          <a:extLst>
            <a:ext uri="{FF2B5EF4-FFF2-40B4-BE49-F238E27FC236}">
              <a16:creationId xmlns:a16="http://schemas.microsoft.com/office/drawing/2014/main" id="{237B2CCD-F465-4AB5-8763-21D7DEEFE74E}"/>
            </a:ext>
          </a:extLst>
        </xdr:cNvPr>
        <xdr:cNvCxnSpPr/>
      </xdr:nvCxnSpPr>
      <xdr:spPr>
        <a:xfrm>
          <a:off x="3788833" y="7101417"/>
          <a:ext cx="15890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83E080A6-7B74-4A63-BA71-1FDCC218E6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26</xdr:row>
      <xdr:rowOff>0</xdr:rowOff>
    </xdr:from>
    <xdr:to>
      <xdr:col>1</xdr:col>
      <xdr:colOff>306387</xdr:colOff>
      <xdr:row>26</xdr:row>
      <xdr:rowOff>0</xdr:rowOff>
    </xdr:to>
    <xdr:cxnSp macro="">
      <xdr:nvCxnSpPr>
        <xdr:cNvPr id="3" name="Straight Connector 2">
          <a:extLst>
            <a:ext uri="{FF2B5EF4-FFF2-40B4-BE49-F238E27FC236}">
              <a16:creationId xmlns:a16="http://schemas.microsoft.com/office/drawing/2014/main" id="{725A0CEB-E85E-4134-98C5-3582CDC4F882}"/>
            </a:ext>
          </a:extLst>
        </xdr:cNvPr>
        <xdr:cNvCxnSpPr/>
      </xdr:nvCxnSpPr>
      <xdr:spPr>
        <a:xfrm>
          <a:off x="19050" y="6924675"/>
          <a:ext cx="15446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2502958</xdr:colOff>
      <xdr:row>26</xdr:row>
      <xdr:rowOff>20108</xdr:rowOff>
    </xdr:from>
    <xdr:to>
      <xdr:col>4</xdr:col>
      <xdr:colOff>153987</xdr:colOff>
      <xdr:row>26</xdr:row>
      <xdr:rowOff>20108</xdr:rowOff>
    </xdr:to>
    <xdr:cxnSp macro="">
      <xdr:nvCxnSpPr>
        <xdr:cNvPr id="4" name="Straight Connector 3">
          <a:extLst>
            <a:ext uri="{FF2B5EF4-FFF2-40B4-BE49-F238E27FC236}">
              <a16:creationId xmlns:a16="http://schemas.microsoft.com/office/drawing/2014/main" id="{D0F719FD-00E4-4028-A7BC-22EBCCE92117}"/>
            </a:ext>
          </a:extLst>
        </xdr:cNvPr>
        <xdr:cNvCxnSpPr/>
      </xdr:nvCxnSpPr>
      <xdr:spPr>
        <a:xfrm>
          <a:off x="5541433" y="6944783"/>
          <a:ext cx="16991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1746250</xdr:colOff>
      <xdr:row>25</xdr:row>
      <xdr:rowOff>179916</xdr:rowOff>
    </xdr:from>
    <xdr:to>
      <xdr:col>2</xdr:col>
      <xdr:colOff>1662112</xdr:colOff>
      <xdr:row>25</xdr:row>
      <xdr:rowOff>179916</xdr:rowOff>
    </xdr:to>
    <xdr:cxnSp macro="">
      <xdr:nvCxnSpPr>
        <xdr:cNvPr id="5" name="Straight Connector 4">
          <a:extLst>
            <a:ext uri="{FF2B5EF4-FFF2-40B4-BE49-F238E27FC236}">
              <a16:creationId xmlns:a16="http://schemas.microsoft.com/office/drawing/2014/main" id="{ADACF65C-F8E6-495F-BF89-EB2604950ABA}"/>
            </a:ext>
          </a:extLst>
        </xdr:cNvPr>
        <xdr:cNvCxnSpPr/>
      </xdr:nvCxnSpPr>
      <xdr:spPr>
        <a:xfrm>
          <a:off x="3003550" y="6914091"/>
          <a:ext cx="16970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1576916</xdr:colOff>
      <xdr:row>25</xdr:row>
      <xdr:rowOff>179916</xdr:rowOff>
    </xdr:from>
    <xdr:to>
      <xdr:col>8</xdr:col>
      <xdr:colOff>1482195</xdr:colOff>
      <xdr:row>25</xdr:row>
      <xdr:rowOff>179916</xdr:rowOff>
    </xdr:to>
    <xdr:cxnSp macro="">
      <xdr:nvCxnSpPr>
        <xdr:cNvPr id="6" name="Straight Connector 5">
          <a:extLst>
            <a:ext uri="{FF2B5EF4-FFF2-40B4-BE49-F238E27FC236}">
              <a16:creationId xmlns:a16="http://schemas.microsoft.com/office/drawing/2014/main" id="{679B66B0-6397-4D78-BEAB-AB43C1905992}"/>
            </a:ext>
          </a:extLst>
        </xdr:cNvPr>
        <xdr:cNvCxnSpPr/>
      </xdr:nvCxnSpPr>
      <xdr:spPr>
        <a:xfrm>
          <a:off x="13245041" y="6914091"/>
          <a:ext cx="16959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EBE6BD66-9F3F-4B01-B520-C84CEA321D0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26</xdr:row>
      <xdr:rowOff>0</xdr:rowOff>
    </xdr:from>
    <xdr:to>
      <xdr:col>1</xdr:col>
      <xdr:colOff>306387</xdr:colOff>
      <xdr:row>26</xdr:row>
      <xdr:rowOff>0</xdr:rowOff>
    </xdr:to>
    <xdr:cxnSp macro="">
      <xdr:nvCxnSpPr>
        <xdr:cNvPr id="3" name="Straight Connector 2">
          <a:extLst>
            <a:ext uri="{FF2B5EF4-FFF2-40B4-BE49-F238E27FC236}">
              <a16:creationId xmlns:a16="http://schemas.microsoft.com/office/drawing/2014/main" id="{AF70135D-FD95-4C05-A504-469E8EF8BF51}"/>
            </a:ext>
          </a:extLst>
        </xdr:cNvPr>
        <xdr:cNvCxnSpPr/>
      </xdr:nvCxnSpPr>
      <xdr:spPr>
        <a:xfrm>
          <a:off x="19050" y="7524750"/>
          <a:ext cx="15446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26</xdr:row>
      <xdr:rowOff>20108</xdr:rowOff>
    </xdr:from>
    <xdr:to>
      <xdr:col>5</xdr:col>
      <xdr:colOff>153987</xdr:colOff>
      <xdr:row>26</xdr:row>
      <xdr:rowOff>20108</xdr:rowOff>
    </xdr:to>
    <xdr:cxnSp macro="">
      <xdr:nvCxnSpPr>
        <xdr:cNvPr id="4" name="Straight Connector 3">
          <a:extLst>
            <a:ext uri="{FF2B5EF4-FFF2-40B4-BE49-F238E27FC236}">
              <a16:creationId xmlns:a16="http://schemas.microsoft.com/office/drawing/2014/main" id="{D3637C78-5C0E-4D56-818D-873A2F6783B2}"/>
            </a:ext>
          </a:extLst>
        </xdr:cNvPr>
        <xdr:cNvCxnSpPr/>
      </xdr:nvCxnSpPr>
      <xdr:spPr>
        <a:xfrm>
          <a:off x="5541433" y="7544858"/>
          <a:ext cx="16991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1576916</xdr:colOff>
      <xdr:row>25</xdr:row>
      <xdr:rowOff>179916</xdr:rowOff>
    </xdr:from>
    <xdr:to>
      <xdr:col>9</xdr:col>
      <xdr:colOff>1482195</xdr:colOff>
      <xdr:row>25</xdr:row>
      <xdr:rowOff>179916</xdr:rowOff>
    </xdr:to>
    <xdr:cxnSp macro="">
      <xdr:nvCxnSpPr>
        <xdr:cNvPr id="6" name="Straight Connector 5">
          <a:extLst>
            <a:ext uri="{FF2B5EF4-FFF2-40B4-BE49-F238E27FC236}">
              <a16:creationId xmlns:a16="http://schemas.microsoft.com/office/drawing/2014/main" id="{50F32033-C6B8-4553-A113-B32C558123AA}"/>
            </a:ext>
          </a:extLst>
        </xdr:cNvPr>
        <xdr:cNvCxnSpPr/>
      </xdr:nvCxnSpPr>
      <xdr:spPr>
        <a:xfrm>
          <a:off x="13245041" y="7514166"/>
          <a:ext cx="16959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26</xdr:row>
      <xdr:rowOff>21167</xdr:rowOff>
    </xdr:from>
    <xdr:to>
      <xdr:col>3</xdr:col>
      <xdr:colOff>1472671</xdr:colOff>
      <xdr:row>26</xdr:row>
      <xdr:rowOff>21167</xdr:rowOff>
    </xdr:to>
    <xdr:cxnSp macro="">
      <xdr:nvCxnSpPr>
        <xdr:cNvPr id="7" name="Straight Connector 6">
          <a:extLst>
            <a:ext uri="{FF2B5EF4-FFF2-40B4-BE49-F238E27FC236}">
              <a16:creationId xmlns:a16="http://schemas.microsoft.com/office/drawing/2014/main" id="{5CB57A29-C3C9-451C-B105-C50F73F96ED0}"/>
            </a:ext>
          </a:extLst>
        </xdr:cNvPr>
        <xdr:cNvCxnSpPr/>
      </xdr:nvCxnSpPr>
      <xdr:spPr>
        <a:xfrm>
          <a:off x="3778250" y="7545917"/>
          <a:ext cx="15467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3BFCFDD3-6550-4D55-AC39-D1003FA110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21</xdr:row>
      <xdr:rowOff>0</xdr:rowOff>
    </xdr:from>
    <xdr:to>
      <xdr:col>1</xdr:col>
      <xdr:colOff>306387</xdr:colOff>
      <xdr:row>21</xdr:row>
      <xdr:rowOff>0</xdr:rowOff>
    </xdr:to>
    <xdr:cxnSp macro="">
      <xdr:nvCxnSpPr>
        <xdr:cNvPr id="3" name="Straight Connector 2">
          <a:extLst>
            <a:ext uri="{FF2B5EF4-FFF2-40B4-BE49-F238E27FC236}">
              <a16:creationId xmlns:a16="http://schemas.microsoft.com/office/drawing/2014/main" id="{105F4994-16DF-455B-A2B9-41670B51B97F}"/>
            </a:ext>
          </a:extLst>
        </xdr:cNvPr>
        <xdr:cNvCxnSpPr/>
      </xdr:nvCxnSpPr>
      <xdr:spPr>
        <a:xfrm>
          <a:off x="19050" y="7524750"/>
          <a:ext cx="15446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4" name="Straight Connector 3">
          <a:extLst>
            <a:ext uri="{FF2B5EF4-FFF2-40B4-BE49-F238E27FC236}">
              <a16:creationId xmlns:a16="http://schemas.microsoft.com/office/drawing/2014/main" id="{917C54BE-0563-4845-A738-EB7DA94FADF2}"/>
            </a:ext>
          </a:extLst>
        </xdr:cNvPr>
        <xdr:cNvCxnSpPr/>
      </xdr:nvCxnSpPr>
      <xdr:spPr>
        <a:xfrm>
          <a:off x="6236758" y="7544858"/>
          <a:ext cx="16991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1576916</xdr:colOff>
      <xdr:row>20</xdr:row>
      <xdr:rowOff>179916</xdr:rowOff>
    </xdr:from>
    <xdr:to>
      <xdr:col>9</xdr:col>
      <xdr:colOff>1482195</xdr:colOff>
      <xdr:row>20</xdr:row>
      <xdr:rowOff>179916</xdr:rowOff>
    </xdr:to>
    <xdr:cxnSp macro="">
      <xdr:nvCxnSpPr>
        <xdr:cNvPr id="5" name="Straight Connector 4">
          <a:extLst>
            <a:ext uri="{FF2B5EF4-FFF2-40B4-BE49-F238E27FC236}">
              <a16:creationId xmlns:a16="http://schemas.microsoft.com/office/drawing/2014/main" id="{2A8C367C-C874-4804-A94D-D8B32FE4FAD5}"/>
            </a:ext>
          </a:extLst>
        </xdr:cNvPr>
        <xdr:cNvCxnSpPr/>
      </xdr:nvCxnSpPr>
      <xdr:spPr>
        <a:xfrm>
          <a:off x="13940366" y="7514166"/>
          <a:ext cx="16959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21</xdr:row>
      <xdr:rowOff>21167</xdr:rowOff>
    </xdr:from>
    <xdr:to>
      <xdr:col>3</xdr:col>
      <xdr:colOff>1472671</xdr:colOff>
      <xdr:row>21</xdr:row>
      <xdr:rowOff>21167</xdr:rowOff>
    </xdr:to>
    <xdr:cxnSp macro="">
      <xdr:nvCxnSpPr>
        <xdr:cNvPr id="6" name="Straight Connector 5">
          <a:extLst>
            <a:ext uri="{FF2B5EF4-FFF2-40B4-BE49-F238E27FC236}">
              <a16:creationId xmlns:a16="http://schemas.microsoft.com/office/drawing/2014/main" id="{2C90B74D-8746-47ED-B73D-F237EA75B4DB}"/>
            </a:ext>
          </a:extLst>
        </xdr:cNvPr>
        <xdr:cNvCxnSpPr/>
      </xdr:nvCxnSpPr>
      <xdr:spPr>
        <a:xfrm>
          <a:off x="3655483" y="7545917"/>
          <a:ext cx="15509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9A03353D-6876-485C-825B-B80B75F1792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24</xdr:row>
      <xdr:rowOff>0</xdr:rowOff>
    </xdr:from>
    <xdr:to>
      <xdr:col>1</xdr:col>
      <xdr:colOff>306387</xdr:colOff>
      <xdr:row>24</xdr:row>
      <xdr:rowOff>0</xdr:rowOff>
    </xdr:to>
    <xdr:cxnSp macro="">
      <xdr:nvCxnSpPr>
        <xdr:cNvPr id="3" name="Straight Connector 2">
          <a:extLst>
            <a:ext uri="{FF2B5EF4-FFF2-40B4-BE49-F238E27FC236}">
              <a16:creationId xmlns:a16="http://schemas.microsoft.com/office/drawing/2014/main" id="{73F33A5B-679F-44F5-8846-A1DA8B5E869A}"/>
            </a:ext>
          </a:extLst>
        </xdr:cNvPr>
        <xdr:cNvCxnSpPr/>
      </xdr:nvCxnSpPr>
      <xdr:spPr>
        <a:xfrm>
          <a:off x="19050" y="7524750"/>
          <a:ext cx="15446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24</xdr:row>
      <xdr:rowOff>20108</xdr:rowOff>
    </xdr:from>
    <xdr:to>
      <xdr:col>5</xdr:col>
      <xdr:colOff>153987</xdr:colOff>
      <xdr:row>24</xdr:row>
      <xdr:rowOff>20108</xdr:rowOff>
    </xdr:to>
    <xdr:cxnSp macro="">
      <xdr:nvCxnSpPr>
        <xdr:cNvPr id="4" name="Straight Connector 3">
          <a:extLst>
            <a:ext uri="{FF2B5EF4-FFF2-40B4-BE49-F238E27FC236}">
              <a16:creationId xmlns:a16="http://schemas.microsoft.com/office/drawing/2014/main" id="{D958661D-8756-47EB-BC05-8B2006B75E0E}"/>
            </a:ext>
          </a:extLst>
        </xdr:cNvPr>
        <xdr:cNvCxnSpPr/>
      </xdr:nvCxnSpPr>
      <xdr:spPr>
        <a:xfrm>
          <a:off x="6236758" y="7544858"/>
          <a:ext cx="16991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1576916</xdr:colOff>
      <xdr:row>23</xdr:row>
      <xdr:rowOff>179916</xdr:rowOff>
    </xdr:from>
    <xdr:to>
      <xdr:col>9</xdr:col>
      <xdr:colOff>1482195</xdr:colOff>
      <xdr:row>23</xdr:row>
      <xdr:rowOff>179916</xdr:rowOff>
    </xdr:to>
    <xdr:cxnSp macro="">
      <xdr:nvCxnSpPr>
        <xdr:cNvPr id="5" name="Straight Connector 4">
          <a:extLst>
            <a:ext uri="{FF2B5EF4-FFF2-40B4-BE49-F238E27FC236}">
              <a16:creationId xmlns:a16="http://schemas.microsoft.com/office/drawing/2014/main" id="{5D285AFE-43FB-407C-9E64-C80E97E49F94}"/>
            </a:ext>
          </a:extLst>
        </xdr:cNvPr>
        <xdr:cNvCxnSpPr/>
      </xdr:nvCxnSpPr>
      <xdr:spPr>
        <a:xfrm>
          <a:off x="13940366" y="7514166"/>
          <a:ext cx="16959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24</xdr:row>
      <xdr:rowOff>21167</xdr:rowOff>
    </xdr:from>
    <xdr:to>
      <xdr:col>3</xdr:col>
      <xdr:colOff>1472671</xdr:colOff>
      <xdr:row>24</xdr:row>
      <xdr:rowOff>21167</xdr:rowOff>
    </xdr:to>
    <xdr:cxnSp macro="">
      <xdr:nvCxnSpPr>
        <xdr:cNvPr id="6" name="Straight Connector 5">
          <a:extLst>
            <a:ext uri="{FF2B5EF4-FFF2-40B4-BE49-F238E27FC236}">
              <a16:creationId xmlns:a16="http://schemas.microsoft.com/office/drawing/2014/main" id="{CB9A38D9-4158-47CB-B21A-48322E87F3CE}"/>
            </a:ext>
          </a:extLst>
        </xdr:cNvPr>
        <xdr:cNvCxnSpPr/>
      </xdr:nvCxnSpPr>
      <xdr:spPr>
        <a:xfrm>
          <a:off x="3655483" y="7545917"/>
          <a:ext cx="15509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424E8B36-3D32-4F7C-A7DA-2EAE2963AE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24</xdr:row>
      <xdr:rowOff>0</xdr:rowOff>
    </xdr:from>
    <xdr:to>
      <xdr:col>1</xdr:col>
      <xdr:colOff>306387</xdr:colOff>
      <xdr:row>24</xdr:row>
      <xdr:rowOff>0</xdr:rowOff>
    </xdr:to>
    <xdr:cxnSp macro="">
      <xdr:nvCxnSpPr>
        <xdr:cNvPr id="3" name="Straight Connector 2">
          <a:extLst>
            <a:ext uri="{FF2B5EF4-FFF2-40B4-BE49-F238E27FC236}">
              <a16:creationId xmlns:a16="http://schemas.microsoft.com/office/drawing/2014/main" id="{C79B24F6-70D9-45D3-8886-71EF285ED2C0}"/>
            </a:ext>
          </a:extLst>
        </xdr:cNvPr>
        <xdr:cNvCxnSpPr/>
      </xdr:nvCxnSpPr>
      <xdr:spPr>
        <a:xfrm>
          <a:off x="19050" y="7080250"/>
          <a:ext cx="16017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24</xdr:row>
      <xdr:rowOff>20108</xdr:rowOff>
    </xdr:from>
    <xdr:to>
      <xdr:col>5</xdr:col>
      <xdr:colOff>153987</xdr:colOff>
      <xdr:row>24</xdr:row>
      <xdr:rowOff>20108</xdr:rowOff>
    </xdr:to>
    <xdr:cxnSp macro="">
      <xdr:nvCxnSpPr>
        <xdr:cNvPr id="4" name="Straight Connector 3">
          <a:extLst>
            <a:ext uri="{FF2B5EF4-FFF2-40B4-BE49-F238E27FC236}">
              <a16:creationId xmlns:a16="http://schemas.microsoft.com/office/drawing/2014/main" id="{61D12E3A-D59B-412B-9608-E5B94A67861F}"/>
            </a:ext>
          </a:extLst>
        </xdr:cNvPr>
        <xdr:cNvCxnSpPr/>
      </xdr:nvCxnSpPr>
      <xdr:spPr>
        <a:xfrm>
          <a:off x="6408208" y="7100358"/>
          <a:ext cx="18928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1576916</xdr:colOff>
      <xdr:row>23</xdr:row>
      <xdr:rowOff>179916</xdr:rowOff>
    </xdr:from>
    <xdr:to>
      <xdr:col>9</xdr:col>
      <xdr:colOff>1482195</xdr:colOff>
      <xdr:row>23</xdr:row>
      <xdr:rowOff>179916</xdr:rowOff>
    </xdr:to>
    <xdr:cxnSp macro="">
      <xdr:nvCxnSpPr>
        <xdr:cNvPr id="5" name="Straight Connector 4">
          <a:extLst>
            <a:ext uri="{FF2B5EF4-FFF2-40B4-BE49-F238E27FC236}">
              <a16:creationId xmlns:a16="http://schemas.microsoft.com/office/drawing/2014/main" id="{9263FA6E-0B1C-4070-B735-4DBEC9D183DE}"/>
            </a:ext>
          </a:extLst>
        </xdr:cNvPr>
        <xdr:cNvCxnSpPr/>
      </xdr:nvCxnSpPr>
      <xdr:spPr>
        <a:xfrm>
          <a:off x="14524566" y="7076016"/>
          <a:ext cx="17785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24</xdr:row>
      <xdr:rowOff>21167</xdr:rowOff>
    </xdr:from>
    <xdr:to>
      <xdr:col>3</xdr:col>
      <xdr:colOff>1472671</xdr:colOff>
      <xdr:row>24</xdr:row>
      <xdr:rowOff>21167</xdr:rowOff>
    </xdr:to>
    <xdr:cxnSp macro="">
      <xdr:nvCxnSpPr>
        <xdr:cNvPr id="6" name="Straight Connector 5">
          <a:extLst>
            <a:ext uri="{FF2B5EF4-FFF2-40B4-BE49-F238E27FC236}">
              <a16:creationId xmlns:a16="http://schemas.microsoft.com/office/drawing/2014/main" id="{A22BA409-4070-4CCE-9FEA-9DDBFFC011E0}"/>
            </a:ext>
          </a:extLst>
        </xdr:cNvPr>
        <xdr:cNvCxnSpPr/>
      </xdr:nvCxnSpPr>
      <xdr:spPr>
        <a:xfrm>
          <a:off x="3788833" y="7101417"/>
          <a:ext cx="15890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C1F7B78E-060D-4FAB-8C2F-98B57A3FDDE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21</xdr:row>
      <xdr:rowOff>0</xdr:rowOff>
    </xdr:from>
    <xdr:to>
      <xdr:col>1</xdr:col>
      <xdr:colOff>306387</xdr:colOff>
      <xdr:row>21</xdr:row>
      <xdr:rowOff>0</xdr:rowOff>
    </xdr:to>
    <xdr:cxnSp macro="">
      <xdr:nvCxnSpPr>
        <xdr:cNvPr id="3" name="Straight Connector 2">
          <a:extLst>
            <a:ext uri="{FF2B5EF4-FFF2-40B4-BE49-F238E27FC236}">
              <a16:creationId xmlns:a16="http://schemas.microsoft.com/office/drawing/2014/main" id="{A9EEC541-A89A-44E3-A9F5-CDDCF03C370F}"/>
            </a:ext>
          </a:extLst>
        </xdr:cNvPr>
        <xdr:cNvCxnSpPr/>
      </xdr:nvCxnSpPr>
      <xdr:spPr>
        <a:xfrm>
          <a:off x="19050" y="6508750"/>
          <a:ext cx="16017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115358</xdr:colOff>
      <xdr:row>21</xdr:row>
      <xdr:rowOff>20108</xdr:rowOff>
    </xdr:from>
    <xdr:to>
      <xdr:col>5</xdr:col>
      <xdr:colOff>266876</xdr:colOff>
      <xdr:row>21</xdr:row>
      <xdr:rowOff>20108</xdr:rowOff>
    </xdr:to>
    <xdr:cxnSp macro="">
      <xdr:nvCxnSpPr>
        <xdr:cNvPr id="4" name="Straight Connector 3">
          <a:extLst>
            <a:ext uri="{FF2B5EF4-FFF2-40B4-BE49-F238E27FC236}">
              <a16:creationId xmlns:a16="http://schemas.microsoft.com/office/drawing/2014/main" id="{296E04DA-7662-47CA-83CD-285BE7ED30E5}"/>
            </a:ext>
          </a:extLst>
        </xdr:cNvPr>
        <xdr:cNvCxnSpPr/>
      </xdr:nvCxnSpPr>
      <xdr:spPr>
        <a:xfrm>
          <a:off x="4560358" y="6553552"/>
          <a:ext cx="185190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1576916</xdr:colOff>
      <xdr:row>20</xdr:row>
      <xdr:rowOff>179916</xdr:rowOff>
    </xdr:from>
    <xdr:to>
      <xdr:col>9</xdr:col>
      <xdr:colOff>1482195</xdr:colOff>
      <xdr:row>20</xdr:row>
      <xdr:rowOff>179916</xdr:rowOff>
    </xdr:to>
    <xdr:cxnSp macro="">
      <xdr:nvCxnSpPr>
        <xdr:cNvPr id="5" name="Straight Connector 4">
          <a:extLst>
            <a:ext uri="{FF2B5EF4-FFF2-40B4-BE49-F238E27FC236}">
              <a16:creationId xmlns:a16="http://schemas.microsoft.com/office/drawing/2014/main" id="{465423D9-1A7E-4D9F-8DAF-C3A37FD87D97}"/>
            </a:ext>
          </a:extLst>
        </xdr:cNvPr>
        <xdr:cNvCxnSpPr/>
      </xdr:nvCxnSpPr>
      <xdr:spPr>
        <a:xfrm>
          <a:off x="14524566" y="6504516"/>
          <a:ext cx="17785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21</xdr:row>
      <xdr:rowOff>21167</xdr:rowOff>
    </xdr:from>
    <xdr:to>
      <xdr:col>3</xdr:col>
      <xdr:colOff>1472671</xdr:colOff>
      <xdr:row>21</xdr:row>
      <xdr:rowOff>21167</xdr:rowOff>
    </xdr:to>
    <xdr:cxnSp macro="">
      <xdr:nvCxnSpPr>
        <xdr:cNvPr id="6" name="Straight Connector 5">
          <a:extLst>
            <a:ext uri="{FF2B5EF4-FFF2-40B4-BE49-F238E27FC236}">
              <a16:creationId xmlns:a16="http://schemas.microsoft.com/office/drawing/2014/main" id="{8E030E1F-B28C-4085-841F-75412AAB3D8B}"/>
            </a:ext>
          </a:extLst>
        </xdr:cNvPr>
        <xdr:cNvCxnSpPr/>
      </xdr:nvCxnSpPr>
      <xdr:spPr>
        <a:xfrm>
          <a:off x="3788833" y="6529917"/>
          <a:ext cx="15890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7BDA9809-6B3B-45A6-B9F5-5C1100B713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19050</xdr:colOff>
      <xdr:row>21</xdr:row>
      <xdr:rowOff>0</xdr:rowOff>
    </xdr:from>
    <xdr:to>
      <xdr:col>1</xdr:col>
      <xdr:colOff>306387</xdr:colOff>
      <xdr:row>21</xdr:row>
      <xdr:rowOff>0</xdr:rowOff>
    </xdr:to>
    <xdr:cxnSp macro="">
      <xdr:nvCxnSpPr>
        <xdr:cNvPr id="3" name="Straight Connector 2">
          <a:extLst>
            <a:ext uri="{FF2B5EF4-FFF2-40B4-BE49-F238E27FC236}">
              <a16:creationId xmlns:a16="http://schemas.microsoft.com/office/drawing/2014/main" id="{5B50FC50-708B-45D1-A962-6A523E7EFE58}"/>
            </a:ext>
          </a:extLst>
        </xdr:cNvPr>
        <xdr:cNvCxnSpPr/>
      </xdr:nvCxnSpPr>
      <xdr:spPr>
        <a:xfrm>
          <a:off x="19050" y="6508750"/>
          <a:ext cx="16017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4" name="Straight Connector 3">
          <a:extLst>
            <a:ext uri="{FF2B5EF4-FFF2-40B4-BE49-F238E27FC236}">
              <a16:creationId xmlns:a16="http://schemas.microsoft.com/office/drawing/2014/main" id="{1B8F89AD-074B-4F22-A895-3AC2DDE694D9}"/>
            </a:ext>
          </a:extLst>
        </xdr:cNvPr>
        <xdr:cNvCxnSpPr/>
      </xdr:nvCxnSpPr>
      <xdr:spPr>
        <a:xfrm>
          <a:off x="6408208" y="6528858"/>
          <a:ext cx="18928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550333</xdr:colOff>
      <xdr:row>20</xdr:row>
      <xdr:rowOff>176389</xdr:rowOff>
    </xdr:from>
    <xdr:to>
      <xdr:col>10</xdr:col>
      <xdr:colOff>1241778</xdr:colOff>
      <xdr:row>21</xdr:row>
      <xdr:rowOff>0</xdr:rowOff>
    </xdr:to>
    <xdr:cxnSp macro="">
      <xdr:nvCxnSpPr>
        <xdr:cNvPr id="5" name="Straight Connector 4">
          <a:extLst>
            <a:ext uri="{FF2B5EF4-FFF2-40B4-BE49-F238E27FC236}">
              <a16:creationId xmlns:a16="http://schemas.microsoft.com/office/drawing/2014/main" id="{10983B7F-349C-4652-B51B-9D4AF07C7636}"/>
            </a:ext>
          </a:extLst>
        </xdr:cNvPr>
        <xdr:cNvCxnSpPr/>
      </xdr:nvCxnSpPr>
      <xdr:spPr>
        <a:xfrm flipV="1">
          <a:off x="13130389" y="6096000"/>
          <a:ext cx="2370667" cy="70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21</xdr:row>
      <xdr:rowOff>21167</xdr:rowOff>
    </xdr:from>
    <xdr:to>
      <xdr:col>3</xdr:col>
      <xdr:colOff>1472671</xdr:colOff>
      <xdr:row>21</xdr:row>
      <xdr:rowOff>21167</xdr:rowOff>
    </xdr:to>
    <xdr:cxnSp macro="">
      <xdr:nvCxnSpPr>
        <xdr:cNvPr id="6" name="Straight Connector 5">
          <a:extLst>
            <a:ext uri="{FF2B5EF4-FFF2-40B4-BE49-F238E27FC236}">
              <a16:creationId xmlns:a16="http://schemas.microsoft.com/office/drawing/2014/main" id="{F89322B5-FBB4-41CA-8C38-A9BD2C373E30}"/>
            </a:ext>
          </a:extLst>
        </xdr:cNvPr>
        <xdr:cNvCxnSpPr/>
      </xdr:nvCxnSpPr>
      <xdr:spPr>
        <a:xfrm>
          <a:off x="3788833" y="6529917"/>
          <a:ext cx="15890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A6AB231B-04C3-42A9-8DB1-0FFA6AC3367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25</xdr:row>
      <xdr:rowOff>171450</xdr:rowOff>
    </xdr:from>
    <xdr:to>
      <xdr:col>1</xdr:col>
      <xdr:colOff>300037</xdr:colOff>
      <xdr:row>25</xdr:row>
      <xdr:rowOff>171450</xdr:rowOff>
    </xdr:to>
    <xdr:cxnSp macro="">
      <xdr:nvCxnSpPr>
        <xdr:cNvPr id="3" name="Straight Connector 2">
          <a:extLst>
            <a:ext uri="{FF2B5EF4-FFF2-40B4-BE49-F238E27FC236}">
              <a16:creationId xmlns:a16="http://schemas.microsoft.com/office/drawing/2014/main" id="{1215276A-9D68-46DB-AED7-B6A93EC436ED}"/>
            </a:ext>
          </a:extLst>
        </xdr:cNvPr>
        <xdr:cNvCxnSpPr/>
      </xdr:nvCxnSpPr>
      <xdr:spPr>
        <a:xfrm>
          <a:off x="12700" y="67310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26</xdr:row>
      <xdr:rowOff>20108</xdr:rowOff>
    </xdr:from>
    <xdr:to>
      <xdr:col>5</xdr:col>
      <xdr:colOff>153987</xdr:colOff>
      <xdr:row>26</xdr:row>
      <xdr:rowOff>20108</xdr:rowOff>
    </xdr:to>
    <xdr:cxnSp macro="">
      <xdr:nvCxnSpPr>
        <xdr:cNvPr id="4" name="Straight Connector 3">
          <a:extLst>
            <a:ext uri="{FF2B5EF4-FFF2-40B4-BE49-F238E27FC236}">
              <a16:creationId xmlns:a16="http://schemas.microsoft.com/office/drawing/2014/main" id="{7DA49A6C-380C-4CC6-929C-893FF8365813}"/>
            </a:ext>
          </a:extLst>
        </xdr:cNvPr>
        <xdr:cNvCxnSpPr/>
      </xdr:nvCxnSpPr>
      <xdr:spPr>
        <a:xfrm>
          <a:off x="6408208" y="6528858"/>
          <a:ext cx="18928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26</xdr:row>
      <xdr:rowOff>21167</xdr:rowOff>
    </xdr:from>
    <xdr:to>
      <xdr:col>3</xdr:col>
      <xdr:colOff>1472671</xdr:colOff>
      <xdr:row>26</xdr:row>
      <xdr:rowOff>21167</xdr:rowOff>
    </xdr:to>
    <xdr:cxnSp macro="">
      <xdr:nvCxnSpPr>
        <xdr:cNvPr id="6" name="Straight Connector 5">
          <a:extLst>
            <a:ext uri="{FF2B5EF4-FFF2-40B4-BE49-F238E27FC236}">
              <a16:creationId xmlns:a16="http://schemas.microsoft.com/office/drawing/2014/main" id="{CB3A0FAF-0A3A-465C-AF9D-152590ED81D4}"/>
            </a:ext>
          </a:extLst>
        </xdr:cNvPr>
        <xdr:cNvCxnSpPr/>
      </xdr:nvCxnSpPr>
      <xdr:spPr>
        <a:xfrm>
          <a:off x="3788833" y="6529917"/>
          <a:ext cx="15890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5D3113AC-76BD-480E-8B95-9572DFB362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700299B3-185F-49C0-B266-9E4BB2345E6C}"/>
            </a:ext>
          </a:extLst>
        </xdr:cNvPr>
        <xdr:cNvCxnSpPr/>
      </xdr:nvCxnSpPr>
      <xdr:spPr>
        <a:xfrm>
          <a:off x="12700" y="57594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23</xdr:row>
      <xdr:rowOff>20108</xdr:rowOff>
    </xdr:from>
    <xdr:to>
      <xdr:col>5</xdr:col>
      <xdr:colOff>153987</xdr:colOff>
      <xdr:row>23</xdr:row>
      <xdr:rowOff>20108</xdr:rowOff>
    </xdr:to>
    <xdr:cxnSp macro="">
      <xdr:nvCxnSpPr>
        <xdr:cNvPr id="8" name="Straight Connector 7">
          <a:extLst>
            <a:ext uri="{FF2B5EF4-FFF2-40B4-BE49-F238E27FC236}">
              <a16:creationId xmlns:a16="http://schemas.microsoft.com/office/drawing/2014/main" id="{570B5FAF-BC89-4F44-B569-F5AF3D2E49B7}"/>
            </a:ext>
          </a:extLst>
        </xdr:cNvPr>
        <xdr:cNvCxnSpPr/>
      </xdr:nvCxnSpPr>
      <xdr:spPr>
        <a:xfrm>
          <a:off x="4128558" y="5792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23</xdr:row>
      <xdr:rowOff>21167</xdr:rowOff>
    </xdr:from>
    <xdr:to>
      <xdr:col>3</xdr:col>
      <xdr:colOff>1472671</xdr:colOff>
      <xdr:row>23</xdr:row>
      <xdr:rowOff>21167</xdr:rowOff>
    </xdr:to>
    <xdr:cxnSp macro="">
      <xdr:nvCxnSpPr>
        <xdr:cNvPr id="9" name="Straight Connector 8">
          <a:extLst>
            <a:ext uri="{FF2B5EF4-FFF2-40B4-BE49-F238E27FC236}">
              <a16:creationId xmlns:a16="http://schemas.microsoft.com/office/drawing/2014/main" id="{D0733495-7621-4408-939A-68FD478EB851}"/>
            </a:ext>
          </a:extLst>
        </xdr:cNvPr>
        <xdr:cNvCxnSpPr/>
      </xdr:nvCxnSpPr>
      <xdr:spPr>
        <a:xfrm>
          <a:off x="2556933" y="579331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BF1A71DC-6957-4E96-9330-F7EB8C7233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38FEA283-4825-4913-9D76-85681E265E15}"/>
            </a:ext>
          </a:extLst>
        </xdr:cNvPr>
        <xdr:cNvCxnSpPr/>
      </xdr:nvCxnSpPr>
      <xdr:spPr>
        <a:xfrm>
          <a:off x="12700" y="4724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23</xdr:row>
      <xdr:rowOff>20108</xdr:rowOff>
    </xdr:from>
    <xdr:to>
      <xdr:col>5</xdr:col>
      <xdr:colOff>153987</xdr:colOff>
      <xdr:row>23</xdr:row>
      <xdr:rowOff>20108</xdr:rowOff>
    </xdr:to>
    <xdr:cxnSp macro="">
      <xdr:nvCxnSpPr>
        <xdr:cNvPr id="8" name="Straight Connector 7">
          <a:extLst>
            <a:ext uri="{FF2B5EF4-FFF2-40B4-BE49-F238E27FC236}">
              <a16:creationId xmlns:a16="http://schemas.microsoft.com/office/drawing/2014/main" id="{3DB14E48-8FBD-49C3-90ED-E12C1248FA0B}"/>
            </a:ext>
          </a:extLst>
        </xdr:cNvPr>
        <xdr:cNvCxnSpPr/>
      </xdr:nvCxnSpPr>
      <xdr:spPr>
        <a:xfrm>
          <a:off x="4128558" y="4757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23</xdr:row>
      <xdr:rowOff>21167</xdr:rowOff>
    </xdr:from>
    <xdr:to>
      <xdr:col>3</xdr:col>
      <xdr:colOff>1472671</xdr:colOff>
      <xdr:row>23</xdr:row>
      <xdr:rowOff>21167</xdr:rowOff>
    </xdr:to>
    <xdr:cxnSp macro="">
      <xdr:nvCxnSpPr>
        <xdr:cNvPr id="9" name="Straight Connector 8">
          <a:extLst>
            <a:ext uri="{FF2B5EF4-FFF2-40B4-BE49-F238E27FC236}">
              <a16:creationId xmlns:a16="http://schemas.microsoft.com/office/drawing/2014/main" id="{D0B6115A-5445-49CB-9E1A-77DF6BDDDC56}"/>
            </a:ext>
          </a:extLst>
        </xdr:cNvPr>
        <xdr:cNvCxnSpPr/>
      </xdr:nvCxnSpPr>
      <xdr:spPr>
        <a:xfrm>
          <a:off x="2556933" y="47582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3D17ABDB-4A0E-443F-882D-12FF7346BE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21</xdr:row>
      <xdr:rowOff>171450</xdr:rowOff>
    </xdr:from>
    <xdr:to>
      <xdr:col>1</xdr:col>
      <xdr:colOff>300037</xdr:colOff>
      <xdr:row>21</xdr:row>
      <xdr:rowOff>171450</xdr:rowOff>
    </xdr:to>
    <xdr:cxnSp macro="">
      <xdr:nvCxnSpPr>
        <xdr:cNvPr id="7" name="Straight Connector 6">
          <a:extLst>
            <a:ext uri="{FF2B5EF4-FFF2-40B4-BE49-F238E27FC236}">
              <a16:creationId xmlns:a16="http://schemas.microsoft.com/office/drawing/2014/main" id="{E77317BF-3CB7-49E1-8262-2876FDA73672}"/>
            </a:ext>
          </a:extLst>
        </xdr:cNvPr>
        <xdr:cNvCxnSpPr/>
      </xdr:nvCxnSpPr>
      <xdr:spPr>
        <a:xfrm>
          <a:off x="12700" y="4724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22</xdr:row>
      <xdr:rowOff>20108</xdr:rowOff>
    </xdr:from>
    <xdr:to>
      <xdr:col>5</xdr:col>
      <xdr:colOff>153987</xdr:colOff>
      <xdr:row>22</xdr:row>
      <xdr:rowOff>20108</xdr:rowOff>
    </xdr:to>
    <xdr:cxnSp macro="">
      <xdr:nvCxnSpPr>
        <xdr:cNvPr id="8" name="Straight Connector 7">
          <a:extLst>
            <a:ext uri="{FF2B5EF4-FFF2-40B4-BE49-F238E27FC236}">
              <a16:creationId xmlns:a16="http://schemas.microsoft.com/office/drawing/2014/main" id="{C585B72D-779C-4A26-8D32-605ACACE0CCB}"/>
            </a:ext>
          </a:extLst>
        </xdr:cNvPr>
        <xdr:cNvCxnSpPr/>
      </xdr:nvCxnSpPr>
      <xdr:spPr>
        <a:xfrm>
          <a:off x="4128558" y="4757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22</xdr:row>
      <xdr:rowOff>21167</xdr:rowOff>
    </xdr:from>
    <xdr:to>
      <xdr:col>3</xdr:col>
      <xdr:colOff>1472671</xdr:colOff>
      <xdr:row>22</xdr:row>
      <xdr:rowOff>21167</xdr:rowOff>
    </xdr:to>
    <xdr:cxnSp macro="">
      <xdr:nvCxnSpPr>
        <xdr:cNvPr id="9" name="Straight Connector 8">
          <a:extLst>
            <a:ext uri="{FF2B5EF4-FFF2-40B4-BE49-F238E27FC236}">
              <a16:creationId xmlns:a16="http://schemas.microsoft.com/office/drawing/2014/main" id="{D7A28A4E-AE16-4941-BB6F-0A0E13B893AC}"/>
            </a:ext>
          </a:extLst>
        </xdr:cNvPr>
        <xdr:cNvCxnSpPr/>
      </xdr:nvCxnSpPr>
      <xdr:spPr>
        <a:xfrm>
          <a:off x="2556933" y="47582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83555F7A-609D-4A1C-80F3-4C02CB331F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25</xdr:row>
      <xdr:rowOff>171450</xdr:rowOff>
    </xdr:from>
    <xdr:to>
      <xdr:col>1</xdr:col>
      <xdr:colOff>300037</xdr:colOff>
      <xdr:row>25</xdr:row>
      <xdr:rowOff>171450</xdr:rowOff>
    </xdr:to>
    <xdr:cxnSp macro="">
      <xdr:nvCxnSpPr>
        <xdr:cNvPr id="3" name="Straight Connector 2">
          <a:extLst>
            <a:ext uri="{FF2B5EF4-FFF2-40B4-BE49-F238E27FC236}">
              <a16:creationId xmlns:a16="http://schemas.microsoft.com/office/drawing/2014/main" id="{2669B759-4B30-4C09-A9B5-C224C8F7B8FB}"/>
            </a:ext>
          </a:extLst>
        </xdr:cNvPr>
        <xdr:cNvCxnSpPr/>
      </xdr:nvCxnSpPr>
      <xdr:spPr>
        <a:xfrm>
          <a:off x="12700" y="4724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26</xdr:row>
      <xdr:rowOff>20108</xdr:rowOff>
    </xdr:from>
    <xdr:to>
      <xdr:col>5</xdr:col>
      <xdr:colOff>153987</xdr:colOff>
      <xdr:row>26</xdr:row>
      <xdr:rowOff>20108</xdr:rowOff>
    </xdr:to>
    <xdr:cxnSp macro="">
      <xdr:nvCxnSpPr>
        <xdr:cNvPr id="4" name="Straight Connector 3">
          <a:extLst>
            <a:ext uri="{FF2B5EF4-FFF2-40B4-BE49-F238E27FC236}">
              <a16:creationId xmlns:a16="http://schemas.microsoft.com/office/drawing/2014/main" id="{DB749418-9F6E-4FA5-8CFA-5F436C41E042}"/>
            </a:ext>
          </a:extLst>
        </xdr:cNvPr>
        <xdr:cNvCxnSpPr/>
      </xdr:nvCxnSpPr>
      <xdr:spPr>
        <a:xfrm>
          <a:off x="4128558" y="4757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26</xdr:row>
      <xdr:rowOff>21167</xdr:rowOff>
    </xdr:from>
    <xdr:to>
      <xdr:col>3</xdr:col>
      <xdr:colOff>1472671</xdr:colOff>
      <xdr:row>26</xdr:row>
      <xdr:rowOff>21167</xdr:rowOff>
    </xdr:to>
    <xdr:cxnSp macro="">
      <xdr:nvCxnSpPr>
        <xdr:cNvPr id="5" name="Straight Connector 4">
          <a:extLst>
            <a:ext uri="{FF2B5EF4-FFF2-40B4-BE49-F238E27FC236}">
              <a16:creationId xmlns:a16="http://schemas.microsoft.com/office/drawing/2014/main" id="{E260FD25-7CC5-4FB0-876F-0E61FF0F29B9}"/>
            </a:ext>
          </a:extLst>
        </xdr:cNvPr>
        <xdr:cNvCxnSpPr/>
      </xdr:nvCxnSpPr>
      <xdr:spPr>
        <a:xfrm>
          <a:off x="2556933" y="47582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96965A65-76FD-4F9F-A973-447138F521C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23</xdr:row>
      <xdr:rowOff>171450</xdr:rowOff>
    </xdr:from>
    <xdr:to>
      <xdr:col>1</xdr:col>
      <xdr:colOff>300037</xdr:colOff>
      <xdr:row>23</xdr:row>
      <xdr:rowOff>171450</xdr:rowOff>
    </xdr:to>
    <xdr:cxnSp macro="">
      <xdr:nvCxnSpPr>
        <xdr:cNvPr id="7" name="Straight Connector 6">
          <a:extLst>
            <a:ext uri="{FF2B5EF4-FFF2-40B4-BE49-F238E27FC236}">
              <a16:creationId xmlns:a16="http://schemas.microsoft.com/office/drawing/2014/main" id="{23C5060F-E942-4C16-AE9B-C0C2398EC9B8}"/>
            </a:ext>
          </a:extLst>
        </xdr:cNvPr>
        <xdr:cNvCxnSpPr/>
      </xdr:nvCxnSpPr>
      <xdr:spPr>
        <a:xfrm>
          <a:off x="12700" y="5295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24</xdr:row>
      <xdr:rowOff>20108</xdr:rowOff>
    </xdr:from>
    <xdr:to>
      <xdr:col>5</xdr:col>
      <xdr:colOff>153987</xdr:colOff>
      <xdr:row>24</xdr:row>
      <xdr:rowOff>20108</xdr:rowOff>
    </xdr:to>
    <xdr:cxnSp macro="">
      <xdr:nvCxnSpPr>
        <xdr:cNvPr id="8" name="Straight Connector 7">
          <a:extLst>
            <a:ext uri="{FF2B5EF4-FFF2-40B4-BE49-F238E27FC236}">
              <a16:creationId xmlns:a16="http://schemas.microsoft.com/office/drawing/2014/main" id="{C8E92F18-A3E4-4194-959D-CB32405627E6}"/>
            </a:ext>
          </a:extLst>
        </xdr:cNvPr>
        <xdr:cNvCxnSpPr/>
      </xdr:nvCxnSpPr>
      <xdr:spPr>
        <a:xfrm>
          <a:off x="4128558" y="5328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24</xdr:row>
      <xdr:rowOff>21167</xdr:rowOff>
    </xdr:from>
    <xdr:to>
      <xdr:col>3</xdr:col>
      <xdr:colOff>1472671</xdr:colOff>
      <xdr:row>24</xdr:row>
      <xdr:rowOff>21167</xdr:rowOff>
    </xdr:to>
    <xdr:cxnSp macro="">
      <xdr:nvCxnSpPr>
        <xdr:cNvPr id="9" name="Straight Connector 8">
          <a:extLst>
            <a:ext uri="{FF2B5EF4-FFF2-40B4-BE49-F238E27FC236}">
              <a16:creationId xmlns:a16="http://schemas.microsoft.com/office/drawing/2014/main" id="{3C2418FC-4ADB-4A89-B047-0237F568B835}"/>
            </a:ext>
          </a:extLst>
        </xdr:cNvPr>
        <xdr:cNvCxnSpPr/>
      </xdr:nvCxnSpPr>
      <xdr:spPr>
        <a:xfrm>
          <a:off x="2556933" y="5329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DDFBBED9-9A1D-4DD0-B5EC-65BD715BED7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29</xdr:row>
      <xdr:rowOff>171450</xdr:rowOff>
    </xdr:from>
    <xdr:to>
      <xdr:col>1</xdr:col>
      <xdr:colOff>300037</xdr:colOff>
      <xdr:row>29</xdr:row>
      <xdr:rowOff>171450</xdr:rowOff>
    </xdr:to>
    <xdr:cxnSp macro="">
      <xdr:nvCxnSpPr>
        <xdr:cNvPr id="7" name="Straight Connector 6">
          <a:extLst>
            <a:ext uri="{FF2B5EF4-FFF2-40B4-BE49-F238E27FC236}">
              <a16:creationId xmlns:a16="http://schemas.microsoft.com/office/drawing/2014/main" id="{C5A7AA8B-3AFF-4924-8C3E-1E48E9A3AEA6}"/>
            </a:ext>
          </a:extLst>
        </xdr:cNvPr>
        <xdr:cNvCxnSpPr/>
      </xdr:nvCxnSpPr>
      <xdr:spPr>
        <a:xfrm>
          <a:off x="12700" y="4914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30</xdr:row>
      <xdr:rowOff>20108</xdr:rowOff>
    </xdr:from>
    <xdr:to>
      <xdr:col>5</xdr:col>
      <xdr:colOff>153987</xdr:colOff>
      <xdr:row>30</xdr:row>
      <xdr:rowOff>20108</xdr:rowOff>
    </xdr:to>
    <xdr:cxnSp macro="">
      <xdr:nvCxnSpPr>
        <xdr:cNvPr id="8" name="Straight Connector 7">
          <a:extLst>
            <a:ext uri="{FF2B5EF4-FFF2-40B4-BE49-F238E27FC236}">
              <a16:creationId xmlns:a16="http://schemas.microsoft.com/office/drawing/2014/main" id="{414A4743-67C1-42E6-9FCE-3EB161F35D21}"/>
            </a:ext>
          </a:extLst>
        </xdr:cNvPr>
        <xdr:cNvCxnSpPr/>
      </xdr:nvCxnSpPr>
      <xdr:spPr>
        <a:xfrm>
          <a:off x="4160308" y="4947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30</xdr:row>
      <xdr:rowOff>21167</xdr:rowOff>
    </xdr:from>
    <xdr:to>
      <xdr:col>3</xdr:col>
      <xdr:colOff>1472671</xdr:colOff>
      <xdr:row>30</xdr:row>
      <xdr:rowOff>21167</xdr:rowOff>
    </xdr:to>
    <xdr:cxnSp macro="">
      <xdr:nvCxnSpPr>
        <xdr:cNvPr id="9" name="Straight Connector 8">
          <a:extLst>
            <a:ext uri="{FF2B5EF4-FFF2-40B4-BE49-F238E27FC236}">
              <a16:creationId xmlns:a16="http://schemas.microsoft.com/office/drawing/2014/main" id="{7090832D-E9A5-4D9C-B6C7-46272B60E586}"/>
            </a:ext>
          </a:extLst>
        </xdr:cNvPr>
        <xdr:cNvCxnSpPr/>
      </xdr:nvCxnSpPr>
      <xdr:spPr>
        <a:xfrm>
          <a:off x="2588683" y="4948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AB11EE44-4DE1-4FFF-B1DE-3E92476B4A0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7" name="Straight Connector 6">
          <a:extLst>
            <a:ext uri="{FF2B5EF4-FFF2-40B4-BE49-F238E27FC236}">
              <a16:creationId xmlns:a16="http://schemas.microsoft.com/office/drawing/2014/main" id="{F76CCA72-3DC2-4A91-8CF1-E945E4421885}"/>
            </a:ext>
          </a:extLst>
        </xdr:cNvPr>
        <xdr:cNvCxnSpPr/>
      </xdr:nvCxnSpPr>
      <xdr:spPr>
        <a:xfrm>
          <a:off x="12700" y="4914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8" name="Straight Connector 7">
          <a:extLst>
            <a:ext uri="{FF2B5EF4-FFF2-40B4-BE49-F238E27FC236}">
              <a16:creationId xmlns:a16="http://schemas.microsoft.com/office/drawing/2014/main" id="{AEA17AC5-451D-4527-81C7-80F298CADDB7}"/>
            </a:ext>
          </a:extLst>
        </xdr:cNvPr>
        <xdr:cNvCxnSpPr/>
      </xdr:nvCxnSpPr>
      <xdr:spPr>
        <a:xfrm>
          <a:off x="4160308" y="4947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21</xdr:row>
      <xdr:rowOff>21167</xdr:rowOff>
    </xdr:from>
    <xdr:to>
      <xdr:col>3</xdr:col>
      <xdr:colOff>1472671</xdr:colOff>
      <xdr:row>21</xdr:row>
      <xdr:rowOff>21167</xdr:rowOff>
    </xdr:to>
    <xdr:cxnSp macro="">
      <xdr:nvCxnSpPr>
        <xdr:cNvPr id="9" name="Straight Connector 8">
          <a:extLst>
            <a:ext uri="{FF2B5EF4-FFF2-40B4-BE49-F238E27FC236}">
              <a16:creationId xmlns:a16="http://schemas.microsoft.com/office/drawing/2014/main" id="{9ACA1146-4FC1-4186-BDCB-FF9380A2262A}"/>
            </a:ext>
          </a:extLst>
        </xdr:cNvPr>
        <xdr:cNvCxnSpPr/>
      </xdr:nvCxnSpPr>
      <xdr:spPr>
        <a:xfrm>
          <a:off x="2588683" y="4948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0415A9F3-2F7C-4C84-AE40-73E79A17A7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7" name="Straight Connector 6">
          <a:extLst>
            <a:ext uri="{FF2B5EF4-FFF2-40B4-BE49-F238E27FC236}">
              <a16:creationId xmlns:a16="http://schemas.microsoft.com/office/drawing/2014/main" id="{4C7FB5F1-9477-4B8D-81B7-AC00D9FAC5A3}"/>
            </a:ext>
          </a:extLst>
        </xdr:cNvPr>
        <xdr:cNvCxnSpPr/>
      </xdr:nvCxnSpPr>
      <xdr:spPr>
        <a:xfrm>
          <a:off x="12700" y="4724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8" name="Straight Connector 7">
          <a:extLst>
            <a:ext uri="{FF2B5EF4-FFF2-40B4-BE49-F238E27FC236}">
              <a16:creationId xmlns:a16="http://schemas.microsoft.com/office/drawing/2014/main" id="{45214344-B325-4DC6-A3B5-37B9F8A77696}"/>
            </a:ext>
          </a:extLst>
        </xdr:cNvPr>
        <xdr:cNvCxnSpPr/>
      </xdr:nvCxnSpPr>
      <xdr:spPr>
        <a:xfrm>
          <a:off x="4128558" y="4757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21</xdr:row>
      <xdr:rowOff>21167</xdr:rowOff>
    </xdr:from>
    <xdr:to>
      <xdr:col>3</xdr:col>
      <xdr:colOff>1472671</xdr:colOff>
      <xdr:row>21</xdr:row>
      <xdr:rowOff>21167</xdr:rowOff>
    </xdr:to>
    <xdr:cxnSp macro="">
      <xdr:nvCxnSpPr>
        <xdr:cNvPr id="9" name="Straight Connector 8">
          <a:extLst>
            <a:ext uri="{FF2B5EF4-FFF2-40B4-BE49-F238E27FC236}">
              <a16:creationId xmlns:a16="http://schemas.microsoft.com/office/drawing/2014/main" id="{CCB5B2DE-4194-4F1F-B6B9-F4F64BD2AD9F}"/>
            </a:ext>
          </a:extLst>
        </xdr:cNvPr>
        <xdr:cNvCxnSpPr/>
      </xdr:nvCxnSpPr>
      <xdr:spPr>
        <a:xfrm>
          <a:off x="2556933" y="47582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09E2B869-3A73-4EE7-A9B4-2FDC089D5F2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21</xdr:row>
      <xdr:rowOff>171450</xdr:rowOff>
    </xdr:from>
    <xdr:to>
      <xdr:col>1</xdr:col>
      <xdr:colOff>300037</xdr:colOff>
      <xdr:row>21</xdr:row>
      <xdr:rowOff>171450</xdr:rowOff>
    </xdr:to>
    <xdr:cxnSp macro="">
      <xdr:nvCxnSpPr>
        <xdr:cNvPr id="7" name="Straight Connector 6">
          <a:extLst>
            <a:ext uri="{FF2B5EF4-FFF2-40B4-BE49-F238E27FC236}">
              <a16:creationId xmlns:a16="http://schemas.microsoft.com/office/drawing/2014/main" id="{58224E1F-52CC-4C50-8BC2-693952B30537}"/>
            </a:ext>
          </a:extLst>
        </xdr:cNvPr>
        <xdr:cNvCxnSpPr/>
      </xdr:nvCxnSpPr>
      <xdr:spPr>
        <a:xfrm>
          <a:off x="12700" y="4343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22</xdr:row>
      <xdr:rowOff>20108</xdr:rowOff>
    </xdr:from>
    <xdr:to>
      <xdr:col>5</xdr:col>
      <xdr:colOff>153987</xdr:colOff>
      <xdr:row>22</xdr:row>
      <xdr:rowOff>20108</xdr:rowOff>
    </xdr:to>
    <xdr:cxnSp macro="">
      <xdr:nvCxnSpPr>
        <xdr:cNvPr id="8" name="Straight Connector 7">
          <a:extLst>
            <a:ext uri="{FF2B5EF4-FFF2-40B4-BE49-F238E27FC236}">
              <a16:creationId xmlns:a16="http://schemas.microsoft.com/office/drawing/2014/main" id="{1C3BBB81-FF0D-4C75-9BD8-A867FE7D62BC}"/>
            </a:ext>
          </a:extLst>
        </xdr:cNvPr>
        <xdr:cNvCxnSpPr/>
      </xdr:nvCxnSpPr>
      <xdr:spPr>
        <a:xfrm>
          <a:off x="4128558" y="4376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22</xdr:row>
      <xdr:rowOff>21167</xdr:rowOff>
    </xdr:from>
    <xdr:to>
      <xdr:col>3</xdr:col>
      <xdr:colOff>1472671</xdr:colOff>
      <xdr:row>22</xdr:row>
      <xdr:rowOff>21167</xdr:rowOff>
    </xdr:to>
    <xdr:cxnSp macro="">
      <xdr:nvCxnSpPr>
        <xdr:cNvPr id="9" name="Straight Connector 8">
          <a:extLst>
            <a:ext uri="{FF2B5EF4-FFF2-40B4-BE49-F238E27FC236}">
              <a16:creationId xmlns:a16="http://schemas.microsoft.com/office/drawing/2014/main" id="{F2853B0C-9F6B-41BB-936A-10A23BA5741A}"/>
            </a:ext>
          </a:extLst>
        </xdr:cNvPr>
        <xdr:cNvCxnSpPr/>
      </xdr:nvCxnSpPr>
      <xdr:spPr>
        <a:xfrm>
          <a:off x="2556933" y="43772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C2976C18-9410-4199-B5EF-B2A860AB669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21</xdr:row>
      <xdr:rowOff>171450</xdr:rowOff>
    </xdr:from>
    <xdr:to>
      <xdr:col>1</xdr:col>
      <xdr:colOff>300037</xdr:colOff>
      <xdr:row>21</xdr:row>
      <xdr:rowOff>171450</xdr:rowOff>
    </xdr:to>
    <xdr:cxnSp macro="">
      <xdr:nvCxnSpPr>
        <xdr:cNvPr id="7" name="Straight Connector 6">
          <a:extLst>
            <a:ext uri="{FF2B5EF4-FFF2-40B4-BE49-F238E27FC236}">
              <a16:creationId xmlns:a16="http://schemas.microsoft.com/office/drawing/2014/main" id="{E12A244C-15ED-4857-8817-976AFB21CA6E}"/>
            </a:ext>
          </a:extLst>
        </xdr:cNvPr>
        <xdr:cNvCxnSpPr/>
      </xdr:nvCxnSpPr>
      <xdr:spPr>
        <a:xfrm>
          <a:off x="12700" y="4533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22</xdr:row>
      <xdr:rowOff>20108</xdr:rowOff>
    </xdr:from>
    <xdr:to>
      <xdr:col>5</xdr:col>
      <xdr:colOff>153987</xdr:colOff>
      <xdr:row>22</xdr:row>
      <xdr:rowOff>20108</xdr:rowOff>
    </xdr:to>
    <xdr:cxnSp macro="">
      <xdr:nvCxnSpPr>
        <xdr:cNvPr id="8" name="Straight Connector 7">
          <a:extLst>
            <a:ext uri="{FF2B5EF4-FFF2-40B4-BE49-F238E27FC236}">
              <a16:creationId xmlns:a16="http://schemas.microsoft.com/office/drawing/2014/main" id="{183B358E-15CD-4BA2-98A2-844CA00EA8C8}"/>
            </a:ext>
          </a:extLst>
        </xdr:cNvPr>
        <xdr:cNvCxnSpPr/>
      </xdr:nvCxnSpPr>
      <xdr:spPr>
        <a:xfrm>
          <a:off x="4128558" y="4566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22</xdr:row>
      <xdr:rowOff>21167</xdr:rowOff>
    </xdr:from>
    <xdr:to>
      <xdr:col>3</xdr:col>
      <xdr:colOff>1472671</xdr:colOff>
      <xdr:row>22</xdr:row>
      <xdr:rowOff>21167</xdr:rowOff>
    </xdr:to>
    <xdr:cxnSp macro="">
      <xdr:nvCxnSpPr>
        <xdr:cNvPr id="9" name="Straight Connector 8">
          <a:extLst>
            <a:ext uri="{FF2B5EF4-FFF2-40B4-BE49-F238E27FC236}">
              <a16:creationId xmlns:a16="http://schemas.microsoft.com/office/drawing/2014/main" id="{268EF6FA-21AF-4132-81DB-B25C9F0ACB61}"/>
            </a:ext>
          </a:extLst>
        </xdr:cNvPr>
        <xdr:cNvCxnSpPr/>
      </xdr:nvCxnSpPr>
      <xdr:spPr>
        <a:xfrm>
          <a:off x="2556933" y="4567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2" name="Picture 1" descr="image001">
          <a:extLst>
            <a:ext uri="{FF2B5EF4-FFF2-40B4-BE49-F238E27FC236}">
              <a16:creationId xmlns:a16="http://schemas.microsoft.com/office/drawing/2014/main" id="{E920E57D-014C-4958-9BC3-04463119687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3" name="Straight Connector 2">
          <a:extLst>
            <a:ext uri="{FF2B5EF4-FFF2-40B4-BE49-F238E27FC236}">
              <a16:creationId xmlns:a16="http://schemas.microsoft.com/office/drawing/2014/main" id="{2EC58DF6-7C78-47E6-AFA7-4C1AFC785254}"/>
            </a:ext>
          </a:extLst>
        </xdr:cNvPr>
        <xdr:cNvCxnSpPr/>
      </xdr:nvCxnSpPr>
      <xdr:spPr>
        <a:xfrm>
          <a:off x="12700" y="57594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1679412</xdr:colOff>
      <xdr:row>22</xdr:row>
      <xdr:rowOff>179836</xdr:rowOff>
    </xdr:from>
    <xdr:to>
      <xdr:col>4</xdr:col>
      <xdr:colOff>1787770</xdr:colOff>
      <xdr:row>23</xdr:row>
      <xdr:rowOff>0</xdr:rowOff>
    </xdr:to>
    <xdr:cxnSp macro="">
      <xdr:nvCxnSpPr>
        <xdr:cNvPr id="4" name="Straight Connector 3">
          <a:extLst>
            <a:ext uri="{FF2B5EF4-FFF2-40B4-BE49-F238E27FC236}">
              <a16:creationId xmlns:a16="http://schemas.microsoft.com/office/drawing/2014/main" id="{B931647F-57F8-4785-9933-099B79B1CFC5}"/>
            </a:ext>
          </a:extLst>
        </xdr:cNvPr>
        <xdr:cNvCxnSpPr/>
      </xdr:nvCxnSpPr>
      <xdr:spPr>
        <a:xfrm>
          <a:off x="3647912" y="5484528"/>
          <a:ext cx="1793550" cy="578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55033</xdr:colOff>
      <xdr:row>23</xdr:row>
      <xdr:rowOff>8467</xdr:rowOff>
    </xdr:from>
    <xdr:to>
      <xdr:col>3</xdr:col>
      <xdr:colOff>1529821</xdr:colOff>
      <xdr:row>23</xdr:row>
      <xdr:rowOff>8467</xdr:rowOff>
    </xdr:to>
    <xdr:cxnSp macro="">
      <xdr:nvCxnSpPr>
        <xdr:cNvPr id="5" name="Straight Connector 4">
          <a:extLst>
            <a:ext uri="{FF2B5EF4-FFF2-40B4-BE49-F238E27FC236}">
              <a16:creationId xmlns:a16="http://schemas.microsoft.com/office/drawing/2014/main" id="{20EDE0B2-2CEA-4668-932B-BF9B91FF6DCD}"/>
            </a:ext>
          </a:extLst>
        </xdr:cNvPr>
        <xdr:cNvCxnSpPr/>
      </xdr:nvCxnSpPr>
      <xdr:spPr>
        <a:xfrm>
          <a:off x="2023533" y="547581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CCBD01EB-B4B4-457C-BE34-A7D8B70E8F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1C1D9AE4-9E95-4086-8971-0C181E1D5950}"/>
            </a:ext>
          </a:extLst>
        </xdr:cNvPr>
        <xdr:cNvCxnSpPr/>
      </xdr:nvCxnSpPr>
      <xdr:spPr>
        <a:xfrm>
          <a:off x="12700" y="4724400"/>
          <a:ext cx="1233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1679412</xdr:colOff>
      <xdr:row>22</xdr:row>
      <xdr:rowOff>179836</xdr:rowOff>
    </xdr:from>
    <xdr:to>
      <xdr:col>4</xdr:col>
      <xdr:colOff>1787770</xdr:colOff>
      <xdr:row>23</xdr:row>
      <xdr:rowOff>0</xdr:rowOff>
    </xdr:to>
    <xdr:cxnSp macro="">
      <xdr:nvCxnSpPr>
        <xdr:cNvPr id="8" name="Straight Connector 7">
          <a:extLst>
            <a:ext uri="{FF2B5EF4-FFF2-40B4-BE49-F238E27FC236}">
              <a16:creationId xmlns:a16="http://schemas.microsoft.com/office/drawing/2014/main" id="{8A6F9675-E3FD-4F8C-B31E-C6B9A5A4E2AD}"/>
            </a:ext>
          </a:extLst>
        </xdr:cNvPr>
        <xdr:cNvCxnSpPr/>
      </xdr:nvCxnSpPr>
      <xdr:spPr>
        <a:xfrm>
          <a:off x="3984462" y="4732786"/>
          <a:ext cx="1791108" cy="43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55033</xdr:colOff>
      <xdr:row>23</xdr:row>
      <xdr:rowOff>8467</xdr:rowOff>
    </xdr:from>
    <xdr:to>
      <xdr:col>3</xdr:col>
      <xdr:colOff>1529821</xdr:colOff>
      <xdr:row>23</xdr:row>
      <xdr:rowOff>8467</xdr:rowOff>
    </xdr:to>
    <xdr:cxnSp macro="">
      <xdr:nvCxnSpPr>
        <xdr:cNvPr id="9" name="Straight Connector 8">
          <a:extLst>
            <a:ext uri="{FF2B5EF4-FFF2-40B4-BE49-F238E27FC236}">
              <a16:creationId xmlns:a16="http://schemas.microsoft.com/office/drawing/2014/main" id="{8F3929E6-BE65-4057-917B-8A47FCA23F07}"/>
            </a:ext>
          </a:extLst>
        </xdr:cNvPr>
        <xdr:cNvCxnSpPr/>
      </xdr:nvCxnSpPr>
      <xdr:spPr>
        <a:xfrm>
          <a:off x="2360083" y="47455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523842CF-EDFF-426D-AD9E-83C0702B1BA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55B73877-8EE1-4C33-B623-2FD492F4D91A}"/>
            </a:ext>
          </a:extLst>
        </xdr:cNvPr>
        <xdr:cNvCxnSpPr/>
      </xdr:nvCxnSpPr>
      <xdr:spPr>
        <a:xfrm>
          <a:off x="12700" y="4724400"/>
          <a:ext cx="1233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1679412</xdr:colOff>
      <xdr:row>22</xdr:row>
      <xdr:rowOff>179836</xdr:rowOff>
    </xdr:from>
    <xdr:to>
      <xdr:col>4</xdr:col>
      <xdr:colOff>1787770</xdr:colOff>
      <xdr:row>23</xdr:row>
      <xdr:rowOff>0</xdr:rowOff>
    </xdr:to>
    <xdr:cxnSp macro="">
      <xdr:nvCxnSpPr>
        <xdr:cNvPr id="8" name="Straight Connector 7">
          <a:extLst>
            <a:ext uri="{FF2B5EF4-FFF2-40B4-BE49-F238E27FC236}">
              <a16:creationId xmlns:a16="http://schemas.microsoft.com/office/drawing/2014/main" id="{E5EE2337-3C6F-4FDD-8198-14F3D3F786B2}"/>
            </a:ext>
          </a:extLst>
        </xdr:cNvPr>
        <xdr:cNvCxnSpPr/>
      </xdr:nvCxnSpPr>
      <xdr:spPr>
        <a:xfrm>
          <a:off x="4003512" y="4732786"/>
          <a:ext cx="1791108" cy="43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55033</xdr:colOff>
      <xdr:row>23</xdr:row>
      <xdr:rowOff>8467</xdr:rowOff>
    </xdr:from>
    <xdr:to>
      <xdr:col>3</xdr:col>
      <xdr:colOff>1529821</xdr:colOff>
      <xdr:row>23</xdr:row>
      <xdr:rowOff>8467</xdr:rowOff>
    </xdr:to>
    <xdr:cxnSp macro="">
      <xdr:nvCxnSpPr>
        <xdr:cNvPr id="9" name="Straight Connector 8">
          <a:extLst>
            <a:ext uri="{FF2B5EF4-FFF2-40B4-BE49-F238E27FC236}">
              <a16:creationId xmlns:a16="http://schemas.microsoft.com/office/drawing/2014/main" id="{D2C2425B-9A4C-4754-A0DA-38163C05683F}"/>
            </a:ext>
          </a:extLst>
        </xdr:cNvPr>
        <xdr:cNvCxnSpPr/>
      </xdr:nvCxnSpPr>
      <xdr:spPr>
        <a:xfrm>
          <a:off x="2379133" y="47455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oneCellAnchor>
    <xdr:from>
      <xdr:col>0</xdr:col>
      <xdr:colOff>51858</xdr:colOff>
      <xdr:row>0</xdr:row>
      <xdr:rowOff>0</xdr:rowOff>
    </xdr:from>
    <xdr:ext cx="1190625" cy="457202"/>
    <xdr:pic>
      <xdr:nvPicPr>
        <xdr:cNvPr id="6" name="Picture 5" descr="image001">
          <a:extLst>
            <a:ext uri="{FF2B5EF4-FFF2-40B4-BE49-F238E27FC236}">
              <a16:creationId xmlns:a16="http://schemas.microsoft.com/office/drawing/2014/main" id="{0336CB87-E159-49A1-8142-3912512BC73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8" y="0"/>
          <a:ext cx="1190625" cy="457202"/>
        </a:xfrm>
        <a:prstGeom prst="rect">
          <a:avLst/>
        </a:prstGeom>
        <a:noFill/>
        <a:ln>
          <a:noFill/>
        </a:ln>
      </xdr:spPr>
    </xdr:pic>
    <xdr:clientData/>
  </xdr:oneCellAnchor>
  <xdr:twoCellAnchor>
    <xdr:from>
      <xdr:col>0</xdr:col>
      <xdr:colOff>12700</xdr:colOff>
      <xdr:row>28</xdr:row>
      <xdr:rowOff>171450</xdr:rowOff>
    </xdr:from>
    <xdr:to>
      <xdr:col>1</xdr:col>
      <xdr:colOff>300037</xdr:colOff>
      <xdr:row>28</xdr:row>
      <xdr:rowOff>171450</xdr:rowOff>
    </xdr:to>
    <xdr:cxnSp macro="">
      <xdr:nvCxnSpPr>
        <xdr:cNvPr id="7" name="Straight Connector 6">
          <a:extLst>
            <a:ext uri="{FF2B5EF4-FFF2-40B4-BE49-F238E27FC236}">
              <a16:creationId xmlns:a16="http://schemas.microsoft.com/office/drawing/2014/main" id="{5F6280B3-F4D8-40C2-B204-0A7586A35B9D}"/>
            </a:ext>
          </a:extLst>
        </xdr:cNvPr>
        <xdr:cNvCxnSpPr/>
      </xdr:nvCxnSpPr>
      <xdr:spPr>
        <a:xfrm>
          <a:off x="12700" y="5295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29</xdr:row>
      <xdr:rowOff>20108</xdr:rowOff>
    </xdr:from>
    <xdr:to>
      <xdr:col>5</xdr:col>
      <xdr:colOff>153987</xdr:colOff>
      <xdr:row>29</xdr:row>
      <xdr:rowOff>20108</xdr:rowOff>
    </xdr:to>
    <xdr:cxnSp macro="">
      <xdr:nvCxnSpPr>
        <xdr:cNvPr id="8" name="Straight Connector 7">
          <a:extLst>
            <a:ext uri="{FF2B5EF4-FFF2-40B4-BE49-F238E27FC236}">
              <a16:creationId xmlns:a16="http://schemas.microsoft.com/office/drawing/2014/main" id="{7B829939-7205-430A-A38F-A65776A5CAB5}"/>
            </a:ext>
          </a:extLst>
        </xdr:cNvPr>
        <xdr:cNvCxnSpPr/>
      </xdr:nvCxnSpPr>
      <xdr:spPr>
        <a:xfrm>
          <a:off x="4128558" y="5328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29</xdr:row>
      <xdr:rowOff>21167</xdr:rowOff>
    </xdr:from>
    <xdr:to>
      <xdr:col>3</xdr:col>
      <xdr:colOff>1472671</xdr:colOff>
      <xdr:row>29</xdr:row>
      <xdr:rowOff>21167</xdr:rowOff>
    </xdr:to>
    <xdr:cxnSp macro="">
      <xdr:nvCxnSpPr>
        <xdr:cNvPr id="9" name="Straight Connector 8">
          <a:extLst>
            <a:ext uri="{FF2B5EF4-FFF2-40B4-BE49-F238E27FC236}">
              <a16:creationId xmlns:a16="http://schemas.microsoft.com/office/drawing/2014/main" id="{38C2098F-F202-4EBD-90B6-47046BE2DDB8}"/>
            </a:ext>
          </a:extLst>
        </xdr:cNvPr>
        <xdr:cNvCxnSpPr/>
      </xdr:nvCxnSpPr>
      <xdr:spPr>
        <a:xfrm>
          <a:off x="2556933" y="5329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258FE756-7741-4CF4-BD79-B746A02947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28</xdr:row>
      <xdr:rowOff>171450</xdr:rowOff>
    </xdr:from>
    <xdr:to>
      <xdr:col>1</xdr:col>
      <xdr:colOff>300037</xdr:colOff>
      <xdr:row>28</xdr:row>
      <xdr:rowOff>171450</xdr:rowOff>
    </xdr:to>
    <xdr:cxnSp macro="">
      <xdr:nvCxnSpPr>
        <xdr:cNvPr id="7" name="Straight Connector 6">
          <a:extLst>
            <a:ext uri="{FF2B5EF4-FFF2-40B4-BE49-F238E27FC236}">
              <a16:creationId xmlns:a16="http://schemas.microsoft.com/office/drawing/2014/main" id="{1BBFB844-F6B4-4535-8552-5B3F51025B15}"/>
            </a:ext>
          </a:extLst>
        </xdr:cNvPr>
        <xdr:cNvCxnSpPr/>
      </xdr:nvCxnSpPr>
      <xdr:spPr>
        <a:xfrm>
          <a:off x="12700" y="5867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29</xdr:row>
      <xdr:rowOff>20108</xdr:rowOff>
    </xdr:from>
    <xdr:to>
      <xdr:col>5</xdr:col>
      <xdr:colOff>153987</xdr:colOff>
      <xdr:row>29</xdr:row>
      <xdr:rowOff>20108</xdr:rowOff>
    </xdr:to>
    <xdr:cxnSp macro="">
      <xdr:nvCxnSpPr>
        <xdr:cNvPr id="8" name="Straight Connector 7">
          <a:extLst>
            <a:ext uri="{FF2B5EF4-FFF2-40B4-BE49-F238E27FC236}">
              <a16:creationId xmlns:a16="http://schemas.microsoft.com/office/drawing/2014/main" id="{13C1B1BF-E2B8-49FE-9B62-0E3A59EB483B}"/>
            </a:ext>
          </a:extLst>
        </xdr:cNvPr>
        <xdr:cNvCxnSpPr/>
      </xdr:nvCxnSpPr>
      <xdr:spPr>
        <a:xfrm>
          <a:off x="4128558" y="5900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29</xdr:row>
      <xdr:rowOff>21167</xdr:rowOff>
    </xdr:from>
    <xdr:to>
      <xdr:col>3</xdr:col>
      <xdr:colOff>1472671</xdr:colOff>
      <xdr:row>29</xdr:row>
      <xdr:rowOff>21167</xdr:rowOff>
    </xdr:to>
    <xdr:cxnSp macro="">
      <xdr:nvCxnSpPr>
        <xdr:cNvPr id="9" name="Straight Connector 8">
          <a:extLst>
            <a:ext uri="{FF2B5EF4-FFF2-40B4-BE49-F238E27FC236}">
              <a16:creationId xmlns:a16="http://schemas.microsoft.com/office/drawing/2014/main" id="{00682CEA-B6A2-4C1A-A66C-22CD2E5577AB}"/>
            </a:ext>
          </a:extLst>
        </xdr:cNvPr>
        <xdr:cNvCxnSpPr/>
      </xdr:nvCxnSpPr>
      <xdr:spPr>
        <a:xfrm>
          <a:off x="2556933" y="59012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0E61CEFF-ED7B-486A-9C43-EE07C7CCA11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828193DC-27B1-45DF-B091-B504DD097E32}"/>
            </a:ext>
          </a:extLst>
        </xdr:cNvPr>
        <xdr:cNvCxnSpPr/>
      </xdr:nvCxnSpPr>
      <xdr:spPr>
        <a:xfrm>
          <a:off x="12700" y="5930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23</xdr:row>
      <xdr:rowOff>20108</xdr:rowOff>
    </xdr:from>
    <xdr:to>
      <xdr:col>5</xdr:col>
      <xdr:colOff>153987</xdr:colOff>
      <xdr:row>23</xdr:row>
      <xdr:rowOff>20108</xdr:rowOff>
    </xdr:to>
    <xdr:cxnSp macro="">
      <xdr:nvCxnSpPr>
        <xdr:cNvPr id="8" name="Straight Connector 7">
          <a:extLst>
            <a:ext uri="{FF2B5EF4-FFF2-40B4-BE49-F238E27FC236}">
              <a16:creationId xmlns:a16="http://schemas.microsoft.com/office/drawing/2014/main" id="{69A6BD80-7C7E-4C8A-BA93-901D3794ECD3}"/>
            </a:ext>
          </a:extLst>
        </xdr:cNvPr>
        <xdr:cNvCxnSpPr/>
      </xdr:nvCxnSpPr>
      <xdr:spPr>
        <a:xfrm>
          <a:off x="4128558" y="5963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23</xdr:row>
      <xdr:rowOff>21167</xdr:rowOff>
    </xdr:from>
    <xdr:to>
      <xdr:col>3</xdr:col>
      <xdr:colOff>1472671</xdr:colOff>
      <xdr:row>23</xdr:row>
      <xdr:rowOff>21167</xdr:rowOff>
    </xdr:to>
    <xdr:cxnSp macro="">
      <xdr:nvCxnSpPr>
        <xdr:cNvPr id="9" name="Straight Connector 8">
          <a:extLst>
            <a:ext uri="{FF2B5EF4-FFF2-40B4-BE49-F238E27FC236}">
              <a16:creationId xmlns:a16="http://schemas.microsoft.com/office/drawing/2014/main" id="{C895A640-C107-444D-8770-CDFA92886101}"/>
            </a:ext>
          </a:extLst>
        </xdr:cNvPr>
        <xdr:cNvCxnSpPr/>
      </xdr:nvCxnSpPr>
      <xdr:spPr>
        <a:xfrm>
          <a:off x="2556933" y="5964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45F14C3A-0547-45E2-8825-8274969A85F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69D7369D-746E-478A-B82B-443BBC1C0826}"/>
            </a:ext>
          </a:extLst>
        </xdr:cNvPr>
        <xdr:cNvCxnSpPr/>
      </xdr:nvCxnSpPr>
      <xdr:spPr>
        <a:xfrm>
          <a:off x="12700" y="48006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23</xdr:row>
      <xdr:rowOff>20108</xdr:rowOff>
    </xdr:from>
    <xdr:to>
      <xdr:col>5</xdr:col>
      <xdr:colOff>153987</xdr:colOff>
      <xdr:row>23</xdr:row>
      <xdr:rowOff>20108</xdr:rowOff>
    </xdr:to>
    <xdr:cxnSp macro="">
      <xdr:nvCxnSpPr>
        <xdr:cNvPr id="8" name="Straight Connector 7">
          <a:extLst>
            <a:ext uri="{FF2B5EF4-FFF2-40B4-BE49-F238E27FC236}">
              <a16:creationId xmlns:a16="http://schemas.microsoft.com/office/drawing/2014/main" id="{C4F879A9-056E-4A5D-A1E6-5621E147C66F}"/>
            </a:ext>
          </a:extLst>
        </xdr:cNvPr>
        <xdr:cNvCxnSpPr/>
      </xdr:nvCxnSpPr>
      <xdr:spPr>
        <a:xfrm>
          <a:off x="4141258" y="48334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4C233F60-0724-4CB0-9EBC-7AC95D8FCCA8}"/>
            </a:ext>
          </a:extLst>
        </xdr:cNvPr>
        <xdr:cNvCxnSpPr/>
      </xdr:nvCxnSpPr>
      <xdr:spPr>
        <a:xfrm>
          <a:off x="156633" y="63965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7AE7E9A5-5E1B-4299-92A1-CC7E951C19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21</xdr:row>
      <xdr:rowOff>171450</xdr:rowOff>
    </xdr:from>
    <xdr:to>
      <xdr:col>1</xdr:col>
      <xdr:colOff>300037</xdr:colOff>
      <xdr:row>21</xdr:row>
      <xdr:rowOff>171450</xdr:rowOff>
    </xdr:to>
    <xdr:cxnSp macro="">
      <xdr:nvCxnSpPr>
        <xdr:cNvPr id="7" name="Straight Connector 6">
          <a:extLst>
            <a:ext uri="{FF2B5EF4-FFF2-40B4-BE49-F238E27FC236}">
              <a16:creationId xmlns:a16="http://schemas.microsoft.com/office/drawing/2014/main" id="{C23ECA23-FE44-4A1E-B930-6098497E253C}"/>
            </a:ext>
          </a:extLst>
        </xdr:cNvPr>
        <xdr:cNvCxnSpPr/>
      </xdr:nvCxnSpPr>
      <xdr:spPr>
        <a:xfrm>
          <a:off x="12700" y="48006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22</xdr:row>
      <xdr:rowOff>20108</xdr:rowOff>
    </xdr:from>
    <xdr:to>
      <xdr:col>5</xdr:col>
      <xdr:colOff>153987</xdr:colOff>
      <xdr:row>22</xdr:row>
      <xdr:rowOff>20108</xdr:rowOff>
    </xdr:to>
    <xdr:cxnSp macro="">
      <xdr:nvCxnSpPr>
        <xdr:cNvPr id="8" name="Straight Connector 7">
          <a:extLst>
            <a:ext uri="{FF2B5EF4-FFF2-40B4-BE49-F238E27FC236}">
              <a16:creationId xmlns:a16="http://schemas.microsoft.com/office/drawing/2014/main" id="{0A2BC520-B181-47F1-884B-05A68B0C66BB}"/>
            </a:ext>
          </a:extLst>
        </xdr:cNvPr>
        <xdr:cNvCxnSpPr/>
      </xdr:nvCxnSpPr>
      <xdr:spPr>
        <a:xfrm>
          <a:off x="4141258" y="48334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22</xdr:row>
      <xdr:rowOff>21167</xdr:rowOff>
    </xdr:from>
    <xdr:to>
      <xdr:col>3</xdr:col>
      <xdr:colOff>1472671</xdr:colOff>
      <xdr:row>22</xdr:row>
      <xdr:rowOff>21167</xdr:rowOff>
    </xdr:to>
    <xdr:cxnSp macro="">
      <xdr:nvCxnSpPr>
        <xdr:cNvPr id="9" name="Straight Connector 8">
          <a:extLst>
            <a:ext uri="{FF2B5EF4-FFF2-40B4-BE49-F238E27FC236}">
              <a16:creationId xmlns:a16="http://schemas.microsoft.com/office/drawing/2014/main" id="{CF763141-4AF6-4CAE-B158-845D0720A455}"/>
            </a:ext>
          </a:extLst>
        </xdr:cNvPr>
        <xdr:cNvCxnSpPr/>
      </xdr:nvCxnSpPr>
      <xdr:spPr>
        <a:xfrm>
          <a:off x="2569633" y="48344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54F05A56-2586-4D00-A601-AE1B9E40389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7" name="Straight Connector 6">
          <a:extLst>
            <a:ext uri="{FF2B5EF4-FFF2-40B4-BE49-F238E27FC236}">
              <a16:creationId xmlns:a16="http://schemas.microsoft.com/office/drawing/2014/main" id="{57E56337-B8C1-4E04-B135-80AFCB97D81E}"/>
            </a:ext>
          </a:extLst>
        </xdr:cNvPr>
        <xdr:cNvCxnSpPr/>
      </xdr:nvCxnSpPr>
      <xdr:spPr>
        <a:xfrm>
          <a:off x="12700" y="4724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8" name="Straight Connector 7">
          <a:extLst>
            <a:ext uri="{FF2B5EF4-FFF2-40B4-BE49-F238E27FC236}">
              <a16:creationId xmlns:a16="http://schemas.microsoft.com/office/drawing/2014/main" id="{15042BBD-0031-40A0-B36F-9457A10644D2}"/>
            </a:ext>
          </a:extLst>
        </xdr:cNvPr>
        <xdr:cNvCxnSpPr/>
      </xdr:nvCxnSpPr>
      <xdr:spPr>
        <a:xfrm>
          <a:off x="4141258" y="4757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21</xdr:row>
      <xdr:rowOff>21167</xdr:rowOff>
    </xdr:from>
    <xdr:to>
      <xdr:col>3</xdr:col>
      <xdr:colOff>1472671</xdr:colOff>
      <xdr:row>21</xdr:row>
      <xdr:rowOff>21167</xdr:rowOff>
    </xdr:to>
    <xdr:cxnSp macro="">
      <xdr:nvCxnSpPr>
        <xdr:cNvPr id="9" name="Straight Connector 8">
          <a:extLst>
            <a:ext uri="{FF2B5EF4-FFF2-40B4-BE49-F238E27FC236}">
              <a16:creationId xmlns:a16="http://schemas.microsoft.com/office/drawing/2014/main" id="{5E5DC541-464B-4230-B056-9F58BA0A5F1B}"/>
            </a:ext>
          </a:extLst>
        </xdr:cNvPr>
        <xdr:cNvCxnSpPr/>
      </xdr:nvCxnSpPr>
      <xdr:spPr>
        <a:xfrm>
          <a:off x="2569633" y="47582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52D9AF45-D049-4A2B-A645-EF27C823FAF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25</xdr:row>
      <xdr:rowOff>171450</xdr:rowOff>
    </xdr:from>
    <xdr:to>
      <xdr:col>1</xdr:col>
      <xdr:colOff>300037</xdr:colOff>
      <xdr:row>25</xdr:row>
      <xdr:rowOff>171450</xdr:rowOff>
    </xdr:to>
    <xdr:cxnSp macro="">
      <xdr:nvCxnSpPr>
        <xdr:cNvPr id="7" name="Straight Connector 6">
          <a:extLst>
            <a:ext uri="{FF2B5EF4-FFF2-40B4-BE49-F238E27FC236}">
              <a16:creationId xmlns:a16="http://schemas.microsoft.com/office/drawing/2014/main" id="{6011C169-8107-4956-8BDE-CBC045DBA194}"/>
            </a:ext>
          </a:extLst>
        </xdr:cNvPr>
        <xdr:cNvCxnSpPr/>
      </xdr:nvCxnSpPr>
      <xdr:spPr>
        <a:xfrm>
          <a:off x="12700" y="5930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26</xdr:row>
      <xdr:rowOff>20108</xdr:rowOff>
    </xdr:from>
    <xdr:to>
      <xdr:col>5</xdr:col>
      <xdr:colOff>153987</xdr:colOff>
      <xdr:row>26</xdr:row>
      <xdr:rowOff>20108</xdr:rowOff>
    </xdr:to>
    <xdr:cxnSp macro="">
      <xdr:nvCxnSpPr>
        <xdr:cNvPr id="8" name="Straight Connector 7">
          <a:extLst>
            <a:ext uri="{FF2B5EF4-FFF2-40B4-BE49-F238E27FC236}">
              <a16:creationId xmlns:a16="http://schemas.microsoft.com/office/drawing/2014/main" id="{A3336CD0-EA0E-47AE-8945-AAF9E8C2B5D0}"/>
            </a:ext>
          </a:extLst>
        </xdr:cNvPr>
        <xdr:cNvCxnSpPr/>
      </xdr:nvCxnSpPr>
      <xdr:spPr>
        <a:xfrm>
          <a:off x="4128558" y="5963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26</xdr:row>
      <xdr:rowOff>21167</xdr:rowOff>
    </xdr:from>
    <xdr:to>
      <xdr:col>3</xdr:col>
      <xdr:colOff>1472671</xdr:colOff>
      <xdr:row>26</xdr:row>
      <xdr:rowOff>21167</xdr:rowOff>
    </xdr:to>
    <xdr:cxnSp macro="">
      <xdr:nvCxnSpPr>
        <xdr:cNvPr id="9" name="Straight Connector 8">
          <a:extLst>
            <a:ext uri="{FF2B5EF4-FFF2-40B4-BE49-F238E27FC236}">
              <a16:creationId xmlns:a16="http://schemas.microsoft.com/office/drawing/2014/main" id="{9DF703DD-DCDC-4C24-8B2C-E56C4DA1881D}"/>
            </a:ext>
          </a:extLst>
        </xdr:cNvPr>
        <xdr:cNvCxnSpPr/>
      </xdr:nvCxnSpPr>
      <xdr:spPr>
        <a:xfrm>
          <a:off x="2556933" y="5964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DBFB45F3-1C9C-4BA0-A3B5-66169F532D2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7" name="Straight Connector 6">
          <a:extLst>
            <a:ext uri="{FF2B5EF4-FFF2-40B4-BE49-F238E27FC236}">
              <a16:creationId xmlns:a16="http://schemas.microsoft.com/office/drawing/2014/main" id="{FD77774E-B169-45F2-834C-22A637A9AF0A}"/>
            </a:ext>
          </a:extLst>
        </xdr:cNvPr>
        <xdr:cNvCxnSpPr/>
      </xdr:nvCxnSpPr>
      <xdr:spPr>
        <a:xfrm>
          <a:off x="12700" y="5295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8" name="Straight Connector 7">
          <a:extLst>
            <a:ext uri="{FF2B5EF4-FFF2-40B4-BE49-F238E27FC236}">
              <a16:creationId xmlns:a16="http://schemas.microsoft.com/office/drawing/2014/main" id="{9C771D08-53D6-4211-9361-4AA41C0B1CCB}"/>
            </a:ext>
          </a:extLst>
        </xdr:cNvPr>
        <xdr:cNvCxnSpPr/>
      </xdr:nvCxnSpPr>
      <xdr:spPr>
        <a:xfrm>
          <a:off x="4128558" y="5328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21</xdr:row>
      <xdr:rowOff>21167</xdr:rowOff>
    </xdr:from>
    <xdr:to>
      <xdr:col>3</xdr:col>
      <xdr:colOff>1472671</xdr:colOff>
      <xdr:row>21</xdr:row>
      <xdr:rowOff>21167</xdr:rowOff>
    </xdr:to>
    <xdr:cxnSp macro="">
      <xdr:nvCxnSpPr>
        <xdr:cNvPr id="9" name="Straight Connector 8">
          <a:extLst>
            <a:ext uri="{FF2B5EF4-FFF2-40B4-BE49-F238E27FC236}">
              <a16:creationId xmlns:a16="http://schemas.microsoft.com/office/drawing/2014/main" id="{40EEA93B-30C7-4E2E-9C0E-4A0B5981ACD0}"/>
            </a:ext>
          </a:extLst>
        </xdr:cNvPr>
        <xdr:cNvCxnSpPr/>
      </xdr:nvCxnSpPr>
      <xdr:spPr>
        <a:xfrm>
          <a:off x="2556933" y="5329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D2987D8D-67D7-4C1B-9544-68C8B64E51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7" name="Straight Connector 6">
          <a:extLst>
            <a:ext uri="{FF2B5EF4-FFF2-40B4-BE49-F238E27FC236}">
              <a16:creationId xmlns:a16="http://schemas.microsoft.com/office/drawing/2014/main" id="{4E2C1FDC-DD9B-4245-B57E-3C78F0AF8AB5}"/>
            </a:ext>
          </a:extLst>
        </xdr:cNvPr>
        <xdr:cNvCxnSpPr/>
      </xdr:nvCxnSpPr>
      <xdr:spPr>
        <a:xfrm>
          <a:off x="12700" y="44958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8" name="Straight Connector 7">
          <a:extLst>
            <a:ext uri="{FF2B5EF4-FFF2-40B4-BE49-F238E27FC236}">
              <a16:creationId xmlns:a16="http://schemas.microsoft.com/office/drawing/2014/main" id="{8FACB535-5FE9-488D-9168-86732D426A37}"/>
            </a:ext>
          </a:extLst>
        </xdr:cNvPr>
        <xdr:cNvCxnSpPr/>
      </xdr:nvCxnSpPr>
      <xdr:spPr>
        <a:xfrm>
          <a:off x="4128558" y="45286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29</xdr:row>
      <xdr:rowOff>21167</xdr:rowOff>
    </xdr:from>
    <xdr:to>
      <xdr:col>1</xdr:col>
      <xdr:colOff>274638</xdr:colOff>
      <xdr:row>29</xdr:row>
      <xdr:rowOff>21167</xdr:rowOff>
    </xdr:to>
    <xdr:cxnSp macro="">
      <xdr:nvCxnSpPr>
        <xdr:cNvPr id="9" name="Straight Connector 8">
          <a:extLst>
            <a:ext uri="{FF2B5EF4-FFF2-40B4-BE49-F238E27FC236}">
              <a16:creationId xmlns:a16="http://schemas.microsoft.com/office/drawing/2014/main" id="{BCD63CDB-170C-47AE-BDBA-40DC430A29F8}"/>
            </a:ext>
          </a:extLst>
        </xdr:cNvPr>
        <xdr:cNvCxnSpPr/>
      </xdr:nvCxnSpPr>
      <xdr:spPr>
        <a:xfrm>
          <a:off x="0" y="58504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55F91077-11E5-4021-BD02-386FBA9E88A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24</xdr:row>
      <xdr:rowOff>171450</xdr:rowOff>
    </xdr:from>
    <xdr:to>
      <xdr:col>1</xdr:col>
      <xdr:colOff>300037</xdr:colOff>
      <xdr:row>24</xdr:row>
      <xdr:rowOff>171450</xdr:rowOff>
    </xdr:to>
    <xdr:cxnSp macro="">
      <xdr:nvCxnSpPr>
        <xdr:cNvPr id="7" name="Straight Connector 6">
          <a:extLst>
            <a:ext uri="{FF2B5EF4-FFF2-40B4-BE49-F238E27FC236}">
              <a16:creationId xmlns:a16="http://schemas.microsoft.com/office/drawing/2014/main" id="{A5DB87CD-AFAC-48E5-9448-599C1DD1077D}"/>
            </a:ext>
          </a:extLst>
        </xdr:cNvPr>
        <xdr:cNvCxnSpPr/>
      </xdr:nvCxnSpPr>
      <xdr:spPr>
        <a:xfrm>
          <a:off x="12700" y="5295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25</xdr:row>
      <xdr:rowOff>20108</xdr:rowOff>
    </xdr:from>
    <xdr:to>
      <xdr:col>5</xdr:col>
      <xdr:colOff>153987</xdr:colOff>
      <xdr:row>25</xdr:row>
      <xdr:rowOff>20108</xdr:rowOff>
    </xdr:to>
    <xdr:cxnSp macro="">
      <xdr:nvCxnSpPr>
        <xdr:cNvPr id="8" name="Straight Connector 7">
          <a:extLst>
            <a:ext uri="{FF2B5EF4-FFF2-40B4-BE49-F238E27FC236}">
              <a16:creationId xmlns:a16="http://schemas.microsoft.com/office/drawing/2014/main" id="{2B13ADA0-F4B4-4A80-B045-F65361BE4BD1}"/>
            </a:ext>
          </a:extLst>
        </xdr:cNvPr>
        <xdr:cNvCxnSpPr/>
      </xdr:nvCxnSpPr>
      <xdr:spPr>
        <a:xfrm>
          <a:off x="4128558" y="5328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740833</xdr:colOff>
      <xdr:row>25</xdr:row>
      <xdr:rowOff>21167</xdr:rowOff>
    </xdr:from>
    <xdr:to>
      <xdr:col>3</xdr:col>
      <xdr:colOff>1472671</xdr:colOff>
      <xdr:row>25</xdr:row>
      <xdr:rowOff>21167</xdr:rowOff>
    </xdr:to>
    <xdr:cxnSp macro="">
      <xdr:nvCxnSpPr>
        <xdr:cNvPr id="9" name="Straight Connector 8">
          <a:extLst>
            <a:ext uri="{FF2B5EF4-FFF2-40B4-BE49-F238E27FC236}">
              <a16:creationId xmlns:a16="http://schemas.microsoft.com/office/drawing/2014/main" id="{18AC5906-D1AE-4480-BA33-B29484078570}"/>
            </a:ext>
          </a:extLst>
        </xdr:cNvPr>
        <xdr:cNvCxnSpPr/>
      </xdr:nvCxnSpPr>
      <xdr:spPr>
        <a:xfrm>
          <a:off x="2556933" y="532976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4C413284-2C82-4C3A-962E-A82341B3DA6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24</xdr:row>
      <xdr:rowOff>171450</xdr:rowOff>
    </xdr:from>
    <xdr:to>
      <xdr:col>1</xdr:col>
      <xdr:colOff>300037</xdr:colOff>
      <xdr:row>24</xdr:row>
      <xdr:rowOff>171450</xdr:rowOff>
    </xdr:to>
    <xdr:cxnSp macro="">
      <xdr:nvCxnSpPr>
        <xdr:cNvPr id="7" name="Straight Connector 6">
          <a:extLst>
            <a:ext uri="{FF2B5EF4-FFF2-40B4-BE49-F238E27FC236}">
              <a16:creationId xmlns:a16="http://schemas.microsoft.com/office/drawing/2014/main" id="{074FF2FF-9412-4973-AC50-7D9E4F45EBAF}"/>
            </a:ext>
          </a:extLst>
        </xdr:cNvPr>
        <xdr:cNvCxnSpPr/>
      </xdr:nvCxnSpPr>
      <xdr:spPr>
        <a:xfrm>
          <a:off x="12700" y="52260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25</xdr:row>
      <xdr:rowOff>13758</xdr:rowOff>
    </xdr:from>
    <xdr:to>
      <xdr:col>5</xdr:col>
      <xdr:colOff>58737</xdr:colOff>
      <xdr:row>25</xdr:row>
      <xdr:rowOff>13758</xdr:rowOff>
    </xdr:to>
    <xdr:cxnSp macro="">
      <xdr:nvCxnSpPr>
        <xdr:cNvPr id="8" name="Straight Connector 7">
          <a:extLst>
            <a:ext uri="{FF2B5EF4-FFF2-40B4-BE49-F238E27FC236}">
              <a16:creationId xmlns:a16="http://schemas.microsoft.com/office/drawing/2014/main" id="{69B6CED3-32D1-4817-8BD4-69DB0EDD5C70}"/>
            </a:ext>
          </a:extLst>
        </xdr:cNvPr>
        <xdr:cNvCxnSpPr/>
      </xdr:nvCxnSpPr>
      <xdr:spPr>
        <a:xfrm>
          <a:off x="4033308" y="52715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328083</xdr:colOff>
      <xdr:row>32</xdr:row>
      <xdr:rowOff>165100</xdr:rowOff>
    </xdr:from>
    <xdr:to>
      <xdr:col>1</xdr:col>
      <xdr:colOff>355600</xdr:colOff>
      <xdr:row>32</xdr:row>
      <xdr:rowOff>167217</xdr:rowOff>
    </xdr:to>
    <xdr:cxnSp macro="">
      <xdr:nvCxnSpPr>
        <xdr:cNvPr id="9" name="Straight Connector 8">
          <a:extLst>
            <a:ext uri="{FF2B5EF4-FFF2-40B4-BE49-F238E27FC236}">
              <a16:creationId xmlns:a16="http://schemas.microsoft.com/office/drawing/2014/main" id="{F378AD38-5B02-4BCF-8504-71E334BC0F59}"/>
            </a:ext>
          </a:extLst>
        </xdr:cNvPr>
        <xdr:cNvCxnSpPr/>
      </xdr:nvCxnSpPr>
      <xdr:spPr>
        <a:xfrm flipV="1">
          <a:off x="328083" y="6572250"/>
          <a:ext cx="1227667" cy="211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D7454907-2556-477D-B4D8-44C031DC3FE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24</xdr:row>
      <xdr:rowOff>171450</xdr:rowOff>
    </xdr:from>
    <xdr:to>
      <xdr:col>1</xdr:col>
      <xdr:colOff>300037</xdr:colOff>
      <xdr:row>24</xdr:row>
      <xdr:rowOff>171450</xdr:rowOff>
    </xdr:to>
    <xdr:cxnSp macro="">
      <xdr:nvCxnSpPr>
        <xdr:cNvPr id="7" name="Straight Connector 6">
          <a:extLst>
            <a:ext uri="{FF2B5EF4-FFF2-40B4-BE49-F238E27FC236}">
              <a16:creationId xmlns:a16="http://schemas.microsoft.com/office/drawing/2014/main" id="{840C6B89-9356-4CE9-AD2E-5F4373FD1E21}"/>
            </a:ext>
          </a:extLst>
        </xdr:cNvPr>
        <xdr:cNvCxnSpPr/>
      </xdr:nvCxnSpPr>
      <xdr:spPr>
        <a:xfrm>
          <a:off x="12700" y="52451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25</xdr:row>
      <xdr:rowOff>13758</xdr:rowOff>
    </xdr:from>
    <xdr:to>
      <xdr:col>5</xdr:col>
      <xdr:colOff>58737</xdr:colOff>
      <xdr:row>25</xdr:row>
      <xdr:rowOff>13758</xdr:rowOff>
    </xdr:to>
    <xdr:cxnSp macro="">
      <xdr:nvCxnSpPr>
        <xdr:cNvPr id="8" name="Straight Connector 7">
          <a:extLst>
            <a:ext uri="{FF2B5EF4-FFF2-40B4-BE49-F238E27FC236}">
              <a16:creationId xmlns:a16="http://schemas.microsoft.com/office/drawing/2014/main" id="{31797868-3943-4557-BA06-A9AE86AFE9AC}"/>
            </a:ext>
          </a:extLst>
        </xdr:cNvPr>
        <xdr:cNvCxnSpPr/>
      </xdr:nvCxnSpPr>
      <xdr:spPr>
        <a:xfrm>
          <a:off x="4033308" y="52715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328083</xdr:colOff>
      <xdr:row>32</xdr:row>
      <xdr:rowOff>165100</xdr:rowOff>
    </xdr:from>
    <xdr:to>
      <xdr:col>1</xdr:col>
      <xdr:colOff>355600</xdr:colOff>
      <xdr:row>32</xdr:row>
      <xdr:rowOff>167217</xdr:rowOff>
    </xdr:to>
    <xdr:cxnSp macro="">
      <xdr:nvCxnSpPr>
        <xdr:cNvPr id="9" name="Straight Connector 8">
          <a:extLst>
            <a:ext uri="{FF2B5EF4-FFF2-40B4-BE49-F238E27FC236}">
              <a16:creationId xmlns:a16="http://schemas.microsoft.com/office/drawing/2014/main" id="{2D9EF80B-6160-4A13-9060-E82023D9AF79}"/>
            </a:ext>
          </a:extLst>
        </xdr:cNvPr>
        <xdr:cNvCxnSpPr/>
      </xdr:nvCxnSpPr>
      <xdr:spPr>
        <a:xfrm flipV="1">
          <a:off x="328083" y="6711950"/>
          <a:ext cx="1227667" cy="211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55E6902D-AC16-4B0D-894A-09E38706571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32</xdr:row>
      <xdr:rowOff>171450</xdr:rowOff>
    </xdr:from>
    <xdr:to>
      <xdr:col>1</xdr:col>
      <xdr:colOff>300037</xdr:colOff>
      <xdr:row>32</xdr:row>
      <xdr:rowOff>171450</xdr:rowOff>
    </xdr:to>
    <xdr:cxnSp macro="">
      <xdr:nvCxnSpPr>
        <xdr:cNvPr id="7" name="Straight Connector 6">
          <a:extLst>
            <a:ext uri="{FF2B5EF4-FFF2-40B4-BE49-F238E27FC236}">
              <a16:creationId xmlns:a16="http://schemas.microsoft.com/office/drawing/2014/main" id="{1B46AB30-BB51-4246-9090-D3DB638B303B}"/>
            </a:ext>
          </a:extLst>
        </xdr:cNvPr>
        <xdr:cNvCxnSpPr/>
      </xdr:nvCxnSpPr>
      <xdr:spPr>
        <a:xfrm>
          <a:off x="12700" y="52514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33</xdr:row>
      <xdr:rowOff>13758</xdr:rowOff>
    </xdr:from>
    <xdr:to>
      <xdr:col>5</xdr:col>
      <xdr:colOff>58737</xdr:colOff>
      <xdr:row>33</xdr:row>
      <xdr:rowOff>13758</xdr:rowOff>
    </xdr:to>
    <xdr:cxnSp macro="">
      <xdr:nvCxnSpPr>
        <xdr:cNvPr id="8" name="Straight Connector 7">
          <a:extLst>
            <a:ext uri="{FF2B5EF4-FFF2-40B4-BE49-F238E27FC236}">
              <a16:creationId xmlns:a16="http://schemas.microsoft.com/office/drawing/2014/main" id="{FF8367AE-3252-4695-9F8E-AF062327CE0A}"/>
            </a:ext>
          </a:extLst>
        </xdr:cNvPr>
        <xdr:cNvCxnSpPr/>
      </xdr:nvCxnSpPr>
      <xdr:spPr>
        <a:xfrm>
          <a:off x="4052358" y="52779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328083</xdr:colOff>
      <xdr:row>40</xdr:row>
      <xdr:rowOff>165100</xdr:rowOff>
    </xdr:from>
    <xdr:to>
      <xdr:col>1</xdr:col>
      <xdr:colOff>355600</xdr:colOff>
      <xdr:row>40</xdr:row>
      <xdr:rowOff>167217</xdr:rowOff>
    </xdr:to>
    <xdr:cxnSp macro="">
      <xdr:nvCxnSpPr>
        <xdr:cNvPr id="9" name="Straight Connector 8">
          <a:extLst>
            <a:ext uri="{FF2B5EF4-FFF2-40B4-BE49-F238E27FC236}">
              <a16:creationId xmlns:a16="http://schemas.microsoft.com/office/drawing/2014/main" id="{A418E878-DB6E-402E-B4FA-22330365C4BD}"/>
            </a:ext>
          </a:extLst>
        </xdr:cNvPr>
        <xdr:cNvCxnSpPr/>
      </xdr:nvCxnSpPr>
      <xdr:spPr>
        <a:xfrm flipV="1">
          <a:off x="328083" y="6718300"/>
          <a:ext cx="1227667" cy="211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EF5A1D63-A323-41CC-9103-49359C9438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7" name="Straight Connector 6">
          <a:extLst>
            <a:ext uri="{FF2B5EF4-FFF2-40B4-BE49-F238E27FC236}">
              <a16:creationId xmlns:a16="http://schemas.microsoft.com/office/drawing/2014/main" id="{6A849DA8-B3E8-4F34-8CF1-AA353638E5EB}"/>
            </a:ext>
          </a:extLst>
        </xdr:cNvPr>
        <xdr:cNvCxnSpPr/>
      </xdr:nvCxnSpPr>
      <xdr:spPr>
        <a:xfrm>
          <a:off x="12700" y="67119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8" name="Straight Connector 7">
          <a:extLst>
            <a:ext uri="{FF2B5EF4-FFF2-40B4-BE49-F238E27FC236}">
              <a16:creationId xmlns:a16="http://schemas.microsoft.com/office/drawing/2014/main" id="{2EDAD86E-F7C2-4816-8B25-8D10B7F7208F}"/>
            </a:ext>
          </a:extLst>
        </xdr:cNvPr>
        <xdr:cNvCxnSpPr/>
      </xdr:nvCxnSpPr>
      <xdr:spPr>
        <a:xfrm>
          <a:off x="4052358" y="67384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328083</xdr:colOff>
      <xdr:row>39</xdr:row>
      <xdr:rowOff>165100</xdr:rowOff>
    </xdr:from>
    <xdr:to>
      <xdr:col>1</xdr:col>
      <xdr:colOff>355600</xdr:colOff>
      <xdr:row>39</xdr:row>
      <xdr:rowOff>167217</xdr:rowOff>
    </xdr:to>
    <xdr:cxnSp macro="">
      <xdr:nvCxnSpPr>
        <xdr:cNvPr id="9" name="Straight Connector 8">
          <a:extLst>
            <a:ext uri="{FF2B5EF4-FFF2-40B4-BE49-F238E27FC236}">
              <a16:creationId xmlns:a16="http://schemas.microsoft.com/office/drawing/2014/main" id="{82C17202-4C14-40A2-AB66-DD804ABA1F0A}"/>
            </a:ext>
          </a:extLst>
        </xdr:cNvPr>
        <xdr:cNvCxnSpPr/>
      </xdr:nvCxnSpPr>
      <xdr:spPr>
        <a:xfrm flipV="1">
          <a:off x="328083" y="8178800"/>
          <a:ext cx="1227667" cy="211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A7C2BFF0-D950-4CC3-AB03-234EA3B711B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6" name="Straight Connector 5">
          <a:extLst>
            <a:ext uri="{FF2B5EF4-FFF2-40B4-BE49-F238E27FC236}">
              <a16:creationId xmlns:a16="http://schemas.microsoft.com/office/drawing/2014/main" id="{E6AA2A64-A86D-492E-8196-D97570AD0507}"/>
            </a:ext>
          </a:extLst>
        </xdr:cNvPr>
        <xdr:cNvCxnSpPr/>
      </xdr:nvCxnSpPr>
      <xdr:spPr>
        <a:xfrm>
          <a:off x="12700" y="65341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7" name="Straight Connector 6">
          <a:extLst>
            <a:ext uri="{FF2B5EF4-FFF2-40B4-BE49-F238E27FC236}">
              <a16:creationId xmlns:a16="http://schemas.microsoft.com/office/drawing/2014/main" id="{E7F60C2E-0838-4E44-9044-FFF33AC7BE2E}"/>
            </a:ext>
          </a:extLst>
        </xdr:cNvPr>
        <xdr:cNvCxnSpPr/>
      </xdr:nvCxnSpPr>
      <xdr:spPr>
        <a:xfrm>
          <a:off x="4065058" y="65606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75489AC8-14E4-4F3A-92CB-7CE37646145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7E89AB5D-C252-4EAE-9701-5A58472E74E4}"/>
            </a:ext>
          </a:extLst>
        </xdr:cNvPr>
        <xdr:cNvCxnSpPr/>
      </xdr:nvCxnSpPr>
      <xdr:spPr>
        <a:xfrm>
          <a:off x="12700" y="49149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8" name="Straight Connector 7">
          <a:extLst>
            <a:ext uri="{FF2B5EF4-FFF2-40B4-BE49-F238E27FC236}">
              <a16:creationId xmlns:a16="http://schemas.microsoft.com/office/drawing/2014/main" id="{C6897BC1-4A15-4973-89C6-5330118CC777}"/>
            </a:ext>
          </a:extLst>
        </xdr:cNvPr>
        <xdr:cNvCxnSpPr/>
      </xdr:nvCxnSpPr>
      <xdr:spPr>
        <a:xfrm>
          <a:off x="4065058" y="47445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DD617A53-C5F7-40D8-88DE-E290DA71C6D8}"/>
            </a:ext>
          </a:extLst>
        </xdr:cNvPr>
        <xdr:cNvCxnSpPr/>
      </xdr:nvCxnSpPr>
      <xdr:spPr>
        <a:xfrm>
          <a:off x="156633" y="65870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F7518C54-BBE5-46E5-BE5C-2870FB62FCE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27</xdr:row>
      <xdr:rowOff>171450</xdr:rowOff>
    </xdr:from>
    <xdr:to>
      <xdr:col>1</xdr:col>
      <xdr:colOff>300037</xdr:colOff>
      <xdr:row>27</xdr:row>
      <xdr:rowOff>171450</xdr:rowOff>
    </xdr:to>
    <xdr:cxnSp macro="">
      <xdr:nvCxnSpPr>
        <xdr:cNvPr id="7" name="Straight Connector 6">
          <a:extLst>
            <a:ext uri="{FF2B5EF4-FFF2-40B4-BE49-F238E27FC236}">
              <a16:creationId xmlns:a16="http://schemas.microsoft.com/office/drawing/2014/main" id="{5EEB31A8-B9FC-4341-8C7F-59E5F796A482}"/>
            </a:ext>
          </a:extLst>
        </xdr:cNvPr>
        <xdr:cNvCxnSpPr/>
      </xdr:nvCxnSpPr>
      <xdr:spPr>
        <a:xfrm>
          <a:off x="12700" y="4851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28</xdr:row>
      <xdr:rowOff>7408</xdr:rowOff>
    </xdr:from>
    <xdr:to>
      <xdr:col>5</xdr:col>
      <xdr:colOff>77787</xdr:colOff>
      <xdr:row>28</xdr:row>
      <xdr:rowOff>7408</xdr:rowOff>
    </xdr:to>
    <xdr:cxnSp macro="">
      <xdr:nvCxnSpPr>
        <xdr:cNvPr id="8" name="Straight Connector 7">
          <a:extLst>
            <a:ext uri="{FF2B5EF4-FFF2-40B4-BE49-F238E27FC236}">
              <a16:creationId xmlns:a16="http://schemas.microsoft.com/office/drawing/2014/main" id="{3F9797AF-6DD0-46DA-ABC0-91D22FAC556A}"/>
            </a:ext>
          </a:extLst>
        </xdr:cNvPr>
        <xdr:cNvCxnSpPr/>
      </xdr:nvCxnSpPr>
      <xdr:spPr>
        <a:xfrm>
          <a:off x="4065058" y="48715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37</xdr:row>
      <xdr:rowOff>2117</xdr:rowOff>
    </xdr:from>
    <xdr:to>
      <xdr:col>0</xdr:col>
      <xdr:colOff>1117600</xdr:colOff>
      <xdr:row>37</xdr:row>
      <xdr:rowOff>12700</xdr:rowOff>
    </xdr:to>
    <xdr:cxnSp macro="">
      <xdr:nvCxnSpPr>
        <xdr:cNvPr id="9" name="Straight Connector 8">
          <a:extLst>
            <a:ext uri="{FF2B5EF4-FFF2-40B4-BE49-F238E27FC236}">
              <a16:creationId xmlns:a16="http://schemas.microsoft.com/office/drawing/2014/main" id="{EF863F59-9D16-483F-A825-BD39A4F08453}"/>
            </a:ext>
          </a:extLst>
        </xdr:cNvPr>
        <xdr:cNvCxnSpPr/>
      </xdr:nvCxnSpPr>
      <xdr:spPr>
        <a:xfrm>
          <a:off x="156633" y="65235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13759</xdr:colOff>
      <xdr:row>0</xdr:row>
      <xdr:rowOff>0</xdr:rowOff>
    </xdr:from>
    <xdr:ext cx="1141942" cy="368300"/>
    <xdr:pic>
      <xdr:nvPicPr>
        <xdr:cNvPr id="6" name="Picture 5" descr="image001">
          <a:extLst>
            <a:ext uri="{FF2B5EF4-FFF2-40B4-BE49-F238E27FC236}">
              <a16:creationId xmlns:a16="http://schemas.microsoft.com/office/drawing/2014/main" id="{565D3068-CB4D-4AE1-97AE-53461D72CF9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59" y="0"/>
          <a:ext cx="1141942" cy="368300"/>
        </a:xfrm>
        <a:prstGeom prst="rect">
          <a:avLst/>
        </a:prstGeom>
        <a:noFill/>
        <a:ln>
          <a:noFill/>
        </a:ln>
      </xdr:spPr>
    </xdr:pic>
    <xdr:clientData/>
  </xdr:oneCellAnchor>
  <xdr:twoCellAnchor>
    <xdr:from>
      <xdr:col>0</xdr:col>
      <xdr:colOff>12700</xdr:colOff>
      <xdr:row>24</xdr:row>
      <xdr:rowOff>171450</xdr:rowOff>
    </xdr:from>
    <xdr:to>
      <xdr:col>1</xdr:col>
      <xdr:colOff>300037</xdr:colOff>
      <xdr:row>24</xdr:row>
      <xdr:rowOff>171450</xdr:rowOff>
    </xdr:to>
    <xdr:cxnSp macro="">
      <xdr:nvCxnSpPr>
        <xdr:cNvPr id="7" name="Straight Connector 6">
          <a:extLst>
            <a:ext uri="{FF2B5EF4-FFF2-40B4-BE49-F238E27FC236}">
              <a16:creationId xmlns:a16="http://schemas.microsoft.com/office/drawing/2014/main" id="{7037760F-CC66-4D9E-BE65-EA4FC7092C9D}"/>
            </a:ext>
          </a:extLst>
        </xdr:cNvPr>
        <xdr:cNvCxnSpPr/>
      </xdr:nvCxnSpPr>
      <xdr:spPr>
        <a:xfrm>
          <a:off x="12700" y="4851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25</xdr:row>
      <xdr:rowOff>7408</xdr:rowOff>
    </xdr:from>
    <xdr:to>
      <xdr:col>5</xdr:col>
      <xdr:colOff>77787</xdr:colOff>
      <xdr:row>25</xdr:row>
      <xdr:rowOff>7408</xdr:rowOff>
    </xdr:to>
    <xdr:cxnSp macro="">
      <xdr:nvCxnSpPr>
        <xdr:cNvPr id="8" name="Straight Connector 7">
          <a:extLst>
            <a:ext uri="{FF2B5EF4-FFF2-40B4-BE49-F238E27FC236}">
              <a16:creationId xmlns:a16="http://schemas.microsoft.com/office/drawing/2014/main" id="{967B71C1-51FB-43C2-93BC-84B346572F2C}"/>
            </a:ext>
          </a:extLst>
        </xdr:cNvPr>
        <xdr:cNvCxnSpPr/>
      </xdr:nvCxnSpPr>
      <xdr:spPr>
        <a:xfrm>
          <a:off x="4065058" y="48715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34</xdr:row>
      <xdr:rowOff>2117</xdr:rowOff>
    </xdr:from>
    <xdr:to>
      <xdr:col>0</xdr:col>
      <xdr:colOff>1117600</xdr:colOff>
      <xdr:row>34</xdr:row>
      <xdr:rowOff>12700</xdr:rowOff>
    </xdr:to>
    <xdr:cxnSp macro="">
      <xdr:nvCxnSpPr>
        <xdr:cNvPr id="9" name="Straight Connector 8">
          <a:extLst>
            <a:ext uri="{FF2B5EF4-FFF2-40B4-BE49-F238E27FC236}">
              <a16:creationId xmlns:a16="http://schemas.microsoft.com/office/drawing/2014/main" id="{D4BFED9B-2BFF-41FF-90EE-104A175FCF53}"/>
            </a:ext>
          </a:extLst>
        </xdr:cNvPr>
        <xdr:cNvCxnSpPr/>
      </xdr:nvCxnSpPr>
      <xdr:spPr>
        <a:xfrm>
          <a:off x="156633" y="65235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AD711769-318B-4B7C-A6E6-48D03D6559D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F6D3C3B2-534A-41DB-86E1-0F5A9B8C59E5}"/>
            </a:ext>
          </a:extLst>
        </xdr:cNvPr>
        <xdr:cNvCxnSpPr/>
      </xdr:nvCxnSpPr>
      <xdr:spPr>
        <a:xfrm>
          <a:off x="12700" y="4851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8" name="Straight Connector 7">
          <a:extLst>
            <a:ext uri="{FF2B5EF4-FFF2-40B4-BE49-F238E27FC236}">
              <a16:creationId xmlns:a16="http://schemas.microsoft.com/office/drawing/2014/main" id="{B60723B8-1633-44AC-BB03-BEBE00452D80}"/>
            </a:ext>
          </a:extLst>
        </xdr:cNvPr>
        <xdr:cNvCxnSpPr/>
      </xdr:nvCxnSpPr>
      <xdr:spPr>
        <a:xfrm>
          <a:off x="4065058" y="48715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782A8CD8-B751-4C61-B997-B6A2715DFAA8}"/>
            </a:ext>
          </a:extLst>
        </xdr:cNvPr>
        <xdr:cNvCxnSpPr/>
      </xdr:nvCxnSpPr>
      <xdr:spPr>
        <a:xfrm>
          <a:off x="156633" y="65235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AC488667-B198-49BD-96AD-3505821360E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69AFD699-C1CC-475B-8DE0-CA26DEF26373}"/>
            </a:ext>
          </a:extLst>
        </xdr:cNvPr>
        <xdr:cNvCxnSpPr/>
      </xdr:nvCxnSpPr>
      <xdr:spPr>
        <a:xfrm>
          <a:off x="12700" y="4724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8" name="Straight Connector 7">
          <a:extLst>
            <a:ext uri="{FF2B5EF4-FFF2-40B4-BE49-F238E27FC236}">
              <a16:creationId xmlns:a16="http://schemas.microsoft.com/office/drawing/2014/main" id="{51BADF44-EC02-45BB-BCA9-DC8970C529F5}"/>
            </a:ext>
          </a:extLst>
        </xdr:cNvPr>
        <xdr:cNvCxnSpPr/>
      </xdr:nvCxnSpPr>
      <xdr:spPr>
        <a:xfrm>
          <a:off x="4065058" y="47445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275D7CB1-9283-477A-9FB9-C4DFB9D70221}"/>
            </a:ext>
          </a:extLst>
        </xdr:cNvPr>
        <xdr:cNvCxnSpPr/>
      </xdr:nvCxnSpPr>
      <xdr:spPr>
        <a:xfrm>
          <a:off x="156633" y="63965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ABDAE5F8-4A47-4856-818D-C942D0E4128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5CB0990D-F4CB-4401-B134-6DD6EB05F1D8}"/>
            </a:ext>
          </a:extLst>
        </xdr:cNvPr>
        <xdr:cNvCxnSpPr/>
      </xdr:nvCxnSpPr>
      <xdr:spPr>
        <a:xfrm>
          <a:off x="12700" y="49276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8" name="Straight Connector 7">
          <a:extLst>
            <a:ext uri="{FF2B5EF4-FFF2-40B4-BE49-F238E27FC236}">
              <a16:creationId xmlns:a16="http://schemas.microsoft.com/office/drawing/2014/main" id="{EFB3DBD7-0356-497B-895F-B5C913B37D64}"/>
            </a:ext>
          </a:extLst>
        </xdr:cNvPr>
        <xdr:cNvCxnSpPr/>
      </xdr:nvCxnSpPr>
      <xdr:spPr>
        <a:xfrm>
          <a:off x="4084108" y="49477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6A1BDAC9-044C-4DD1-8717-313FF2328A9A}"/>
            </a:ext>
          </a:extLst>
        </xdr:cNvPr>
        <xdr:cNvCxnSpPr/>
      </xdr:nvCxnSpPr>
      <xdr:spPr>
        <a:xfrm>
          <a:off x="156633" y="65997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9D55A60E-8E96-497B-8ABD-0D239DCBFAA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6" name="Straight Connector 5">
          <a:extLst>
            <a:ext uri="{FF2B5EF4-FFF2-40B4-BE49-F238E27FC236}">
              <a16:creationId xmlns:a16="http://schemas.microsoft.com/office/drawing/2014/main" id="{820EA2E8-91CA-43DC-935A-16D06165B1C7}"/>
            </a:ext>
          </a:extLst>
        </xdr:cNvPr>
        <xdr:cNvCxnSpPr/>
      </xdr:nvCxnSpPr>
      <xdr:spPr>
        <a:xfrm>
          <a:off x="12700" y="65532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7" name="Straight Connector 6">
          <a:extLst>
            <a:ext uri="{FF2B5EF4-FFF2-40B4-BE49-F238E27FC236}">
              <a16:creationId xmlns:a16="http://schemas.microsoft.com/office/drawing/2014/main" id="{3EA6FC62-19D5-42C8-889C-A98E8EF5D8B3}"/>
            </a:ext>
          </a:extLst>
        </xdr:cNvPr>
        <xdr:cNvCxnSpPr/>
      </xdr:nvCxnSpPr>
      <xdr:spPr>
        <a:xfrm>
          <a:off x="4065058" y="65796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00B1D237-497C-40A5-BD8C-DBDCF566DBD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0982A45F-A809-42C5-A988-583E8289FB66}"/>
            </a:ext>
          </a:extLst>
        </xdr:cNvPr>
        <xdr:cNvCxnSpPr/>
      </xdr:nvCxnSpPr>
      <xdr:spPr>
        <a:xfrm>
          <a:off x="12700" y="48641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8" name="Straight Connector 7">
          <a:extLst>
            <a:ext uri="{FF2B5EF4-FFF2-40B4-BE49-F238E27FC236}">
              <a16:creationId xmlns:a16="http://schemas.microsoft.com/office/drawing/2014/main" id="{0E76AEBF-7048-436C-8856-0823CCD615F8}"/>
            </a:ext>
          </a:extLst>
        </xdr:cNvPr>
        <xdr:cNvCxnSpPr/>
      </xdr:nvCxnSpPr>
      <xdr:spPr>
        <a:xfrm>
          <a:off x="4084108" y="4884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E396B491-A39D-4B0A-B9E0-5CE5424A0B6D}"/>
            </a:ext>
          </a:extLst>
        </xdr:cNvPr>
        <xdr:cNvCxnSpPr/>
      </xdr:nvCxnSpPr>
      <xdr:spPr>
        <a:xfrm>
          <a:off x="156633" y="65362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8DCAABF2-1911-4DA4-93DE-C71D6C3D0A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6" name="Straight Connector 5">
          <a:extLst>
            <a:ext uri="{FF2B5EF4-FFF2-40B4-BE49-F238E27FC236}">
              <a16:creationId xmlns:a16="http://schemas.microsoft.com/office/drawing/2014/main" id="{C7618064-86E1-4FE3-94EA-C45D505BFC4A}"/>
            </a:ext>
          </a:extLst>
        </xdr:cNvPr>
        <xdr:cNvCxnSpPr/>
      </xdr:nvCxnSpPr>
      <xdr:spPr>
        <a:xfrm>
          <a:off x="12700" y="65786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7" name="Straight Connector 6">
          <a:extLst>
            <a:ext uri="{FF2B5EF4-FFF2-40B4-BE49-F238E27FC236}">
              <a16:creationId xmlns:a16="http://schemas.microsoft.com/office/drawing/2014/main" id="{6E57EC11-C4D0-42A3-B904-8574FA61BF89}"/>
            </a:ext>
          </a:extLst>
        </xdr:cNvPr>
        <xdr:cNvCxnSpPr/>
      </xdr:nvCxnSpPr>
      <xdr:spPr>
        <a:xfrm>
          <a:off x="4065058" y="66050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53C67534-D144-4FD8-A8F3-EF5857812DF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1F0DBC79-E78D-4284-BEAD-16A6B44E581B}"/>
            </a:ext>
          </a:extLst>
        </xdr:cNvPr>
        <xdr:cNvCxnSpPr/>
      </xdr:nvCxnSpPr>
      <xdr:spPr>
        <a:xfrm>
          <a:off x="12700" y="48895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8" name="Straight Connector 7">
          <a:extLst>
            <a:ext uri="{FF2B5EF4-FFF2-40B4-BE49-F238E27FC236}">
              <a16:creationId xmlns:a16="http://schemas.microsoft.com/office/drawing/2014/main" id="{349D94DF-AE29-4662-94E9-3308B20F6FCB}"/>
            </a:ext>
          </a:extLst>
        </xdr:cNvPr>
        <xdr:cNvCxnSpPr/>
      </xdr:nvCxnSpPr>
      <xdr:spPr>
        <a:xfrm>
          <a:off x="4084108" y="49096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EA6680F6-E0BF-465C-B782-30209F0E7F69}"/>
            </a:ext>
          </a:extLst>
        </xdr:cNvPr>
        <xdr:cNvCxnSpPr/>
      </xdr:nvCxnSpPr>
      <xdr:spPr>
        <a:xfrm>
          <a:off x="156633" y="656166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3B254D5F-E8D2-4768-BE4F-9722B37E11A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7" name="Straight Connector 6">
          <a:extLst>
            <a:ext uri="{FF2B5EF4-FFF2-40B4-BE49-F238E27FC236}">
              <a16:creationId xmlns:a16="http://schemas.microsoft.com/office/drawing/2014/main" id="{C99AB61E-B1AD-475F-97CF-79FEF4FD6222}"/>
            </a:ext>
          </a:extLst>
        </xdr:cNvPr>
        <xdr:cNvCxnSpPr/>
      </xdr:nvCxnSpPr>
      <xdr:spPr>
        <a:xfrm>
          <a:off x="12700" y="44767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2502958</xdr:colOff>
      <xdr:row>21</xdr:row>
      <xdr:rowOff>20108</xdr:rowOff>
    </xdr:from>
    <xdr:to>
      <xdr:col>5</xdr:col>
      <xdr:colOff>153987</xdr:colOff>
      <xdr:row>21</xdr:row>
      <xdr:rowOff>20108</xdr:rowOff>
    </xdr:to>
    <xdr:cxnSp macro="">
      <xdr:nvCxnSpPr>
        <xdr:cNvPr id="8" name="Straight Connector 7">
          <a:extLst>
            <a:ext uri="{FF2B5EF4-FFF2-40B4-BE49-F238E27FC236}">
              <a16:creationId xmlns:a16="http://schemas.microsoft.com/office/drawing/2014/main" id="{27511A90-2CE8-42EC-A13A-A899A72B0E86}"/>
            </a:ext>
          </a:extLst>
        </xdr:cNvPr>
        <xdr:cNvCxnSpPr/>
      </xdr:nvCxnSpPr>
      <xdr:spPr>
        <a:xfrm>
          <a:off x="4128558" y="45095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29</xdr:row>
      <xdr:rowOff>21167</xdr:rowOff>
    </xdr:from>
    <xdr:to>
      <xdr:col>1</xdr:col>
      <xdr:colOff>274638</xdr:colOff>
      <xdr:row>29</xdr:row>
      <xdr:rowOff>21167</xdr:rowOff>
    </xdr:to>
    <xdr:cxnSp macro="">
      <xdr:nvCxnSpPr>
        <xdr:cNvPr id="9" name="Straight Connector 8">
          <a:extLst>
            <a:ext uri="{FF2B5EF4-FFF2-40B4-BE49-F238E27FC236}">
              <a16:creationId xmlns:a16="http://schemas.microsoft.com/office/drawing/2014/main" id="{DF1EBF63-5DDE-4379-B321-58F8B814BAD7}"/>
            </a:ext>
          </a:extLst>
        </xdr:cNvPr>
        <xdr:cNvCxnSpPr/>
      </xdr:nvCxnSpPr>
      <xdr:spPr>
        <a:xfrm>
          <a:off x="0" y="5983817"/>
          <a:ext cx="14747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48E87F45-E612-4932-8311-1DB64BFC66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6" name="Straight Connector 5">
          <a:extLst>
            <a:ext uri="{FF2B5EF4-FFF2-40B4-BE49-F238E27FC236}">
              <a16:creationId xmlns:a16="http://schemas.microsoft.com/office/drawing/2014/main" id="{063037C8-022C-4CAF-9D40-F0A18DFC5E6A}"/>
            </a:ext>
          </a:extLst>
        </xdr:cNvPr>
        <xdr:cNvCxnSpPr/>
      </xdr:nvCxnSpPr>
      <xdr:spPr>
        <a:xfrm>
          <a:off x="12700" y="65468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7" name="Straight Connector 6">
          <a:extLst>
            <a:ext uri="{FF2B5EF4-FFF2-40B4-BE49-F238E27FC236}">
              <a16:creationId xmlns:a16="http://schemas.microsoft.com/office/drawing/2014/main" id="{A5076126-5E71-4577-9C7F-3D21FF280521}"/>
            </a:ext>
          </a:extLst>
        </xdr:cNvPr>
        <xdr:cNvCxnSpPr/>
      </xdr:nvCxnSpPr>
      <xdr:spPr>
        <a:xfrm>
          <a:off x="4065058" y="65733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6" name="Picture 5" descr="image001">
          <a:extLst>
            <a:ext uri="{FF2B5EF4-FFF2-40B4-BE49-F238E27FC236}">
              <a16:creationId xmlns:a16="http://schemas.microsoft.com/office/drawing/2014/main" id="{CC6FD10E-6B09-492D-974E-44C276EA4D2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7" name="Straight Connector 6">
          <a:extLst>
            <a:ext uri="{FF2B5EF4-FFF2-40B4-BE49-F238E27FC236}">
              <a16:creationId xmlns:a16="http://schemas.microsoft.com/office/drawing/2014/main" id="{A2EFBBF6-9219-4293-ABD1-274E6D6AEF6F}"/>
            </a:ext>
          </a:extLst>
        </xdr:cNvPr>
        <xdr:cNvCxnSpPr/>
      </xdr:nvCxnSpPr>
      <xdr:spPr>
        <a:xfrm>
          <a:off x="12700" y="48196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8" name="Straight Connector 7">
          <a:extLst>
            <a:ext uri="{FF2B5EF4-FFF2-40B4-BE49-F238E27FC236}">
              <a16:creationId xmlns:a16="http://schemas.microsoft.com/office/drawing/2014/main" id="{8D0C0C5B-9CBF-4313-983C-2D5C99C8110F}"/>
            </a:ext>
          </a:extLst>
        </xdr:cNvPr>
        <xdr:cNvCxnSpPr/>
      </xdr:nvCxnSpPr>
      <xdr:spPr>
        <a:xfrm>
          <a:off x="4084108" y="48397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156633</xdr:colOff>
      <xdr:row>32</xdr:row>
      <xdr:rowOff>2117</xdr:rowOff>
    </xdr:from>
    <xdr:to>
      <xdr:col>0</xdr:col>
      <xdr:colOff>1117600</xdr:colOff>
      <xdr:row>32</xdr:row>
      <xdr:rowOff>12700</xdr:rowOff>
    </xdr:to>
    <xdr:cxnSp macro="">
      <xdr:nvCxnSpPr>
        <xdr:cNvPr id="9" name="Straight Connector 8">
          <a:extLst>
            <a:ext uri="{FF2B5EF4-FFF2-40B4-BE49-F238E27FC236}">
              <a16:creationId xmlns:a16="http://schemas.microsoft.com/office/drawing/2014/main" id="{00C9206E-88E8-419C-A6DB-0318929CE172}"/>
            </a:ext>
          </a:extLst>
        </xdr:cNvPr>
        <xdr:cNvCxnSpPr/>
      </xdr:nvCxnSpPr>
      <xdr:spPr>
        <a:xfrm>
          <a:off x="156633" y="6491817"/>
          <a:ext cx="960967"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D4266ECC-6914-4BA1-B2F6-2A9FD0C1EAB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6" name="Straight Connector 5">
          <a:extLst>
            <a:ext uri="{FF2B5EF4-FFF2-40B4-BE49-F238E27FC236}">
              <a16:creationId xmlns:a16="http://schemas.microsoft.com/office/drawing/2014/main" id="{9DF2A9C3-04C2-4967-A70A-91B12234C712}"/>
            </a:ext>
          </a:extLst>
        </xdr:cNvPr>
        <xdr:cNvCxnSpPr/>
      </xdr:nvCxnSpPr>
      <xdr:spPr>
        <a:xfrm>
          <a:off x="12700" y="65278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7" name="Straight Connector 6">
          <a:extLst>
            <a:ext uri="{FF2B5EF4-FFF2-40B4-BE49-F238E27FC236}">
              <a16:creationId xmlns:a16="http://schemas.microsoft.com/office/drawing/2014/main" id="{949BAEE0-38D3-46AB-ACA6-AB297B080C11}"/>
            </a:ext>
          </a:extLst>
        </xdr:cNvPr>
        <xdr:cNvCxnSpPr/>
      </xdr:nvCxnSpPr>
      <xdr:spPr>
        <a:xfrm>
          <a:off x="4065058" y="6554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B412EF2C-F379-4E73-A447-C59F9996FAD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6" name="Straight Connector 5">
          <a:extLst>
            <a:ext uri="{FF2B5EF4-FFF2-40B4-BE49-F238E27FC236}">
              <a16:creationId xmlns:a16="http://schemas.microsoft.com/office/drawing/2014/main" id="{0534C7E5-170F-4D7F-9B66-52346943C3B0}"/>
            </a:ext>
          </a:extLst>
        </xdr:cNvPr>
        <xdr:cNvCxnSpPr/>
      </xdr:nvCxnSpPr>
      <xdr:spPr>
        <a:xfrm>
          <a:off x="12700" y="48768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7" name="Straight Connector 6">
          <a:extLst>
            <a:ext uri="{FF2B5EF4-FFF2-40B4-BE49-F238E27FC236}">
              <a16:creationId xmlns:a16="http://schemas.microsoft.com/office/drawing/2014/main" id="{E2D6F19C-0B09-44F1-8C49-D602626400B4}"/>
            </a:ext>
          </a:extLst>
        </xdr:cNvPr>
        <xdr:cNvCxnSpPr/>
      </xdr:nvCxnSpPr>
      <xdr:spPr>
        <a:xfrm>
          <a:off x="4084108" y="48969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4.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0B59A0AE-EC7C-49D1-8E19-DB25BE1BDE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6" name="Straight Connector 5">
          <a:extLst>
            <a:ext uri="{FF2B5EF4-FFF2-40B4-BE49-F238E27FC236}">
              <a16:creationId xmlns:a16="http://schemas.microsoft.com/office/drawing/2014/main" id="{51944016-D5A6-4DFE-B094-9E260E9CA89F}"/>
            </a:ext>
          </a:extLst>
        </xdr:cNvPr>
        <xdr:cNvCxnSpPr/>
      </xdr:nvCxnSpPr>
      <xdr:spPr>
        <a:xfrm>
          <a:off x="12700" y="45212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1058</xdr:colOff>
      <xdr:row>21</xdr:row>
      <xdr:rowOff>19050</xdr:rowOff>
    </xdr:from>
    <xdr:to>
      <xdr:col>4</xdr:col>
      <xdr:colOff>1308100</xdr:colOff>
      <xdr:row>21</xdr:row>
      <xdr:rowOff>20108</xdr:rowOff>
    </xdr:to>
    <xdr:cxnSp macro="">
      <xdr:nvCxnSpPr>
        <xdr:cNvPr id="7" name="Straight Connector 6">
          <a:extLst>
            <a:ext uri="{FF2B5EF4-FFF2-40B4-BE49-F238E27FC236}">
              <a16:creationId xmlns:a16="http://schemas.microsoft.com/office/drawing/2014/main" id="{274A0507-DB11-43A8-93D4-7836393D1F57}"/>
            </a:ext>
          </a:extLst>
        </xdr:cNvPr>
        <xdr:cNvCxnSpPr/>
      </xdr:nvCxnSpPr>
      <xdr:spPr>
        <a:xfrm flipV="1">
          <a:off x="4141258" y="4578350"/>
          <a:ext cx="1307042" cy="10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5.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3E5DE73F-4F34-4B35-8503-EA5E66EC34C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6" name="Straight Connector 5">
          <a:extLst>
            <a:ext uri="{FF2B5EF4-FFF2-40B4-BE49-F238E27FC236}">
              <a16:creationId xmlns:a16="http://schemas.microsoft.com/office/drawing/2014/main" id="{CD6857EB-E872-408A-9B7B-80E99A53A307}"/>
            </a:ext>
          </a:extLst>
        </xdr:cNvPr>
        <xdr:cNvCxnSpPr/>
      </xdr:nvCxnSpPr>
      <xdr:spPr>
        <a:xfrm>
          <a:off x="12700" y="65214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7" name="Straight Connector 6">
          <a:extLst>
            <a:ext uri="{FF2B5EF4-FFF2-40B4-BE49-F238E27FC236}">
              <a16:creationId xmlns:a16="http://schemas.microsoft.com/office/drawing/2014/main" id="{0FD2A99F-F63F-49C0-A170-42380A01CDB3}"/>
            </a:ext>
          </a:extLst>
        </xdr:cNvPr>
        <xdr:cNvCxnSpPr/>
      </xdr:nvCxnSpPr>
      <xdr:spPr>
        <a:xfrm>
          <a:off x="4065058" y="65479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6.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F1156173-2758-4690-A249-4FBE2E2FBDF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6" name="Straight Connector 5">
          <a:extLst>
            <a:ext uri="{FF2B5EF4-FFF2-40B4-BE49-F238E27FC236}">
              <a16:creationId xmlns:a16="http://schemas.microsoft.com/office/drawing/2014/main" id="{B93B7E62-3CCD-484D-AF43-1D9680A2A2D8}"/>
            </a:ext>
          </a:extLst>
        </xdr:cNvPr>
        <xdr:cNvCxnSpPr/>
      </xdr:nvCxnSpPr>
      <xdr:spPr>
        <a:xfrm>
          <a:off x="12700" y="48641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1493308</xdr:colOff>
      <xdr:row>23</xdr:row>
      <xdr:rowOff>7408</xdr:rowOff>
    </xdr:from>
    <xdr:to>
      <xdr:col>5</xdr:col>
      <xdr:colOff>77787</xdr:colOff>
      <xdr:row>23</xdr:row>
      <xdr:rowOff>7408</xdr:rowOff>
    </xdr:to>
    <xdr:cxnSp macro="">
      <xdr:nvCxnSpPr>
        <xdr:cNvPr id="7" name="Straight Connector 6">
          <a:extLst>
            <a:ext uri="{FF2B5EF4-FFF2-40B4-BE49-F238E27FC236}">
              <a16:creationId xmlns:a16="http://schemas.microsoft.com/office/drawing/2014/main" id="{A0444E0E-2DB8-497C-900B-DB0D9EA85381}"/>
            </a:ext>
          </a:extLst>
        </xdr:cNvPr>
        <xdr:cNvCxnSpPr/>
      </xdr:nvCxnSpPr>
      <xdr:spPr>
        <a:xfrm>
          <a:off x="4084108" y="488420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7.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0A34E5B2-6443-4E19-8CCC-F1971919BB1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34</xdr:row>
      <xdr:rowOff>171450</xdr:rowOff>
    </xdr:from>
    <xdr:to>
      <xdr:col>1</xdr:col>
      <xdr:colOff>300037</xdr:colOff>
      <xdr:row>34</xdr:row>
      <xdr:rowOff>171450</xdr:rowOff>
    </xdr:to>
    <xdr:cxnSp macro="">
      <xdr:nvCxnSpPr>
        <xdr:cNvPr id="6" name="Straight Connector 5">
          <a:extLst>
            <a:ext uri="{FF2B5EF4-FFF2-40B4-BE49-F238E27FC236}">
              <a16:creationId xmlns:a16="http://schemas.microsoft.com/office/drawing/2014/main" id="{9114DBBC-3332-4034-8DAA-F6934F47727B}"/>
            </a:ext>
          </a:extLst>
        </xdr:cNvPr>
        <xdr:cNvCxnSpPr/>
      </xdr:nvCxnSpPr>
      <xdr:spPr>
        <a:xfrm>
          <a:off x="12700" y="65786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35</xdr:row>
      <xdr:rowOff>13758</xdr:rowOff>
    </xdr:from>
    <xdr:to>
      <xdr:col>5</xdr:col>
      <xdr:colOff>58737</xdr:colOff>
      <xdr:row>35</xdr:row>
      <xdr:rowOff>13758</xdr:rowOff>
    </xdr:to>
    <xdr:cxnSp macro="">
      <xdr:nvCxnSpPr>
        <xdr:cNvPr id="7" name="Straight Connector 6">
          <a:extLst>
            <a:ext uri="{FF2B5EF4-FFF2-40B4-BE49-F238E27FC236}">
              <a16:creationId xmlns:a16="http://schemas.microsoft.com/office/drawing/2014/main" id="{B62CD787-02E6-48D1-B82D-3838E8D534CC}"/>
            </a:ext>
          </a:extLst>
        </xdr:cNvPr>
        <xdr:cNvCxnSpPr/>
      </xdr:nvCxnSpPr>
      <xdr:spPr>
        <a:xfrm>
          <a:off x="4065058" y="66050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8.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B20A34BB-39B8-4654-8260-39E247520B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34</xdr:row>
      <xdr:rowOff>171450</xdr:rowOff>
    </xdr:from>
    <xdr:to>
      <xdr:col>1</xdr:col>
      <xdr:colOff>300037</xdr:colOff>
      <xdr:row>34</xdr:row>
      <xdr:rowOff>171450</xdr:rowOff>
    </xdr:to>
    <xdr:cxnSp macro="">
      <xdr:nvCxnSpPr>
        <xdr:cNvPr id="6" name="Straight Connector 5">
          <a:extLst>
            <a:ext uri="{FF2B5EF4-FFF2-40B4-BE49-F238E27FC236}">
              <a16:creationId xmlns:a16="http://schemas.microsoft.com/office/drawing/2014/main" id="{4F52B3CE-9428-4F19-9E85-D8AA44558525}"/>
            </a:ext>
          </a:extLst>
        </xdr:cNvPr>
        <xdr:cNvCxnSpPr/>
      </xdr:nvCxnSpPr>
      <xdr:spPr>
        <a:xfrm>
          <a:off x="12700" y="71374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35</xdr:row>
      <xdr:rowOff>13758</xdr:rowOff>
    </xdr:from>
    <xdr:to>
      <xdr:col>5</xdr:col>
      <xdr:colOff>58737</xdr:colOff>
      <xdr:row>35</xdr:row>
      <xdr:rowOff>13758</xdr:rowOff>
    </xdr:to>
    <xdr:cxnSp macro="">
      <xdr:nvCxnSpPr>
        <xdr:cNvPr id="7" name="Straight Connector 6">
          <a:extLst>
            <a:ext uri="{FF2B5EF4-FFF2-40B4-BE49-F238E27FC236}">
              <a16:creationId xmlns:a16="http://schemas.microsoft.com/office/drawing/2014/main" id="{9F75487F-04C3-47A6-8069-78873B1978A0}"/>
            </a:ext>
          </a:extLst>
        </xdr:cNvPr>
        <xdr:cNvCxnSpPr/>
      </xdr:nvCxnSpPr>
      <xdr:spPr>
        <a:xfrm>
          <a:off x="4065058" y="71638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9.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F1FE20FD-CFCA-4396-A265-2BC9FA48702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34</xdr:row>
      <xdr:rowOff>165100</xdr:rowOff>
    </xdr:from>
    <xdr:to>
      <xdr:col>1</xdr:col>
      <xdr:colOff>95250</xdr:colOff>
      <xdr:row>34</xdr:row>
      <xdr:rowOff>171450</xdr:rowOff>
    </xdr:to>
    <xdr:cxnSp macro="">
      <xdr:nvCxnSpPr>
        <xdr:cNvPr id="6" name="Straight Connector 5">
          <a:extLst>
            <a:ext uri="{FF2B5EF4-FFF2-40B4-BE49-F238E27FC236}">
              <a16:creationId xmlns:a16="http://schemas.microsoft.com/office/drawing/2014/main" id="{CD583A72-A34C-438D-9B17-4E4104BE9A2B}"/>
            </a:ext>
          </a:extLst>
        </xdr:cNvPr>
        <xdr:cNvCxnSpPr/>
      </xdr:nvCxnSpPr>
      <xdr:spPr>
        <a:xfrm flipV="1">
          <a:off x="12700" y="7156450"/>
          <a:ext cx="1282700" cy="6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1512358</xdr:colOff>
      <xdr:row>35</xdr:row>
      <xdr:rowOff>13758</xdr:rowOff>
    </xdr:from>
    <xdr:to>
      <xdr:col>5</xdr:col>
      <xdr:colOff>96837</xdr:colOff>
      <xdr:row>35</xdr:row>
      <xdr:rowOff>13758</xdr:rowOff>
    </xdr:to>
    <xdr:cxnSp macro="">
      <xdr:nvCxnSpPr>
        <xdr:cNvPr id="7" name="Straight Connector 6">
          <a:extLst>
            <a:ext uri="{FF2B5EF4-FFF2-40B4-BE49-F238E27FC236}">
              <a16:creationId xmlns:a16="http://schemas.microsoft.com/office/drawing/2014/main" id="{C089B30C-1099-4D28-89C7-D459B5540B64}"/>
            </a:ext>
          </a:extLst>
        </xdr:cNvPr>
        <xdr:cNvCxnSpPr/>
      </xdr:nvCxnSpPr>
      <xdr:spPr>
        <a:xfrm>
          <a:off x="4103158" y="7189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0.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562E332A-25CC-47E9-AFC6-C244F9F91B9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29</xdr:row>
      <xdr:rowOff>165100</xdr:rowOff>
    </xdr:from>
    <xdr:to>
      <xdr:col>1</xdr:col>
      <xdr:colOff>95250</xdr:colOff>
      <xdr:row>29</xdr:row>
      <xdr:rowOff>171450</xdr:rowOff>
    </xdr:to>
    <xdr:cxnSp macro="">
      <xdr:nvCxnSpPr>
        <xdr:cNvPr id="6" name="Straight Connector 5">
          <a:extLst>
            <a:ext uri="{FF2B5EF4-FFF2-40B4-BE49-F238E27FC236}">
              <a16:creationId xmlns:a16="http://schemas.microsoft.com/office/drawing/2014/main" id="{031D1515-B75F-4A51-B7BA-E649EE4EE067}"/>
            </a:ext>
          </a:extLst>
        </xdr:cNvPr>
        <xdr:cNvCxnSpPr/>
      </xdr:nvCxnSpPr>
      <xdr:spPr>
        <a:xfrm flipV="1">
          <a:off x="12700" y="7156450"/>
          <a:ext cx="1282700" cy="6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1512358</xdr:colOff>
      <xdr:row>30</xdr:row>
      <xdr:rowOff>13758</xdr:rowOff>
    </xdr:from>
    <xdr:to>
      <xdr:col>5</xdr:col>
      <xdr:colOff>96837</xdr:colOff>
      <xdr:row>30</xdr:row>
      <xdr:rowOff>13758</xdr:rowOff>
    </xdr:to>
    <xdr:cxnSp macro="">
      <xdr:nvCxnSpPr>
        <xdr:cNvPr id="7" name="Straight Connector 6">
          <a:extLst>
            <a:ext uri="{FF2B5EF4-FFF2-40B4-BE49-F238E27FC236}">
              <a16:creationId xmlns:a16="http://schemas.microsoft.com/office/drawing/2014/main" id="{8C9E60CF-A32D-407A-BDFA-CCC9511D9DA7}"/>
            </a:ext>
          </a:extLst>
        </xdr:cNvPr>
        <xdr:cNvCxnSpPr/>
      </xdr:nvCxnSpPr>
      <xdr:spPr>
        <a:xfrm>
          <a:off x="4103158" y="7189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1.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7BFF8806-5471-4532-A277-33B31499786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28</xdr:row>
      <xdr:rowOff>165100</xdr:rowOff>
    </xdr:from>
    <xdr:to>
      <xdr:col>1</xdr:col>
      <xdr:colOff>95250</xdr:colOff>
      <xdr:row>28</xdr:row>
      <xdr:rowOff>171450</xdr:rowOff>
    </xdr:to>
    <xdr:cxnSp macro="">
      <xdr:nvCxnSpPr>
        <xdr:cNvPr id="6" name="Straight Connector 5">
          <a:extLst>
            <a:ext uri="{FF2B5EF4-FFF2-40B4-BE49-F238E27FC236}">
              <a16:creationId xmlns:a16="http://schemas.microsoft.com/office/drawing/2014/main" id="{00F49FBB-A7AD-4779-BD09-255DED4A54BA}"/>
            </a:ext>
          </a:extLst>
        </xdr:cNvPr>
        <xdr:cNvCxnSpPr/>
      </xdr:nvCxnSpPr>
      <xdr:spPr>
        <a:xfrm flipV="1">
          <a:off x="12700" y="7156450"/>
          <a:ext cx="1282700" cy="6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1512358</xdr:colOff>
      <xdr:row>29</xdr:row>
      <xdr:rowOff>13758</xdr:rowOff>
    </xdr:from>
    <xdr:to>
      <xdr:col>5</xdr:col>
      <xdr:colOff>96837</xdr:colOff>
      <xdr:row>29</xdr:row>
      <xdr:rowOff>13758</xdr:rowOff>
    </xdr:to>
    <xdr:cxnSp macro="">
      <xdr:nvCxnSpPr>
        <xdr:cNvPr id="7" name="Straight Connector 6">
          <a:extLst>
            <a:ext uri="{FF2B5EF4-FFF2-40B4-BE49-F238E27FC236}">
              <a16:creationId xmlns:a16="http://schemas.microsoft.com/office/drawing/2014/main" id="{C25DF839-92CE-40F0-A377-010A9E3D1181}"/>
            </a:ext>
          </a:extLst>
        </xdr:cNvPr>
        <xdr:cNvCxnSpPr/>
      </xdr:nvCxnSpPr>
      <xdr:spPr>
        <a:xfrm>
          <a:off x="4103158" y="7189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2.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F7CC348A-4A6A-4BD0-A286-138CA7627DF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29</xdr:row>
      <xdr:rowOff>165100</xdr:rowOff>
    </xdr:from>
    <xdr:to>
      <xdr:col>1</xdr:col>
      <xdr:colOff>95250</xdr:colOff>
      <xdr:row>29</xdr:row>
      <xdr:rowOff>171450</xdr:rowOff>
    </xdr:to>
    <xdr:cxnSp macro="">
      <xdr:nvCxnSpPr>
        <xdr:cNvPr id="6" name="Straight Connector 5">
          <a:extLst>
            <a:ext uri="{FF2B5EF4-FFF2-40B4-BE49-F238E27FC236}">
              <a16:creationId xmlns:a16="http://schemas.microsoft.com/office/drawing/2014/main" id="{B935F7AD-CEEA-4947-B0FD-D6D8B4BCBEBF}"/>
            </a:ext>
          </a:extLst>
        </xdr:cNvPr>
        <xdr:cNvCxnSpPr/>
      </xdr:nvCxnSpPr>
      <xdr:spPr>
        <a:xfrm flipV="1">
          <a:off x="12700" y="7156450"/>
          <a:ext cx="1282700" cy="6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1512358</xdr:colOff>
      <xdr:row>30</xdr:row>
      <xdr:rowOff>13758</xdr:rowOff>
    </xdr:from>
    <xdr:to>
      <xdr:col>5</xdr:col>
      <xdr:colOff>96837</xdr:colOff>
      <xdr:row>30</xdr:row>
      <xdr:rowOff>13758</xdr:rowOff>
    </xdr:to>
    <xdr:cxnSp macro="">
      <xdr:nvCxnSpPr>
        <xdr:cNvPr id="7" name="Straight Connector 6">
          <a:extLst>
            <a:ext uri="{FF2B5EF4-FFF2-40B4-BE49-F238E27FC236}">
              <a16:creationId xmlns:a16="http://schemas.microsoft.com/office/drawing/2014/main" id="{6A0EE80F-32C1-4EF3-97C8-5C394B6EC395}"/>
            </a:ext>
          </a:extLst>
        </xdr:cNvPr>
        <xdr:cNvCxnSpPr/>
      </xdr:nvCxnSpPr>
      <xdr:spPr>
        <a:xfrm>
          <a:off x="4103158" y="7189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3.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2BEE6F3C-33CC-46DA-B3E7-1A8A01B1555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22</xdr:row>
      <xdr:rowOff>171450</xdr:rowOff>
    </xdr:from>
    <xdr:to>
      <xdr:col>1</xdr:col>
      <xdr:colOff>300037</xdr:colOff>
      <xdr:row>22</xdr:row>
      <xdr:rowOff>171450</xdr:rowOff>
    </xdr:to>
    <xdr:cxnSp macro="">
      <xdr:nvCxnSpPr>
        <xdr:cNvPr id="6" name="Straight Connector 5">
          <a:extLst>
            <a:ext uri="{FF2B5EF4-FFF2-40B4-BE49-F238E27FC236}">
              <a16:creationId xmlns:a16="http://schemas.microsoft.com/office/drawing/2014/main" id="{A9D48AF7-CF0F-41CD-B696-EC964994CD8F}"/>
            </a:ext>
          </a:extLst>
        </xdr:cNvPr>
        <xdr:cNvCxnSpPr/>
      </xdr:nvCxnSpPr>
      <xdr:spPr>
        <a:xfrm>
          <a:off x="12700" y="45466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1058</xdr:colOff>
      <xdr:row>23</xdr:row>
      <xdr:rowOff>19050</xdr:rowOff>
    </xdr:from>
    <xdr:to>
      <xdr:col>4</xdr:col>
      <xdr:colOff>1308100</xdr:colOff>
      <xdr:row>23</xdr:row>
      <xdr:rowOff>20108</xdr:rowOff>
    </xdr:to>
    <xdr:cxnSp macro="">
      <xdr:nvCxnSpPr>
        <xdr:cNvPr id="7" name="Straight Connector 6">
          <a:extLst>
            <a:ext uri="{FF2B5EF4-FFF2-40B4-BE49-F238E27FC236}">
              <a16:creationId xmlns:a16="http://schemas.microsoft.com/office/drawing/2014/main" id="{49EFA4E1-895F-40EF-A858-80A7D68C851E}"/>
            </a:ext>
          </a:extLst>
        </xdr:cNvPr>
        <xdr:cNvCxnSpPr/>
      </xdr:nvCxnSpPr>
      <xdr:spPr>
        <a:xfrm flipV="1">
          <a:off x="4141258" y="4578350"/>
          <a:ext cx="1307042" cy="10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4.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AD47AE59-1730-4EDB-84F3-0878F6F493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31</xdr:row>
      <xdr:rowOff>171450</xdr:rowOff>
    </xdr:from>
    <xdr:to>
      <xdr:col>1</xdr:col>
      <xdr:colOff>300037</xdr:colOff>
      <xdr:row>31</xdr:row>
      <xdr:rowOff>171450</xdr:rowOff>
    </xdr:to>
    <xdr:cxnSp macro="">
      <xdr:nvCxnSpPr>
        <xdr:cNvPr id="6" name="Straight Connector 5">
          <a:extLst>
            <a:ext uri="{FF2B5EF4-FFF2-40B4-BE49-F238E27FC236}">
              <a16:creationId xmlns:a16="http://schemas.microsoft.com/office/drawing/2014/main" id="{249D3284-4A00-4D32-8C92-C142924BFB64}"/>
            </a:ext>
          </a:extLst>
        </xdr:cNvPr>
        <xdr:cNvCxnSpPr/>
      </xdr:nvCxnSpPr>
      <xdr:spPr>
        <a:xfrm>
          <a:off x="12700" y="65786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1474258</xdr:colOff>
      <xdr:row>32</xdr:row>
      <xdr:rowOff>13758</xdr:rowOff>
    </xdr:from>
    <xdr:to>
      <xdr:col>5</xdr:col>
      <xdr:colOff>58737</xdr:colOff>
      <xdr:row>32</xdr:row>
      <xdr:rowOff>13758</xdr:rowOff>
    </xdr:to>
    <xdr:cxnSp macro="">
      <xdr:nvCxnSpPr>
        <xdr:cNvPr id="7" name="Straight Connector 6">
          <a:extLst>
            <a:ext uri="{FF2B5EF4-FFF2-40B4-BE49-F238E27FC236}">
              <a16:creationId xmlns:a16="http://schemas.microsoft.com/office/drawing/2014/main" id="{7BDC1F02-225E-465D-A46B-BE86BBE71831}"/>
            </a:ext>
          </a:extLst>
        </xdr:cNvPr>
        <xdr:cNvCxnSpPr/>
      </xdr:nvCxnSpPr>
      <xdr:spPr>
        <a:xfrm>
          <a:off x="4065058" y="66050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5.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9F7C79C4-40E9-43AE-AE52-75A256A2581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29</xdr:row>
      <xdr:rowOff>165100</xdr:rowOff>
    </xdr:from>
    <xdr:to>
      <xdr:col>1</xdr:col>
      <xdr:colOff>95250</xdr:colOff>
      <xdr:row>29</xdr:row>
      <xdr:rowOff>171450</xdr:rowOff>
    </xdr:to>
    <xdr:cxnSp macro="">
      <xdr:nvCxnSpPr>
        <xdr:cNvPr id="6" name="Straight Connector 5">
          <a:extLst>
            <a:ext uri="{FF2B5EF4-FFF2-40B4-BE49-F238E27FC236}">
              <a16:creationId xmlns:a16="http://schemas.microsoft.com/office/drawing/2014/main" id="{E4BB5D17-D1A3-4998-8E79-7E687F464672}"/>
            </a:ext>
          </a:extLst>
        </xdr:cNvPr>
        <xdr:cNvCxnSpPr/>
      </xdr:nvCxnSpPr>
      <xdr:spPr>
        <a:xfrm flipV="1">
          <a:off x="12700" y="6140450"/>
          <a:ext cx="1282700" cy="6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1512358</xdr:colOff>
      <xdr:row>30</xdr:row>
      <xdr:rowOff>13758</xdr:rowOff>
    </xdr:from>
    <xdr:to>
      <xdr:col>5</xdr:col>
      <xdr:colOff>96837</xdr:colOff>
      <xdr:row>30</xdr:row>
      <xdr:rowOff>13758</xdr:rowOff>
    </xdr:to>
    <xdr:cxnSp macro="">
      <xdr:nvCxnSpPr>
        <xdr:cNvPr id="7" name="Straight Connector 6">
          <a:extLst>
            <a:ext uri="{FF2B5EF4-FFF2-40B4-BE49-F238E27FC236}">
              <a16:creationId xmlns:a16="http://schemas.microsoft.com/office/drawing/2014/main" id="{41275BAC-D5A6-4AE5-91C0-95207327975E}"/>
            </a:ext>
          </a:extLst>
        </xdr:cNvPr>
        <xdr:cNvCxnSpPr/>
      </xdr:nvCxnSpPr>
      <xdr:spPr>
        <a:xfrm>
          <a:off x="4103158" y="6173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6.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A660C5C9-8404-49D4-8513-11C2781A26E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6" name="Straight Connector 5">
          <a:extLst>
            <a:ext uri="{FF2B5EF4-FFF2-40B4-BE49-F238E27FC236}">
              <a16:creationId xmlns:a16="http://schemas.microsoft.com/office/drawing/2014/main" id="{50BE8AE4-0B70-4BD9-970E-0C6FA4AD1ABD}"/>
            </a:ext>
          </a:extLst>
        </xdr:cNvPr>
        <xdr:cNvCxnSpPr/>
      </xdr:nvCxnSpPr>
      <xdr:spPr>
        <a:xfrm>
          <a:off x="12700" y="485775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1556808</xdr:colOff>
      <xdr:row>20</xdr:row>
      <xdr:rowOff>177800</xdr:rowOff>
    </xdr:from>
    <xdr:to>
      <xdr:col>4</xdr:col>
      <xdr:colOff>1295400</xdr:colOff>
      <xdr:row>20</xdr:row>
      <xdr:rowOff>178858</xdr:rowOff>
    </xdr:to>
    <xdr:cxnSp macro="">
      <xdr:nvCxnSpPr>
        <xdr:cNvPr id="7" name="Straight Connector 6">
          <a:extLst>
            <a:ext uri="{FF2B5EF4-FFF2-40B4-BE49-F238E27FC236}">
              <a16:creationId xmlns:a16="http://schemas.microsoft.com/office/drawing/2014/main" id="{B380D7A5-E00B-41F1-83C5-72B3BB8CA551}"/>
            </a:ext>
          </a:extLst>
        </xdr:cNvPr>
        <xdr:cNvCxnSpPr/>
      </xdr:nvCxnSpPr>
      <xdr:spPr>
        <a:xfrm flipV="1">
          <a:off x="4147608" y="4591050"/>
          <a:ext cx="1307042" cy="10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7.xml><?xml version="1.0" encoding="utf-8"?>
<xdr:wsDr xmlns:xdr="http://schemas.openxmlformats.org/drawingml/2006/spreadsheetDrawing" xmlns:a="http://schemas.openxmlformats.org/drawingml/2006/main">
  <xdr:oneCellAnchor>
    <xdr:from>
      <xdr:col>0</xdr:col>
      <xdr:colOff>51859</xdr:colOff>
      <xdr:row>0</xdr:row>
      <xdr:rowOff>0</xdr:rowOff>
    </xdr:from>
    <xdr:ext cx="1141942" cy="368300"/>
    <xdr:pic>
      <xdr:nvPicPr>
        <xdr:cNvPr id="5" name="Picture 4" descr="image001">
          <a:extLst>
            <a:ext uri="{FF2B5EF4-FFF2-40B4-BE49-F238E27FC236}">
              <a16:creationId xmlns:a16="http://schemas.microsoft.com/office/drawing/2014/main" id="{0371CB7C-1BC4-4E43-A076-5420ED6E948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59" y="0"/>
          <a:ext cx="1141942" cy="368300"/>
        </a:xfrm>
        <a:prstGeom prst="rect">
          <a:avLst/>
        </a:prstGeom>
        <a:noFill/>
        <a:ln>
          <a:noFill/>
        </a:ln>
      </xdr:spPr>
    </xdr:pic>
    <xdr:clientData/>
  </xdr:oneCellAnchor>
  <xdr:twoCellAnchor>
    <xdr:from>
      <xdr:col>0</xdr:col>
      <xdr:colOff>12700</xdr:colOff>
      <xdr:row>20</xdr:row>
      <xdr:rowOff>171450</xdr:rowOff>
    </xdr:from>
    <xdr:to>
      <xdr:col>1</xdr:col>
      <xdr:colOff>300037</xdr:colOff>
      <xdr:row>20</xdr:row>
      <xdr:rowOff>171450</xdr:rowOff>
    </xdr:to>
    <xdr:cxnSp macro="">
      <xdr:nvCxnSpPr>
        <xdr:cNvPr id="6" name="Straight Connector 5">
          <a:extLst>
            <a:ext uri="{FF2B5EF4-FFF2-40B4-BE49-F238E27FC236}">
              <a16:creationId xmlns:a16="http://schemas.microsoft.com/office/drawing/2014/main" id="{F27930E6-4392-4773-8EAB-AE54C0377552}"/>
            </a:ext>
          </a:extLst>
        </xdr:cNvPr>
        <xdr:cNvCxnSpPr/>
      </xdr:nvCxnSpPr>
      <xdr:spPr>
        <a:xfrm>
          <a:off x="12700" y="4584700"/>
          <a:ext cx="14874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1556808</xdr:colOff>
      <xdr:row>20</xdr:row>
      <xdr:rowOff>177800</xdr:rowOff>
    </xdr:from>
    <xdr:to>
      <xdr:col>4</xdr:col>
      <xdr:colOff>1295400</xdr:colOff>
      <xdr:row>20</xdr:row>
      <xdr:rowOff>178858</xdr:rowOff>
    </xdr:to>
    <xdr:cxnSp macro="">
      <xdr:nvCxnSpPr>
        <xdr:cNvPr id="7" name="Straight Connector 6">
          <a:extLst>
            <a:ext uri="{FF2B5EF4-FFF2-40B4-BE49-F238E27FC236}">
              <a16:creationId xmlns:a16="http://schemas.microsoft.com/office/drawing/2014/main" id="{856C9214-3CFF-4963-AA0B-E2EFD367C46C}"/>
            </a:ext>
          </a:extLst>
        </xdr:cNvPr>
        <xdr:cNvCxnSpPr/>
      </xdr:nvCxnSpPr>
      <xdr:spPr>
        <a:xfrm flipV="1">
          <a:off x="4147608" y="4591050"/>
          <a:ext cx="1307042" cy="10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8.xml><?xml version="1.0" encoding="utf-8"?>
<xdr:wsDr xmlns:xdr="http://schemas.openxmlformats.org/drawingml/2006/spreadsheetDrawing" xmlns:a="http://schemas.openxmlformats.org/drawingml/2006/main">
  <xdr:oneCellAnchor>
    <xdr:from>
      <xdr:col>0</xdr:col>
      <xdr:colOff>7408</xdr:colOff>
      <xdr:row>0</xdr:row>
      <xdr:rowOff>0</xdr:rowOff>
    </xdr:from>
    <xdr:ext cx="1211791" cy="412750"/>
    <xdr:pic>
      <xdr:nvPicPr>
        <xdr:cNvPr id="5" name="Picture 4" descr="image001">
          <a:extLst>
            <a:ext uri="{FF2B5EF4-FFF2-40B4-BE49-F238E27FC236}">
              <a16:creationId xmlns:a16="http://schemas.microsoft.com/office/drawing/2014/main" id="{D49EBB48-EA69-401E-8ED4-6A9AD10340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08" y="0"/>
          <a:ext cx="1211791" cy="412750"/>
        </a:xfrm>
        <a:prstGeom prst="rect">
          <a:avLst/>
        </a:prstGeom>
        <a:noFill/>
        <a:ln>
          <a:noFill/>
        </a:ln>
      </xdr:spPr>
    </xdr:pic>
    <xdr:clientData/>
  </xdr:oneCellAnchor>
  <xdr:twoCellAnchor>
    <xdr:from>
      <xdr:col>0</xdr:col>
      <xdr:colOff>12700</xdr:colOff>
      <xdr:row>34</xdr:row>
      <xdr:rowOff>165100</xdr:rowOff>
    </xdr:from>
    <xdr:to>
      <xdr:col>1</xdr:col>
      <xdr:colOff>95250</xdr:colOff>
      <xdr:row>34</xdr:row>
      <xdr:rowOff>171450</xdr:rowOff>
    </xdr:to>
    <xdr:cxnSp macro="">
      <xdr:nvCxnSpPr>
        <xdr:cNvPr id="6" name="Straight Connector 5">
          <a:extLst>
            <a:ext uri="{FF2B5EF4-FFF2-40B4-BE49-F238E27FC236}">
              <a16:creationId xmlns:a16="http://schemas.microsoft.com/office/drawing/2014/main" id="{1F0062E2-93C3-4D14-A9BA-7AE4647D5A94}"/>
            </a:ext>
          </a:extLst>
        </xdr:cNvPr>
        <xdr:cNvCxnSpPr/>
      </xdr:nvCxnSpPr>
      <xdr:spPr>
        <a:xfrm flipV="1">
          <a:off x="12700" y="7156450"/>
          <a:ext cx="1282700" cy="6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1512358</xdr:colOff>
      <xdr:row>35</xdr:row>
      <xdr:rowOff>13758</xdr:rowOff>
    </xdr:from>
    <xdr:to>
      <xdr:col>5</xdr:col>
      <xdr:colOff>96837</xdr:colOff>
      <xdr:row>35</xdr:row>
      <xdr:rowOff>13758</xdr:rowOff>
    </xdr:to>
    <xdr:cxnSp macro="">
      <xdr:nvCxnSpPr>
        <xdr:cNvPr id="7" name="Straight Connector 6">
          <a:extLst>
            <a:ext uri="{FF2B5EF4-FFF2-40B4-BE49-F238E27FC236}">
              <a16:creationId xmlns:a16="http://schemas.microsoft.com/office/drawing/2014/main" id="{4915F9DC-FD24-4640-9AC1-42163C4CC227}"/>
            </a:ext>
          </a:extLst>
        </xdr:cNvPr>
        <xdr:cNvCxnSpPr/>
      </xdr:nvCxnSpPr>
      <xdr:spPr>
        <a:xfrm>
          <a:off x="4103158" y="7189258"/>
          <a:ext cx="151817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9726F-47BA-448D-8C38-6097377A30B4}">
  <sheetPr>
    <pageSetUpPr fitToPage="1"/>
  </sheetPr>
  <dimension ref="A1:O32"/>
  <sheetViews>
    <sheetView view="pageBreakPreview" zoomScale="65" zoomScaleNormal="100" zoomScaleSheetLayoutView="65" workbookViewId="0">
      <selection activeCell="B18" sqref="B18:K18"/>
    </sheetView>
  </sheetViews>
  <sheetFormatPr defaultColWidth="9.1796875" defaultRowHeight="14" x14ac:dyDescent="0.3"/>
  <cols>
    <col min="1" max="1" width="18.81640625" style="1" bestFit="1" customWidth="1"/>
    <col min="2" max="2" width="23.54296875" style="1" customWidth="1"/>
    <col min="3" max="3" width="12.26953125" style="1" customWidth="1"/>
    <col min="4" max="4" width="39.7265625" style="1" customWidth="1"/>
    <col min="5" max="5" width="21" style="1" customWidth="1"/>
    <col min="6" max="7" width="18" style="1" customWidth="1"/>
    <col min="8" max="8" width="21.453125" style="1" customWidth="1"/>
    <col min="9" max="9" width="15.81640625" style="1" customWidth="1"/>
    <col min="10" max="10" width="24.7265625" style="1" customWidth="1"/>
    <col min="11" max="11" width="28.1796875" style="1" customWidth="1"/>
    <col min="12" max="12" width="9.81640625" style="1" bestFit="1" customWidth="1"/>
    <col min="13" max="13" width="9.1796875" style="1"/>
    <col min="14" max="14" width="11.54296875" style="1" bestFit="1" customWidth="1"/>
    <col min="15" max="16384" width="9.1796875" style="1"/>
  </cols>
  <sheetData>
    <row r="1" spans="1:14" ht="42.75" customHeight="1" x14ac:dyDescent="0.3">
      <c r="A1" s="363" t="s">
        <v>42</v>
      </c>
      <c r="B1" s="363"/>
      <c r="C1" s="363"/>
      <c r="D1" s="363"/>
      <c r="E1" s="363"/>
      <c r="F1" s="363"/>
      <c r="G1" s="363"/>
      <c r="H1" s="363"/>
      <c r="I1" s="363"/>
      <c r="J1" s="363"/>
      <c r="K1" s="363"/>
    </row>
    <row r="2" spans="1:14" ht="23.25" customHeight="1" x14ac:dyDescent="0.3">
      <c r="A2" s="2" t="s">
        <v>0</v>
      </c>
      <c r="B2" s="364" t="s">
        <v>46</v>
      </c>
      <c r="C2" s="364"/>
      <c r="D2" s="364"/>
      <c r="E2" s="364"/>
      <c r="F2" s="364"/>
      <c r="G2" s="364"/>
      <c r="H2" s="364"/>
      <c r="I2" s="364"/>
      <c r="J2" s="364"/>
      <c r="K2" s="364"/>
    </row>
    <row r="3" spans="1:14" ht="22" customHeight="1" x14ac:dyDescent="0.3">
      <c r="A3" s="2" t="s">
        <v>1</v>
      </c>
      <c r="B3" s="365" t="s">
        <v>70</v>
      </c>
      <c r="C3" s="365"/>
      <c r="D3" s="365"/>
      <c r="E3" s="365"/>
      <c r="F3" s="365"/>
      <c r="G3" s="365"/>
      <c r="H3" s="365"/>
      <c r="I3" s="365"/>
      <c r="J3" s="365"/>
      <c r="K3" s="365"/>
    </row>
    <row r="4" spans="1:14" ht="22" customHeight="1" x14ac:dyDescent="0.3">
      <c r="A4" s="2" t="s">
        <v>2</v>
      </c>
      <c r="B4" s="366" t="s">
        <v>3</v>
      </c>
      <c r="C4" s="366"/>
      <c r="D4" s="366"/>
      <c r="E4" s="366"/>
      <c r="F4" s="366"/>
      <c r="G4" s="366"/>
      <c r="H4" s="366"/>
      <c r="I4" s="366"/>
      <c r="J4" s="366"/>
      <c r="K4" s="366"/>
    </row>
    <row r="5" spans="1:14" ht="22" customHeight="1" x14ac:dyDescent="0.3">
      <c r="A5" s="2" t="s">
        <v>4</v>
      </c>
      <c r="B5" s="367">
        <v>45230</v>
      </c>
      <c r="C5" s="367"/>
      <c r="D5" s="367"/>
      <c r="E5" s="367"/>
      <c r="F5" s="367"/>
      <c r="G5" s="367"/>
      <c r="H5" s="367"/>
      <c r="I5" s="367"/>
      <c r="J5" s="367"/>
      <c r="K5" s="367"/>
      <c r="N5" s="3"/>
    </row>
    <row r="6" spans="1:14" ht="22" customHeight="1" x14ac:dyDescent="0.3">
      <c r="A6" s="2" t="s">
        <v>5</v>
      </c>
      <c r="B6" s="361">
        <v>1698</v>
      </c>
      <c r="C6" s="361"/>
      <c r="D6" s="362"/>
      <c r="E6" s="362"/>
      <c r="F6" s="362"/>
      <c r="G6" s="362"/>
      <c r="H6" s="362"/>
      <c r="I6" s="362"/>
      <c r="J6" s="362"/>
      <c r="K6" s="362"/>
      <c r="N6" s="3"/>
    </row>
    <row r="7" spans="1:14" ht="22" customHeight="1" x14ac:dyDescent="0.3">
      <c r="A7" s="2" t="s">
        <v>6</v>
      </c>
      <c r="B7" s="362" t="s">
        <v>64</v>
      </c>
      <c r="C7" s="362"/>
      <c r="D7" s="362"/>
      <c r="E7" s="362"/>
      <c r="F7" s="362"/>
      <c r="G7" s="362"/>
      <c r="H7" s="362"/>
      <c r="I7" s="362"/>
      <c r="J7" s="362"/>
      <c r="K7" s="362"/>
      <c r="N7" s="3"/>
    </row>
    <row r="8" spans="1:14" ht="22" customHeight="1" x14ac:dyDescent="0.3">
      <c r="A8" s="2" t="s">
        <v>8</v>
      </c>
      <c r="B8" s="366" t="s">
        <v>65</v>
      </c>
      <c r="C8" s="366"/>
      <c r="D8" s="366"/>
      <c r="E8" s="366"/>
      <c r="F8" s="366"/>
      <c r="G8" s="366"/>
      <c r="H8" s="366"/>
      <c r="I8" s="366"/>
      <c r="J8" s="366"/>
      <c r="K8" s="366"/>
    </row>
    <row r="9" spans="1:14" ht="22" customHeight="1" x14ac:dyDescent="0.3">
      <c r="A9" s="2" t="s">
        <v>9</v>
      </c>
      <c r="B9" s="372">
        <f>$I$17</f>
        <v>104686</v>
      </c>
      <c r="C9" s="372"/>
      <c r="D9" s="373"/>
      <c r="E9" s="373"/>
      <c r="F9" s="373"/>
      <c r="G9" s="373"/>
      <c r="H9" s="373"/>
      <c r="I9" s="373"/>
      <c r="J9" s="373"/>
      <c r="K9" s="373"/>
    </row>
    <row r="10" spans="1:14" ht="22.5" customHeight="1" x14ac:dyDescent="0.3">
      <c r="A10" s="2"/>
      <c r="B10" s="374" t="s">
        <v>10</v>
      </c>
      <c r="C10" s="374"/>
      <c r="D10" s="374"/>
      <c r="E10" s="374"/>
      <c r="F10" s="374"/>
      <c r="G10" s="374"/>
      <c r="H10" s="374"/>
      <c r="I10" s="374"/>
      <c r="J10" s="374"/>
      <c r="K10" s="374"/>
    </row>
    <row r="11" spans="1:14" s="16" customFormat="1" ht="42" customHeight="1" x14ac:dyDescent="0.25">
      <c r="A11" s="4" t="s">
        <v>11</v>
      </c>
      <c r="B11" s="5" t="s">
        <v>12</v>
      </c>
      <c r="C11" s="6" t="s">
        <v>56</v>
      </c>
      <c r="D11" s="6" t="s">
        <v>13</v>
      </c>
      <c r="E11" s="6" t="s">
        <v>0</v>
      </c>
      <c r="F11" s="6" t="s">
        <v>14</v>
      </c>
      <c r="G11" s="6" t="s">
        <v>73</v>
      </c>
      <c r="H11" s="4" t="s">
        <v>15</v>
      </c>
      <c r="I11" s="5" t="s">
        <v>29</v>
      </c>
      <c r="J11" s="4" t="s">
        <v>31</v>
      </c>
      <c r="K11" s="4" t="s">
        <v>30</v>
      </c>
      <c r="M11" s="17"/>
    </row>
    <row r="12" spans="1:14" s="8" customFormat="1" ht="15" x14ac:dyDescent="0.3">
      <c r="A12" s="25">
        <v>1</v>
      </c>
      <c r="B12" s="375">
        <v>45230</v>
      </c>
      <c r="C12" s="31">
        <v>1671</v>
      </c>
      <c r="D12" s="33" t="s">
        <v>48</v>
      </c>
      <c r="E12" s="381" t="s">
        <v>47</v>
      </c>
      <c r="F12" s="10" t="s">
        <v>69</v>
      </c>
      <c r="G12" s="10" t="s">
        <v>74</v>
      </c>
      <c r="H12" s="11">
        <v>17210</v>
      </c>
      <c r="I12" s="30">
        <f>H12</f>
        <v>17210</v>
      </c>
      <c r="J12" s="375" t="s">
        <v>32</v>
      </c>
      <c r="K12" s="378" t="s">
        <v>43</v>
      </c>
    </row>
    <row r="13" spans="1:14" s="8" customFormat="1" ht="15" x14ac:dyDescent="0.3">
      <c r="A13" s="25">
        <v>3</v>
      </c>
      <c r="B13" s="376"/>
      <c r="C13" s="31">
        <v>1668</v>
      </c>
      <c r="D13" s="33" t="s">
        <v>49</v>
      </c>
      <c r="E13" s="382"/>
      <c r="F13" s="10" t="s">
        <v>69</v>
      </c>
      <c r="G13" s="10" t="s">
        <v>75</v>
      </c>
      <c r="H13" s="11">
        <v>38340</v>
      </c>
      <c r="I13" s="30">
        <f>H13</f>
        <v>38340</v>
      </c>
      <c r="J13" s="376"/>
      <c r="K13" s="379"/>
    </row>
    <row r="14" spans="1:14" s="8" customFormat="1" ht="15" x14ac:dyDescent="0.3">
      <c r="A14" s="25">
        <v>5</v>
      </c>
      <c r="B14" s="376"/>
      <c r="C14" s="31">
        <v>1672</v>
      </c>
      <c r="D14" s="33" t="s">
        <v>50</v>
      </c>
      <c r="E14" s="382"/>
      <c r="F14" s="10" t="s">
        <v>69</v>
      </c>
      <c r="G14" s="10" t="s">
        <v>75</v>
      </c>
      <c r="H14" s="11">
        <v>32516</v>
      </c>
      <c r="I14" s="30">
        <f>H14</f>
        <v>32516</v>
      </c>
      <c r="J14" s="376"/>
      <c r="K14" s="379"/>
    </row>
    <row r="15" spans="1:14" s="8" customFormat="1" ht="15" x14ac:dyDescent="0.3">
      <c r="A15" s="25">
        <v>5</v>
      </c>
      <c r="B15" s="376"/>
      <c r="C15" s="32">
        <v>1674</v>
      </c>
      <c r="D15" s="34" t="s">
        <v>54</v>
      </c>
      <c r="E15" s="382"/>
      <c r="F15" s="37" t="s">
        <v>69</v>
      </c>
      <c r="G15" s="37" t="s">
        <v>76</v>
      </c>
      <c r="H15" s="41">
        <v>1940</v>
      </c>
      <c r="I15" s="39">
        <f>H15</f>
        <v>1940</v>
      </c>
      <c r="J15" s="376"/>
      <c r="K15" s="379"/>
    </row>
    <row r="16" spans="1:14" s="8" customFormat="1" ht="15" x14ac:dyDescent="0.3">
      <c r="A16" s="40">
        <v>6</v>
      </c>
      <c r="B16" s="377"/>
      <c r="C16" s="31"/>
      <c r="D16" s="33" t="s">
        <v>71</v>
      </c>
      <c r="E16" s="383"/>
      <c r="F16" s="37" t="s">
        <v>69</v>
      </c>
      <c r="G16" s="37" t="s">
        <v>75</v>
      </c>
      <c r="H16" s="11">
        <v>14680</v>
      </c>
      <c r="I16" s="30">
        <f>H16</f>
        <v>14680</v>
      </c>
      <c r="J16" s="377"/>
      <c r="K16" s="380"/>
    </row>
    <row r="17" spans="1:15" ht="15.75" customHeight="1" x14ac:dyDescent="0.3">
      <c r="A17" s="384" t="s">
        <v>16</v>
      </c>
      <c r="B17" s="385"/>
      <c r="C17" s="385"/>
      <c r="D17" s="385"/>
      <c r="E17" s="385"/>
      <c r="F17" s="385"/>
      <c r="G17" s="385"/>
      <c r="H17" s="386"/>
      <c r="I17" s="12">
        <f>SUM(I12:I16)</f>
        <v>104686</v>
      </c>
      <c r="J17" s="387"/>
      <c r="K17" s="388"/>
      <c r="M17" s="1" t="s">
        <v>17</v>
      </c>
    </row>
    <row r="18" spans="1:15" ht="18" customHeight="1" x14ac:dyDescent="0.3">
      <c r="A18" s="2" t="s">
        <v>18</v>
      </c>
      <c r="B18" s="368" t="s">
        <v>72</v>
      </c>
      <c r="C18" s="368"/>
      <c r="D18" s="368"/>
      <c r="E18" s="368"/>
      <c r="F18" s="368"/>
      <c r="G18" s="368"/>
      <c r="H18" s="368"/>
      <c r="I18" s="368"/>
      <c r="J18" s="368"/>
      <c r="K18" s="368"/>
    </row>
    <row r="21" spans="1:15" ht="25.5" customHeight="1" x14ac:dyDescent="0.3"/>
    <row r="22" spans="1:15" ht="25.5" customHeight="1" x14ac:dyDescent="0.3"/>
    <row r="23" spans="1:15" ht="53" customHeight="1" x14ac:dyDescent="0.3"/>
    <row r="25" spans="1:15" customFormat="1" ht="14.5" x14ac:dyDescent="0.35">
      <c r="A25" s="369" t="s">
        <v>33</v>
      </c>
      <c r="B25" s="369"/>
      <c r="C25" s="24"/>
      <c r="D25" s="1"/>
      <c r="E25" s="24" t="s">
        <v>34</v>
      </c>
      <c r="F25" s="24"/>
      <c r="G25" s="24"/>
      <c r="H25" s="20" t="s">
        <v>35</v>
      </c>
      <c r="I25" s="20"/>
      <c r="J25" s="20"/>
      <c r="K25" s="21"/>
      <c r="L25" s="20"/>
      <c r="M25" s="1"/>
      <c r="N25" s="1"/>
      <c r="O25" s="21"/>
    </row>
    <row r="26" spans="1:15" customFormat="1" ht="14.5" x14ac:dyDescent="0.35">
      <c r="A26" s="370" t="s">
        <v>19</v>
      </c>
      <c r="B26" s="370"/>
      <c r="C26" s="27"/>
      <c r="D26" s="13" t="s">
        <v>36</v>
      </c>
      <c r="E26" s="21" t="s">
        <v>20</v>
      </c>
      <c r="F26" s="21"/>
      <c r="G26" s="21"/>
      <c r="H26" s="21" t="s">
        <v>21</v>
      </c>
      <c r="I26" s="21"/>
      <c r="J26" s="371" t="s">
        <v>22</v>
      </c>
      <c r="K26" s="371"/>
      <c r="L26" s="21"/>
      <c r="M26" s="1"/>
      <c r="N26" s="1"/>
      <c r="O26" s="22"/>
    </row>
    <row r="27" spans="1:15" customFormat="1" ht="14.5" x14ac:dyDescent="0.35">
      <c r="A27" s="389" t="s">
        <v>64</v>
      </c>
      <c r="B27" s="389"/>
      <c r="C27" s="28"/>
      <c r="D27" s="14" t="s">
        <v>6</v>
      </c>
      <c r="E27" s="22" t="s">
        <v>23</v>
      </c>
      <c r="F27" s="22"/>
      <c r="G27" s="22"/>
      <c r="H27" s="22" t="s">
        <v>24</v>
      </c>
      <c r="I27" s="22"/>
      <c r="J27" s="389" t="s">
        <v>25</v>
      </c>
      <c r="K27" s="389"/>
      <c r="L27" s="22"/>
      <c r="M27" s="1"/>
      <c r="N27" s="1"/>
      <c r="O27" s="23"/>
    </row>
    <row r="28" spans="1:15" customFormat="1" ht="14.5" x14ac:dyDescent="0.35">
      <c r="A28" s="390" t="s">
        <v>65</v>
      </c>
      <c r="B28" s="390"/>
      <c r="C28" s="26"/>
      <c r="D28" s="15" t="s">
        <v>38</v>
      </c>
      <c r="E28" s="23" t="s">
        <v>41</v>
      </c>
      <c r="F28" s="23"/>
      <c r="G28" s="23"/>
      <c r="H28" s="23" t="s">
        <v>39</v>
      </c>
      <c r="I28" s="23"/>
      <c r="J28" s="390" t="s">
        <v>26</v>
      </c>
      <c r="K28" s="390"/>
      <c r="L28" s="23"/>
      <c r="M28" s="1"/>
      <c r="N28" s="1"/>
      <c r="O28" s="15"/>
    </row>
    <row r="29" spans="1:15" customFormat="1" ht="14.5" x14ac:dyDescent="0.35">
      <c r="A29" s="390" t="s">
        <v>27</v>
      </c>
      <c r="B29" s="390"/>
      <c r="C29" s="26"/>
      <c r="D29" s="15" t="s">
        <v>40</v>
      </c>
      <c r="E29" s="23" t="s">
        <v>27</v>
      </c>
      <c r="F29" s="23"/>
      <c r="G29" s="23"/>
      <c r="H29" s="23" t="s">
        <v>27</v>
      </c>
      <c r="I29" s="23"/>
      <c r="J29" s="1"/>
      <c r="K29" s="23"/>
      <c r="L29" s="23"/>
      <c r="M29" s="23"/>
    </row>
    <row r="30" spans="1:15" x14ac:dyDescent="0.3">
      <c r="A30" s="19"/>
      <c r="D30" s="19"/>
      <c r="E30" s="18"/>
      <c r="F30" s="18"/>
      <c r="G30" s="18"/>
      <c r="H30" s="18"/>
      <c r="I30" s="9"/>
      <c r="J30" s="9"/>
      <c r="K30" s="7"/>
    </row>
    <row r="31" spans="1:15" x14ac:dyDescent="0.3">
      <c r="A31" s="19"/>
      <c r="D31" s="19"/>
      <c r="E31" s="18"/>
      <c r="F31" s="18"/>
      <c r="G31" s="18"/>
      <c r="H31" s="18"/>
      <c r="I31" s="9"/>
      <c r="J31" s="9"/>
      <c r="K31" s="7"/>
    </row>
    <row r="32" spans="1:15" x14ac:dyDescent="0.3">
      <c r="A32" s="19"/>
      <c r="D32" s="19"/>
      <c r="E32" s="18"/>
      <c r="F32" s="18"/>
      <c r="G32" s="18"/>
      <c r="H32" s="18"/>
      <c r="I32" s="9"/>
      <c r="J32" s="9"/>
      <c r="K32" s="7"/>
    </row>
  </sheetData>
  <mergeCells count="25">
    <mergeCell ref="A27:B27"/>
    <mergeCell ref="J27:K27"/>
    <mergeCell ref="A28:B28"/>
    <mergeCell ref="J28:K28"/>
    <mergeCell ref="A29:B29"/>
    <mergeCell ref="B18:K18"/>
    <mergeCell ref="A25:B25"/>
    <mergeCell ref="A26:B26"/>
    <mergeCell ref="J26:K26"/>
    <mergeCell ref="B7:K7"/>
    <mergeCell ref="B8:K8"/>
    <mergeCell ref="B9:K9"/>
    <mergeCell ref="B10:K10"/>
    <mergeCell ref="J12:J16"/>
    <mergeCell ref="K12:K16"/>
    <mergeCell ref="B12:B16"/>
    <mergeCell ref="E12:E16"/>
    <mergeCell ref="A17:H17"/>
    <mergeCell ref="J17:K17"/>
    <mergeCell ref="B6:K6"/>
    <mergeCell ref="A1:K1"/>
    <mergeCell ref="B2:K2"/>
    <mergeCell ref="B3:K3"/>
    <mergeCell ref="B4:K4"/>
    <mergeCell ref="B5:K5"/>
  </mergeCells>
  <phoneticPr fontId="19" type="noConversion"/>
  <pageMargins left="0.7" right="0.7" top="0.75" bottom="0.75" header="0.3" footer="0.3"/>
  <pageSetup paperSize="9" scale="54" orientation="landscape"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1792B-80A7-4DC0-A129-F699FC8B6C70}">
  <sheetPr>
    <pageSetUpPr fitToPage="1"/>
  </sheetPr>
  <dimension ref="A1:N31"/>
  <sheetViews>
    <sheetView view="pageBreakPreview" topLeftCell="B7" zoomScaleNormal="100" zoomScaleSheetLayoutView="100" workbookViewId="0">
      <selection activeCell="A22" sqref="A22"/>
    </sheetView>
  </sheetViews>
  <sheetFormatPr defaultColWidth="9.1796875" defaultRowHeight="14" x14ac:dyDescent="0.3"/>
  <cols>
    <col min="1" max="1" width="18.81640625" style="1" bestFit="1" customWidth="1"/>
    <col min="2" max="2" width="24.81640625" style="1" customWidth="1"/>
    <col min="3" max="3" width="12.26953125" style="1" customWidth="1"/>
    <col min="4" max="4" width="39.7265625" style="1" customWidth="1"/>
    <col min="5" max="5" width="21" style="1" customWidth="1"/>
    <col min="6" max="6" width="24.81640625" style="1" customWidth="1"/>
    <col min="7" max="7" width="24.7265625" style="1" customWidth="1"/>
    <col min="8" max="8" width="19.1796875" style="1" customWidth="1"/>
    <col min="9" max="9" width="26.81640625" style="1" customWidth="1"/>
    <col min="10" max="10" width="44.7265625" style="1" customWidth="1"/>
    <col min="11" max="11" width="9.81640625" style="1" bestFit="1" customWidth="1"/>
    <col min="12" max="12" width="9.1796875" style="1"/>
    <col min="13" max="13" width="11.54296875" style="1" bestFit="1" customWidth="1"/>
    <col min="14" max="16384" width="9.1796875" style="1"/>
  </cols>
  <sheetData>
    <row r="1" spans="1:13" ht="42.75" customHeight="1" x14ac:dyDescent="0.3">
      <c r="A1" s="363" t="s">
        <v>42</v>
      </c>
      <c r="B1" s="363"/>
      <c r="C1" s="363"/>
      <c r="D1" s="363"/>
      <c r="E1" s="363"/>
      <c r="F1" s="363"/>
      <c r="G1" s="363"/>
      <c r="H1" s="363"/>
      <c r="I1" s="363"/>
      <c r="J1" s="363"/>
    </row>
    <row r="2" spans="1:13" ht="23.25" customHeight="1" x14ac:dyDescent="0.3">
      <c r="A2" s="2" t="s">
        <v>0</v>
      </c>
      <c r="B2" s="364" t="s">
        <v>46</v>
      </c>
      <c r="C2" s="364"/>
      <c r="D2" s="364"/>
      <c r="E2" s="364"/>
      <c r="F2" s="364"/>
      <c r="G2" s="364"/>
      <c r="H2" s="364"/>
      <c r="I2" s="364"/>
      <c r="J2" s="364"/>
    </row>
    <row r="3" spans="1:13" ht="22" customHeight="1" x14ac:dyDescent="0.3">
      <c r="A3" s="2" t="s">
        <v>1</v>
      </c>
      <c r="B3" s="365" t="s">
        <v>61</v>
      </c>
      <c r="C3" s="365"/>
      <c r="D3" s="365"/>
      <c r="E3" s="365"/>
      <c r="F3" s="365"/>
      <c r="G3" s="365"/>
      <c r="H3" s="365"/>
      <c r="I3" s="365"/>
      <c r="J3" s="365"/>
    </row>
    <row r="4" spans="1:13" ht="22" customHeight="1" x14ac:dyDescent="0.3">
      <c r="A4" s="2" t="s">
        <v>2</v>
      </c>
      <c r="B4" s="366" t="s">
        <v>3</v>
      </c>
      <c r="C4" s="366"/>
      <c r="D4" s="366"/>
      <c r="E4" s="366"/>
      <c r="F4" s="366"/>
      <c r="G4" s="366"/>
      <c r="H4" s="366"/>
      <c r="I4" s="366"/>
      <c r="J4" s="366"/>
    </row>
    <row r="5" spans="1:13" ht="22" customHeight="1" x14ac:dyDescent="0.3">
      <c r="A5" s="2" t="s">
        <v>4</v>
      </c>
      <c r="B5" s="367">
        <v>45202</v>
      </c>
      <c r="C5" s="367"/>
      <c r="D5" s="367"/>
      <c r="E5" s="367"/>
      <c r="F5" s="367"/>
      <c r="G5" s="367"/>
      <c r="H5" s="367"/>
      <c r="I5" s="367"/>
      <c r="J5" s="367"/>
      <c r="M5" s="3"/>
    </row>
    <row r="6" spans="1:13" ht="22" customHeight="1" x14ac:dyDescent="0.3">
      <c r="A6" s="2" t="s">
        <v>5</v>
      </c>
      <c r="B6" s="361">
        <v>1698</v>
      </c>
      <c r="C6" s="361"/>
      <c r="D6" s="362"/>
      <c r="E6" s="362"/>
      <c r="F6" s="362"/>
      <c r="G6" s="362"/>
      <c r="H6" s="362"/>
      <c r="I6" s="362"/>
      <c r="J6" s="362"/>
      <c r="M6" s="3"/>
    </row>
    <row r="7" spans="1:13" ht="22" customHeight="1" x14ac:dyDescent="0.3">
      <c r="A7" s="2" t="s">
        <v>6</v>
      </c>
      <c r="B7" s="362" t="s">
        <v>64</v>
      </c>
      <c r="C7" s="362"/>
      <c r="D7" s="362"/>
      <c r="E7" s="362"/>
      <c r="F7" s="362"/>
      <c r="G7" s="362"/>
      <c r="H7" s="362"/>
      <c r="I7" s="362"/>
      <c r="J7" s="362"/>
      <c r="M7" s="3"/>
    </row>
    <row r="8" spans="1:13" ht="22" customHeight="1" x14ac:dyDescent="0.3">
      <c r="A8" s="2" t="s">
        <v>8</v>
      </c>
      <c r="B8" s="366" t="s">
        <v>65</v>
      </c>
      <c r="C8" s="366"/>
      <c r="D8" s="366"/>
      <c r="E8" s="366"/>
      <c r="F8" s="366"/>
      <c r="G8" s="366"/>
      <c r="H8" s="366"/>
      <c r="I8" s="366"/>
      <c r="J8" s="366"/>
    </row>
    <row r="9" spans="1:13" ht="22" customHeight="1" x14ac:dyDescent="0.3">
      <c r="A9" s="2" t="s">
        <v>9</v>
      </c>
      <c r="B9" s="372">
        <f>$H$16</f>
        <v>84874</v>
      </c>
      <c r="C9" s="372"/>
      <c r="D9" s="373"/>
      <c r="E9" s="373"/>
      <c r="F9" s="373"/>
      <c r="G9" s="373"/>
      <c r="H9" s="373"/>
      <c r="I9" s="373"/>
      <c r="J9" s="373"/>
    </row>
    <row r="10" spans="1:13" ht="22.5" customHeight="1" x14ac:dyDescent="0.3">
      <c r="A10" s="2"/>
      <c r="B10" s="374" t="s">
        <v>10</v>
      </c>
      <c r="C10" s="374"/>
      <c r="D10" s="374"/>
      <c r="E10" s="374"/>
      <c r="F10" s="374"/>
      <c r="G10" s="374"/>
      <c r="H10" s="374"/>
      <c r="I10" s="374"/>
      <c r="J10" s="374"/>
    </row>
    <row r="11" spans="1:13" s="16" customFormat="1" ht="42" customHeight="1" x14ac:dyDescent="0.25">
      <c r="A11" s="4" t="s">
        <v>11</v>
      </c>
      <c r="B11" s="5" t="s">
        <v>12</v>
      </c>
      <c r="C11" s="6" t="s">
        <v>56</v>
      </c>
      <c r="D11" s="6" t="s">
        <v>13</v>
      </c>
      <c r="E11" s="6" t="s">
        <v>0</v>
      </c>
      <c r="F11" s="6" t="s">
        <v>14</v>
      </c>
      <c r="G11" s="4" t="s">
        <v>15</v>
      </c>
      <c r="H11" s="5" t="s">
        <v>29</v>
      </c>
      <c r="I11" s="4" t="s">
        <v>31</v>
      </c>
      <c r="J11" s="4" t="s">
        <v>30</v>
      </c>
      <c r="L11" s="17"/>
    </row>
    <row r="12" spans="1:13" s="8" customFormat="1" ht="15" x14ac:dyDescent="0.3">
      <c r="A12" s="25">
        <v>1</v>
      </c>
      <c r="B12" s="394">
        <v>45202</v>
      </c>
      <c r="C12" s="31">
        <v>1671</v>
      </c>
      <c r="D12" s="33" t="s">
        <v>48</v>
      </c>
      <c r="E12" s="395" t="s">
        <v>47</v>
      </c>
      <c r="F12" s="10" t="s">
        <v>66</v>
      </c>
      <c r="G12" s="11">
        <v>10767</v>
      </c>
      <c r="H12" s="30">
        <f>G12</f>
        <v>10767</v>
      </c>
      <c r="I12" s="394" t="s">
        <v>32</v>
      </c>
      <c r="J12" s="396" t="s">
        <v>43</v>
      </c>
    </row>
    <row r="13" spans="1:13" s="8" customFormat="1" ht="15" x14ac:dyDescent="0.3">
      <c r="A13" s="25">
        <v>3</v>
      </c>
      <c r="B13" s="394"/>
      <c r="C13" s="31">
        <v>1668</v>
      </c>
      <c r="D13" s="33" t="s">
        <v>49</v>
      </c>
      <c r="E13" s="395"/>
      <c r="F13" s="10" t="s">
        <v>66</v>
      </c>
      <c r="G13" s="11">
        <v>41980</v>
      </c>
      <c r="H13" s="30">
        <f>G13</f>
        <v>41980</v>
      </c>
      <c r="I13" s="394"/>
      <c r="J13" s="397"/>
    </row>
    <row r="14" spans="1:13" s="8" customFormat="1" ht="15" x14ac:dyDescent="0.3">
      <c r="A14" s="25">
        <v>5</v>
      </c>
      <c r="B14" s="394"/>
      <c r="C14" s="31">
        <v>1672</v>
      </c>
      <c r="D14" s="33" t="s">
        <v>50</v>
      </c>
      <c r="E14" s="395"/>
      <c r="F14" s="10" t="s">
        <v>66</v>
      </c>
      <c r="G14" s="11">
        <v>30187</v>
      </c>
      <c r="H14" s="30">
        <f>G14</f>
        <v>30187</v>
      </c>
      <c r="I14" s="394"/>
      <c r="J14" s="397"/>
    </row>
    <row r="15" spans="1:13" s="8" customFormat="1" ht="15" x14ac:dyDescent="0.3">
      <c r="A15" s="25">
        <v>5</v>
      </c>
      <c r="B15" s="394"/>
      <c r="C15" s="32">
        <v>1674</v>
      </c>
      <c r="D15" s="34" t="s">
        <v>54</v>
      </c>
      <c r="E15" s="395"/>
      <c r="F15" s="10" t="s">
        <v>66</v>
      </c>
      <c r="G15" s="11">
        <v>1940</v>
      </c>
      <c r="H15" s="30">
        <f>G15</f>
        <v>1940</v>
      </c>
      <c r="I15" s="394"/>
      <c r="J15" s="397"/>
    </row>
    <row r="16" spans="1:13" ht="15.75" customHeight="1" x14ac:dyDescent="0.3">
      <c r="A16" s="384" t="s">
        <v>16</v>
      </c>
      <c r="B16" s="385"/>
      <c r="C16" s="385"/>
      <c r="D16" s="385"/>
      <c r="E16" s="385"/>
      <c r="F16" s="385"/>
      <c r="G16" s="386"/>
      <c r="H16" s="12">
        <f>SUM(H12:H15)</f>
        <v>84874</v>
      </c>
      <c r="I16" s="387"/>
      <c r="J16" s="388"/>
      <c r="L16" s="1" t="s">
        <v>17</v>
      </c>
    </row>
    <row r="17" spans="1:14" ht="18" customHeight="1" x14ac:dyDescent="0.3">
      <c r="A17" s="2" t="s">
        <v>18</v>
      </c>
      <c r="B17" s="368" t="s">
        <v>67</v>
      </c>
      <c r="C17" s="368"/>
      <c r="D17" s="368"/>
      <c r="E17" s="368"/>
      <c r="F17" s="368"/>
      <c r="G17" s="368"/>
      <c r="H17" s="368"/>
      <c r="I17" s="368"/>
      <c r="J17" s="368"/>
    </row>
    <row r="20" spans="1:14" ht="25.5" customHeight="1" x14ac:dyDescent="0.3"/>
    <row r="21" spans="1:14" ht="25.5" customHeight="1" x14ac:dyDescent="0.3"/>
    <row r="22" spans="1:14" ht="53" customHeight="1" x14ac:dyDescent="0.3"/>
    <row r="24" spans="1:14" customFormat="1" ht="14.5" x14ac:dyDescent="0.35">
      <c r="A24" s="369" t="s">
        <v>33</v>
      </c>
      <c r="B24" s="369"/>
      <c r="C24" s="24"/>
      <c r="D24" s="1"/>
      <c r="E24" s="24" t="s">
        <v>34</v>
      </c>
      <c r="F24" s="24"/>
      <c r="G24" s="20" t="s">
        <v>35</v>
      </c>
      <c r="H24" s="20"/>
      <c r="I24" s="20"/>
      <c r="J24" s="21"/>
      <c r="K24" s="20"/>
      <c r="L24" s="1"/>
      <c r="M24" s="1"/>
      <c r="N24" s="21"/>
    </row>
    <row r="25" spans="1:14" customFormat="1" ht="14.5" x14ac:dyDescent="0.35">
      <c r="A25" s="393" t="s">
        <v>19</v>
      </c>
      <c r="B25" s="393"/>
      <c r="C25" s="27"/>
      <c r="D25" s="13" t="s">
        <v>36</v>
      </c>
      <c r="E25" s="21" t="s">
        <v>20</v>
      </c>
      <c r="F25" s="21"/>
      <c r="G25" s="21" t="s">
        <v>21</v>
      </c>
      <c r="H25" s="21"/>
      <c r="I25" s="371" t="s">
        <v>22</v>
      </c>
      <c r="J25" s="371"/>
      <c r="K25" s="21"/>
      <c r="L25" s="1"/>
      <c r="M25" s="1"/>
      <c r="N25" s="22"/>
    </row>
    <row r="26" spans="1:14" customFormat="1" ht="14.5" x14ac:dyDescent="0.35">
      <c r="A26" s="391" t="s">
        <v>64</v>
      </c>
      <c r="B26" s="391"/>
      <c r="C26" s="28"/>
      <c r="D26" s="14" t="s">
        <v>6</v>
      </c>
      <c r="E26" s="22" t="s">
        <v>23</v>
      </c>
      <c r="F26" s="22"/>
      <c r="G26" s="22" t="s">
        <v>24</v>
      </c>
      <c r="H26" s="22"/>
      <c r="I26" s="389" t="s">
        <v>25</v>
      </c>
      <c r="J26" s="389"/>
      <c r="K26" s="22"/>
      <c r="L26" s="1"/>
      <c r="M26" s="1"/>
      <c r="N26" s="23"/>
    </row>
    <row r="27" spans="1:14" customFormat="1" ht="14.5" x14ac:dyDescent="0.35">
      <c r="A27" s="392" t="s">
        <v>65</v>
      </c>
      <c r="B27" s="392"/>
      <c r="C27" s="26"/>
      <c r="D27" s="15" t="s">
        <v>38</v>
      </c>
      <c r="E27" s="23" t="s">
        <v>41</v>
      </c>
      <c r="F27" s="23"/>
      <c r="G27" s="23" t="s">
        <v>39</v>
      </c>
      <c r="H27" s="23"/>
      <c r="I27" s="390" t="s">
        <v>26</v>
      </c>
      <c r="J27" s="390"/>
      <c r="K27" s="23"/>
      <c r="L27" s="1"/>
      <c r="M27" s="1"/>
      <c r="N27" s="15"/>
    </row>
    <row r="28" spans="1:14" customFormat="1" ht="14.5" x14ac:dyDescent="0.35">
      <c r="A28" s="392" t="s">
        <v>27</v>
      </c>
      <c r="B28" s="392"/>
      <c r="C28" s="26"/>
      <c r="D28" s="15" t="s">
        <v>40</v>
      </c>
      <c r="E28" s="23" t="s">
        <v>27</v>
      </c>
      <c r="F28" s="23"/>
      <c r="G28" s="23" t="s">
        <v>27</v>
      </c>
      <c r="H28" s="23"/>
      <c r="I28" s="1"/>
      <c r="J28" s="23"/>
      <c r="K28" s="23"/>
      <c r="L28" s="23"/>
    </row>
    <row r="29" spans="1:14" x14ac:dyDescent="0.3">
      <c r="A29" s="19"/>
      <c r="D29" s="19"/>
      <c r="E29" s="18"/>
      <c r="F29" s="18"/>
      <c r="G29" s="18"/>
      <c r="H29" s="9"/>
      <c r="I29" s="9"/>
      <c r="J29" s="7"/>
    </row>
    <row r="30" spans="1:14" x14ac:dyDescent="0.3">
      <c r="A30" s="19"/>
      <c r="D30" s="19"/>
      <c r="E30" s="18"/>
      <c r="F30" s="18"/>
      <c r="G30" s="18"/>
      <c r="H30" s="9"/>
      <c r="I30" s="9"/>
      <c r="J30" s="7"/>
    </row>
    <row r="31" spans="1:14" x14ac:dyDescent="0.3">
      <c r="A31" s="19"/>
      <c r="D31" s="19"/>
      <c r="E31" s="18"/>
      <c r="F31" s="18"/>
      <c r="G31" s="18"/>
      <c r="H31" s="9"/>
      <c r="I31" s="9"/>
      <c r="J31" s="7"/>
    </row>
  </sheetData>
  <mergeCells count="25">
    <mergeCell ref="B6:J6"/>
    <mergeCell ref="A1:J1"/>
    <mergeCell ref="B2:J2"/>
    <mergeCell ref="B3:J3"/>
    <mergeCell ref="B4:J4"/>
    <mergeCell ref="B5:J5"/>
    <mergeCell ref="B7:J7"/>
    <mergeCell ref="B8:J8"/>
    <mergeCell ref="B9:J9"/>
    <mergeCell ref="B10:J10"/>
    <mergeCell ref="B12:B15"/>
    <mergeCell ref="E12:E15"/>
    <mergeCell ref="I12:I15"/>
    <mergeCell ref="J12:J15"/>
    <mergeCell ref="A16:G16"/>
    <mergeCell ref="I16:J16"/>
    <mergeCell ref="B17:J17"/>
    <mergeCell ref="A24:B24"/>
    <mergeCell ref="A25:B25"/>
    <mergeCell ref="I25:J25"/>
    <mergeCell ref="A26:B26"/>
    <mergeCell ref="I26:J26"/>
    <mergeCell ref="A27:B27"/>
    <mergeCell ref="I27:J27"/>
    <mergeCell ref="A28:B28"/>
  </mergeCells>
  <phoneticPr fontId="19" type="noConversion"/>
  <pageMargins left="0.7" right="0.7" top="0.75" bottom="0.75" header="0.3" footer="0.3"/>
  <pageSetup paperSize="9" scale="51" orientation="landscape" r:id="rId1"/>
  <colBreaks count="1" manualBreakCount="1">
    <brk id="10"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82550-D304-44A9-B6E3-6D0F1199EC2C}">
  <sheetPr>
    <pageSetUpPr fitToPage="1"/>
  </sheetPr>
  <dimension ref="A1:M33"/>
  <sheetViews>
    <sheetView view="pageBreakPreview" topLeftCell="A7" zoomScale="90" zoomScaleNormal="100" zoomScaleSheetLayoutView="90" workbookViewId="0">
      <selection activeCell="C12" sqref="C12:C13"/>
    </sheetView>
  </sheetViews>
  <sheetFormatPr defaultColWidth="9.1796875" defaultRowHeight="14" x14ac:dyDescent="0.3"/>
  <cols>
    <col min="1" max="1" width="18.81640625" style="1" bestFit="1" customWidth="1"/>
    <col min="2" max="2" width="26.7265625" style="1" customWidth="1"/>
    <col min="3" max="3" width="39.7265625" style="1" customWidth="1"/>
    <col min="4" max="4" width="21" style="1" customWidth="1"/>
    <col min="5" max="5" width="24.81640625" style="1" customWidth="1"/>
    <col min="6" max="6" width="24.7265625" style="1" customWidth="1"/>
    <col min="7" max="7" width="19.1796875" style="1" customWidth="1"/>
    <col min="8" max="8" width="26.81640625" style="1" customWidth="1"/>
    <col min="9" max="9" width="44.7265625" style="1" customWidth="1"/>
    <col min="10" max="10" width="9.81640625" style="1" bestFit="1" customWidth="1"/>
    <col min="11" max="11" width="9.1796875" style="1"/>
    <col min="12" max="12" width="11.54296875" style="1" bestFit="1" customWidth="1"/>
    <col min="13" max="16384" width="9.1796875" style="1"/>
  </cols>
  <sheetData>
    <row r="1" spans="1:12" ht="42.75" customHeight="1" x14ac:dyDescent="0.3">
      <c r="A1" s="363" t="s">
        <v>42</v>
      </c>
      <c r="B1" s="363"/>
      <c r="C1" s="363"/>
      <c r="D1" s="363"/>
      <c r="E1" s="363"/>
      <c r="F1" s="363"/>
      <c r="G1" s="363"/>
      <c r="H1" s="363"/>
      <c r="I1" s="363"/>
    </row>
    <row r="2" spans="1:12" ht="23.25" customHeight="1" x14ac:dyDescent="0.3">
      <c r="A2" s="2" t="s">
        <v>0</v>
      </c>
      <c r="B2" s="364" t="s">
        <v>46</v>
      </c>
      <c r="C2" s="364"/>
      <c r="D2" s="364"/>
      <c r="E2" s="364"/>
      <c r="F2" s="364"/>
      <c r="G2" s="364"/>
      <c r="H2" s="364"/>
      <c r="I2" s="364"/>
    </row>
    <row r="3" spans="1:12" ht="22" customHeight="1" x14ac:dyDescent="0.3">
      <c r="A3" s="2" t="s">
        <v>1</v>
      </c>
      <c r="B3" s="365" t="s">
        <v>52</v>
      </c>
      <c r="C3" s="365"/>
      <c r="D3" s="365"/>
      <c r="E3" s="365"/>
      <c r="F3" s="365"/>
      <c r="G3" s="365"/>
      <c r="H3" s="365"/>
      <c r="I3" s="365"/>
    </row>
    <row r="4" spans="1:12" ht="22" customHeight="1" x14ac:dyDescent="0.3">
      <c r="A4" s="2" t="s">
        <v>2</v>
      </c>
      <c r="B4" s="366" t="s">
        <v>3</v>
      </c>
      <c r="C4" s="366"/>
      <c r="D4" s="366"/>
      <c r="E4" s="366"/>
      <c r="F4" s="366"/>
      <c r="G4" s="366"/>
      <c r="H4" s="366"/>
      <c r="I4" s="366"/>
    </row>
    <row r="5" spans="1:12" ht="22" customHeight="1" x14ac:dyDescent="0.3">
      <c r="A5" s="2" t="s">
        <v>4</v>
      </c>
      <c r="B5" s="367">
        <v>45116</v>
      </c>
      <c r="C5" s="367"/>
      <c r="D5" s="367"/>
      <c r="E5" s="367"/>
      <c r="F5" s="367"/>
      <c r="G5" s="367"/>
      <c r="H5" s="367"/>
      <c r="I5" s="367"/>
      <c r="L5" s="3"/>
    </row>
    <row r="6" spans="1:12" ht="22" customHeight="1" x14ac:dyDescent="0.3">
      <c r="A6" s="2" t="s">
        <v>5</v>
      </c>
      <c r="B6" s="361">
        <v>1516</v>
      </c>
      <c r="C6" s="362"/>
      <c r="D6" s="362"/>
      <c r="E6" s="362"/>
      <c r="F6" s="362"/>
      <c r="G6" s="362"/>
      <c r="H6" s="362"/>
      <c r="I6" s="362"/>
      <c r="L6" s="3"/>
    </row>
    <row r="7" spans="1:12" ht="22" customHeight="1" x14ac:dyDescent="0.3">
      <c r="A7" s="2" t="s">
        <v>6</v>
      </c>
      <c r="B7" s="362" t="s">
        <v>7</v>
      </c>
      <c r="C7" s="362"/>
      <c r="D7" s="362"/>
      <c r="E7" s="362"/>
      <c r="F7" s="362"/>
      <c r="G7" s="362"/>
      <c r="H7" s="362"/>
      <c r="I7" s="362"/>
      <c r="L7" s="3"/>
    </row>
    <row r="8" spans="1:12" ht="22" customHeight="1" x14ac:dyDescent="0.3">
      <c r="A8" s="2" t="s">
        <v>8</v>
      </c>
      <c r="B8" s="366" t="s">
        <v>28</v>
      </c>
      <c r="C8" s="366"/>
      <c r="D8" s="366"/>
      <c r="E8" s="366"/>
      <c r="F8" s="366"/>
      <c r="G8" s="366"/>
      <c r="H8" s="366"/>
      <c r="I8" s="366"/>
    </row>
    <row r="9" spans="1:12" ht="22" customHeight="1" x14ac:dyDescent="0.3">
      <c r="A9" s="2" t="s">
        <v>9</v>
      </c>
      <c r="B9" s="372">
        <f>$G$18</f>
        <v>117568</v>
      </c>
      <c r="C9" s="373"/>
      <c r="D9" s="373"/>
      <c r="E9" s="373"/>
      <c r="F9" s="373"/>
      <c r="G9" s="373"/>
      <c r="H9" s="373"/>
      <c r="I9" s="373"/>
    </row>
    <row r="10" spans="1:12" ht="22.5" customHeight="1" x14ac:dyDescent="0.3">
      <c r="A10" s="2"/>
      <c r="B10" s="374" t="s">
        <v>10</v>
      </c>
      <c r="C10" s="374"/>
      <c r="D10" s="374"/>
      <c r="E10" s="374"/>
      <c r="F10" s="374"/>
      <c r="G10" s="374"/>
      <c r="H10" s="374"/>
      <c r="I10" s="374"/>
    </row>
    <row r="11" spans="1:12" s="16" customFormat="1" ht="42" customHeight="1" x14ac:dyDescent="0.25">
      <c r="A11" s="4" t="s">
        <v>11</v>
      </c>
      <c r="B11" s="5" t="s">
        <v>12</v>
      </c>
      <c r="C11" s="6" t="s">
        <v>13</v>
      </c>
      <c r="D11" s="6" t="s">
        <v>0</v>
      </c>
      <c r="E11" s="6" t="s">
        <v>14</v>
      </c>
      <c r="F11" s="4" t="s">
        <v>15</v>
      </c>
      <c r="G11" s="5" t="s">
        <v>29</v>
      </c>
      <c r="H11" s="4" t="s">
        <v>31</v>
      </c>
      <c r="I11" s="4" t="s">
        <v>30</v>
      </c>
      <c r="K11" s="17"/>
    </row>
    <row r="12" spans="1:12" s="8" customFormat="1" ht="15" x14ac:dyDescent="0.3">
      <c r="A12" s="25">
        <v>1</v>
      </c>
      <c r="B12" s="375">
        <v>45103</v>
      </c>
      <c r="C12" s="398" t="s">
        <v>48</v>
      </c>
      <c r="D12" s="381" t="s">
        <v>47</v>
      </c>
      <c r="E12" s="10" t="s">
        <v>44</v>
      </c>
      <c r="F12" s="11">
        <v>22288</v>
      </c>
      <c r="G12" s="400">
        <f>F12+F13</f>
        <v>40754</v>
      </c>
      <c r="H12" s="375" t="s">
        <v>32</v>
      </c>
      <c r="I12" s="378" t="s">
        <v>43</v>
      </c>
    </row>
    <row r="13" spans="1:12" s="8" customFormat="1" ht="15" x14ac:dyDescent="0.3">
      <c r="A13" s="25">
        <v>2</v>
      </c>
      <c r="B13" s="376"/>
      <c r="C13" s="399"/>
      <c r="D13" s="382"/>
      <c r="E13" s="10" t="s">
        <v>45</v>
      </c>
      <c r="F13" s="11">
        <v>18466</v>
      </c>
      <c r="G13" s="401"/>
      <c r="H13" s="376"/>
      <c r="I13" s="379"/>
    </row>
    <row r="14" spans="1:12" s="8" customFormat="1" ht="15" x14ac:dyDescent="0.3">
      <c r="A14" s="25">
        <v>3</v>
      </c>
      <c r="B14" s="376"/>
      <c r="C14" s="398" t="s">
        <v>49</v>
      </c>
      <c r="D14" s="382"/>
      <c r="E14" s="10" t="s">
        <v>44</v>
      </c>
      <c r="F14" s="11">
        <f>12314+616</f>
        <v>12930</v>
      </c>
      <c r="G14" s="400">
        <f>F15+F14</f>
        <v>25244</v>
      </c>
      <c r="H14" s="376"/>
      <c r="I14" s="379"/>
    </row>
    <row r="15" spans="1:12" s="8" customFormat="1" ht="15" x14ac:dyDescent="0.3">
      <c r="A15" s="25">
        <v>4</v>
      </c>
      <c r="B15" s="376"/>
      <c r="C15" s="399"/>
      <c r="D15" s="382"/>
      <c r="E15" s="10" t="s">
        <v>45</v>
      </c>
      <c r="F15" s="11">
        <v>12314</v>
      </c>
      <c r="G15" s="401"/>
      <c r="H15" s="376"/>
      <c r="I15" s="379"/>
    </row>
    <row r="16" spans="1:12" s="8" customFormat="1" ht="15" x14ac:dyDescent="0.3">
      <c r="A16" s="25">
        <v>5</v>
      </c>
      <c r="B16" s="376"/>
      <c r="C16" s="398" t="s">
        <v>50</v>
      </c>
      <c r="D16" s="382"/>
      <c r="E16" s="10" t="s">
        <v>44</v>
      </c>
      <c r="F16" s="11">
        <f>25600+1280</f>
        <v>26880</v>
      </c>
      <c r="G16" s="400">
        <f>F17+F16</f>
        <v>51570</v>
      </c>
      <c r="H16" s="376"/>
      <c r="I16" s="379"/>
    </row>
    <row r="17" spans="1:13" s="8" customFormat="1" ht="15" x14ac:dyDescent="0.3">
      <c r="A17" s="25">
        <v>6</v>
      </c>
      <c r="B17" s="377"/>
      <c r="C17" s="399"/>
      <c r="D17" s="383"/>
      <c r="E17" s="10" t="s">
        <v>45</v>
      </c>
      <c r="F17" s="11">
        <v>24690</v>
      </c>
      <c r="G17" s="401"/>
      <c r="H17" s="377"/>
      <c r="I17" s="380"/>
    </row>
    <row r="18" spans="1:13" ht="15.75" customHeight="1" x14ac:dyDescent="0.3">
      <c r="A18" s="384" t="s">
        <v>16</v>
      </c>
      <c r="B18" s="385"/>
      <c r="C18" s="385"/>
      <c r="D18" s="385"/>
      <c r="E18" s="385"/>
      <c r="F18" s="386"/>
      <c r="G18" s="12">
        <f>SUM(G12:G17)</f>
        <v>117568</v>
      </c>
      <c r="H18" s="387"/>
      <c r="I18" s="388"/>
      <c r="K18" s="1" t="s">
        <v>17</v>
      </c>
    </row>
    <row r="19" spans="1:13" ht="18" customHeight="1" x14ac:dyDescent="0.3">
      <c r="A19" s="2" t="s">
        <v>18</v>
      </c>
      <c r="B19" s="368" t="s">
        <v>51</v>
      </c>
      <c r="C19" s="368"/>
      <c r="D19" s="368"/>
      <c r="E19" s="368"/>
      <c r="F19" s="368"/>
      <c r="G19" s="368"/>
      <c r="H19" s="368"/>
      <c r="I19" s="368"/>
    </row>
    <row r="22" spans="1:13" ht="25.5" customHeight="1" x14ac:dyDescent="0.3"/>
    <row r="23" spans="1:13" ht="25.5" customHeight="1" x14ac:dyDescent="0.3"/>
    <row r="24" spans="1:13" ht="72.75" customHeight="1" x14ac:dyDescent="0.3"/>
    <row r="26" spans="1:13" customFormat="1" ht="14.5" x14ac:dyDescent="0.35">
      <c r="A26" s="369" t="s">
        <v>33</v>
      </c>
      <c r="B26" s="369"/>
      <c r="C26" s="1"/>
      <c r="D26" s="24" t="s">
        <v>34</v>
      </c>
      <c r="E26" s="24"/>
      <c r="F26" s="20" t="s">
        <v>35</v>
      </c>
      <c r="G26" s="20"/>
      <c r="H26" s="20"/>
      <c r="I26" s="21"/>
      <c r="J26" s="20"/>
      <c r="K26" s="1"/>
      <c r="L26" s="1"/>
      <c r="M26" s="21"/>
    </row>
    <row r="27" spans="1:13" customFormat="1" ht="14.5" x14ac:dyDescent="0.35">
      <c r="A27" s="393" t="s">
        <v>19</v>
      </c>
      <c r="B27" s="393"/>
      <c r="C27" s="13" t="s">
        <v>36</v>
      </c>
      <c r="D27" s="21" t="s">
        <v>20</v>
      </c>
      <c r="E27" s="21"/>
      <c r="F27" s="21" t="s">
        <v>21</v>
      </c>
      <c r="G27" s="21"/>
      <c r="H27" s="371" t="s">
        <v>22</v>
      </c>
      <c r="I27" s="371"/>
      <c r="J27" s="21"/>
      <c r="K27" s="1"/>
      <c r="L27" s="1"/>
      <c r="M27" s="22"/>
    </row>
    <row r="28" spans="1:13" customFormat="1" ht="14.5" x14ac:dyDescent="0.35">
      <c r="A28" s="391" t="s">
        <v>37</v>
      </c>
      <c r="B28" s="391"/>
      <c r="C28" s="14" t="s">
        <v>6</v>
      </c>
      <c r="D28" s="22" t="s">
        <v>23</v>
      </c>
      <c r="E28" s="22"/>
      <c r="F28" s="22" t="s">
        <v>24</v>
      </c>
      <c r="G28" s="22"/>
      <c r="H28" s="389" t="s">
        <v>25</v>
      </c>
      <c r="I28" s="389"/>
      <c r="J28" s="22"/>
      <c r="K28" s="1"/>
      <c r="L28" s="1"/>
      <c r="M28" s="23"/>
    </row>
    <row r="29" spans="1:13" customFormat="1" ht="14.5" x14ac:dyDescent="0.35">
      <c r="A29" s="392" t="s">
        <v>28</v>
      </c>
      <c r="B29" s="392"/>
      <c r="C29" s="15" t="s">
        <v>38</v>
      </c>
      <c r="D29" s="23" t="s">
        <v>41</v>
      </c>
      <c r="E29" s="23"/>
      <c r="F29" s="23" t="s">
        <v>39</v>
      </c>
      <c r="G29" s="23"/>
      <c r="H29" s="390" t="s">
        <v>26</v>
      </c>
      <c r="I29" s="390"/>
      <c r="J29" s="23"/>
      <c r="K29" s="1"/>
      <c r="L29" s="1"/>
      <c r="M29" s="15"/>
    </row>
    <row r="30" spans="1:13" customFormat="1" ht="14.5" x14ac:dyDescent="0.35">
      <c r="A30" s="392" t="s">
        <v>27</v>
      </c>
      <c r="B30" s="392"/>
      <c r="C30" s="15" t="s">
        <v>40</v>
      </c>
      <c r="D30" s="23" t="s">
        <v>27</v>
      </c>
      <c r="E30" s="23"/>
      <c r="F30" s="23" t="s">
        <v>27</v>
      </c>
      <c r="G30" s="23"/>
      <c r="H30" s="1"/>
      <c r="I30" s="23"/>
      <c r="J30" s="23"/>
      <c r="K30" s="23"/>
    </row>
    <row r="31" spans="1:13" x14ac:dyDescent="0.3">
      <c r="A31" s="19"/>
      <c r="C31" s="19"/>
      <c r="D31" s="18"/>
      <c r="E31" s="18"/>
      <c r="F31" s="18"/>
      <c r="G31" s="9"/>
      <c r="H31" s="9"/>
      <c r="I31" s="7"/>
    </row>
    <row r="32" spans="1:13" x14ac:dyDescent="0.3">
      <c r="A32" s="19"/>
      <c r="C32" s="19"/>
      <c r="D32" s="18"/>
      <c r="E32" s="18"/>
      <c r="F32" s="18"/>
      <c r="G32" s="9"/>
      <c r="H32" s="9"/>
      <c r="I32" s="7"/>
    </row>
    <row r="33" spans="1:9" x14ac:dyDescent="0.3">
      <c r="A33" s="19"/>
      <c r="C33" s="19"/>
      <c r="D33" s="18"/>
      <c r="E33" s="18"/>
      <c r="F33" s="18"/>
      <c r="G33" s="9"/>
      <c r="H33" s="9"/>
      <c r="I33" s="7"/>
    </row>
  </sheetData>
  <mergeCells count="31">
    <mergeCell ref="B6:I6"/>
    <mergeCell ref="A1:I1"/>
    <mergeCell ref="B2:I2"/>
    <mergeCell ref="B3:I3"/>
    <mergeCell ref="B4:I4"/>
    <mergeCell ref="B5:I5"/>
    <mergeCell ref="B7:I7"/>
    <mergeCell ref="B8:I8"/>
    <mergeCell ref="B9:I9"/>
    <mergeCell ref="B10:I10"/>
    <mergeCell ref="H12:H17"/>
    <mergeCell ref="I12:I17"/>
    <mergeCell ref="G12:G13"/>
    <mergeCell ref="C14:C15"/>
    <mergeCell ref="G14:G15"/>
    <mergeCell ref="C16:C17"/>
    <mergeCell ref="G16:G17"/>
    <mergeCell ref="H28:I28"/>
    <mergeCell ref="A29:B29"/>
    <mergeCell ref="H29:I29"/>
    <mergeCell ref="A18:F18"/>
    <mergeCell ref="H18:I18"/>
    <mergeCell ref="B19:I19"/>
    <mergeCell ref="A26:B26"/>
    <mergeCell ref="A27:B27"/>
    <mergeCell ref="H27:I27"/>
    <mergeCell ref="A30:B30"/>
    <mergeCell ref="B12:B17"/>
    <mergeCell ref="D12:D17"/>
    <mergeCell ref="C12:C13"/>
    <mergeCell ref="A28:B28"/>
  </mergeCells>
  <pageMargins left="0.7" right="0.7" top="0.75" bottom="0.75" header="0.3" footer="0.3"/>
  <pageSetup paperSize="9" scale="53" orientation="landscape" r:id="rId1"/>
  <colBreaks count="1" manualBreakCount="1">
    <brk id="9"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F9B63-1E7D-418A-88C2-5A3B8C4C3FCE}">
  <sheetPr>
    <pageSetUpPr fitToPage="1"/>
  </sheetPr>
  <dimension ref="A1:N33"/>
  <sheetViews>
    <sheetView view="pageBreakPreview" topLeftCell="A7" zoomScale="90" zoomScaleNormal="100" zoomScaleSheetLayoutView="90" workbookViewId="0">
      <selection activeCell="E12" sqref="E12:E17"/>
    </sheetView>
  </sheetViews>
  <sheetFormatPr defaultColWidth="9.1796875" defaultRowHeight="14" x14ac:dyDescent="0.3"/>
  <cols>
    <col min="1" max="1" width="18.81640625" style="1" bestFit="1" customWidth="1"/>
    <col min="2" max="2" width="24.81640625" style="1" customWidth="1"/>
    <col min="3" max="3" width="12.26953125" style="1" customWidth="1"/>
    <col min="4" max="4" width="39.7265625" style="1" customWidth="1"/>
    <col min="5" max="5" width="21" style="1" customWidth="1"/>
    <col min="6" max="6" width="24.81640625" style="1" customWidth="1"/>
    <col min="7" max="7" width="24.7265625" style="1" customWidth="1"/>
    <col min="8" max="8" width="19.1796875" style="1" customWidth="1"/>
    <col min="9" max="9" width="26.81640625" style="1" customWidth="1"/>
    <col min="10" max="10" width="44.7265625" style="1" customWidth="1"/>
    <col min="11" max="11" width="9.81640625" style="1" bestFit="1" customWidth="1"/>
    <col min="12" max="12" width="9.1796875" style="1"/>
    <col min="13" max="13" width="11.54296875" style="1" bestFit="1" customWidth="1"/>
    <col min="14" max="16384" width="9.1796875" style="1"/>
  </cols>
  <sheetData>
    <row r="1" spans="1:13" ht="42.75" customHeight="1" x14ac:dyDescent="0.3">
      <c r="A1" s="363" t="s">
        <v>42</v>
      </c>
      <c r="B1" s="363"/>
      <c r="C1" s="363"/>
      <c r="D1" s="363"/>
      <c r="E1" s="363"/>
      <c r="F1" s="363"/>
      <c r="G1" s="363"/>
      <c r="H1" s="363"/>
      <c r="I1" s="363"/>
      <c r="J1" s="363"/>
    </row>
    <row r="2" spans="1:13" ht="23.25" customHeight="1" x14ac:dyDescent="0.3">
      <c r="A2" s="2" t="s">
        <v>0</v>
      </c>
      <c r="B2" s="364" t="s">
        <v>46</v>
      </c>
      <c r="C2" s="364"/>
      <c r="D2" s="364"/>
      <c r="E2" s="364"/>
      <c r="F2" s="364"/>
      <c r="G2" s="364"/>
      <c r="H2" s="364"/>
      <c r="I2" s="364"/>
      <c r="J2" s="364"/>
    </row>
    <row r="3" spans="1:13" ht="22" customHeight="1" x14ac:dyDescent="0.3">
      <c r="A3" s="2" t="s">
        <v>1</v>
      </c>
      <c r="B3" s="365" t="s">
        <v>53</v>
      </c>
      <c r="C3" s="365"/>
      <c r="D3" s="365"/>
      <c r="E3" s="365"/>
      <c r="F3" s="365"/>
      <c r="G3" s="365"/>
      <c r="H3" s="365"/>
      <c r="I3" s="365"/>
      <c r="J3" s="365"/>
    </row>
    <row r="4" spans="1:13" ht="22" customHeight="1" x14ac:dyDescent="0.3">
      <c r="A4" s="2" t="s">
        <v>2</v>
      </c>
      <c r="B4" s="366" t="s">
        <v>3</v>
      </c>
      <c r="C4" s="366"/>
      <c r="D4" s="366"/>
      <c r="E4" s="366"/>
      <c r="F4" s="366"/>
      <c r="G4" s="366"/>
      <c r="H4" s="366"/>
      <c r="I4" s="366"/>
      <c r="J4" s="366"/>
    </row>
    <row r="5" spans="1:13" ht="22" customHeight="1" x14ac:dyDescent="0.3">
      <c r="A5" s="2" t="s">
        <v>4</v>
      </c>
      <c r="B5" s="367">
        <v>45140</v>
      </c>
      <c r="C5" s="367"/>
      <c r="D5" s="367"/>
      <c r="E5" s="367"/>
      <c r="F5" s="367"/>
      <c r="G5" s="367"/>
      <c r="H5" s="367"/>
      <c r="I5" s="367"/>
      <c r="J5" s="367"/>
      <c r="M5" s="3"/>
    </row>
    <row r="6" spans="1:13" ht="22" customHeight="1" x14ac:dyDescent="0.3">
      <c r="A6" s="2" t="s">
        <v>5</v>
      </c>
      <c r="B6" s="361">
        <v>1516</v>
      </c>
      <c r="C6" s="361"/>
      <c r="D6" s="362"/>
      <c r="E6" s="362"/>
      <c r="F6" s="362"/>
      <c r="G6" s="362"/>
      <c r="H6" s="362"/>
      <c r="I6" s="362"/>
      <c r="J6" s="362"/>
      <c r="M6" s="3"/>
    </row>
    <row r="7" spans="1:13" ht="22" customHeight="1" x14ac:dyDescent="0.3">
      <c r="A7" s="2" t="s">
        <v>6</v>
      </c>
      <c r="B7" s="362" t="s">
        <v>7</v>
      </c>
      <c r="C7" s="362"/>
      <c r="D7" s="362"/>
      <c r="E7" s="362"/>
      <c r="F7" s="362"/>
      <c r="G7" s="362"/>
      <c r="H7" s="362"/>
      <c r="I7" s="362"/>
      <c r="J7" s="362"/>
      <c r="M7" s="3"/>
    </row>
    <row r="8" spans="1:13" ht="22" customHeight="1" x14ac:dyDescent="0.3">
      <c r="A8" s="2" t="s">
        <v>8</v>
      </c>
      <c r="B8" s="366" t="s">
        <v>28</v>
      </c>
      <c r="C8" s="366"/>
      <c r="D8" s="366"/>
      <c r="E8" s="366"/>
      <c r="F8" s="366"/>
      <c r="G8" s="366"/>
      <c r="H8" s="366"/>
      <c r="I8" s="366"/>
      <c r="J8" s="366"/>
    </row>
    <row r="9" spans="1:13" ht="22" customHeight="1" x14ac:dyDescent="0.3">
      <c r="A9" s="2" t="s">
        <v>9</v>
      </c>
      <c r="B9" s="372">
        <f>$H$18</f>
        <v>66276</v>
      </c>
      <c r="C9" s="372"/>
      <c r="D9" s="373"/>
      <c r="E9" s="373"/>
      <c r="F9" s="373"/>
      <c r="G9" s="373"/>
      <c r="H9" s="373"/>
      <c r="I9" s="373"/>
      <c r="J9" s="373"/>
    </row>
    <row r="10" spans="1:13" ht="22.5" customHeight="1" x14ac:dyDescent="0.3">
      <c r="A10" s="2"/>
      <c r="B10" s="374" t="s">
        <v>10</v>
      </c>
      <c r="C10" s="374"/>
      <c r="D10" s="374"/>
      <c r="E10" s="374"/>
      <c r="F10" s="374"/>
      <c r="G10" s="374"/>
      <c r="H10" s="374"/>
      <c r="I10" s="374"/>
      <c r="J10" s="374"/>
    </row>
    <row r="11" spans="1:13" s="16" customFormat="1" ht="42" customHeight="1" x14ac:dyDescent="0.25">
      <c r="A11" s="4" t="s">
        <v>11</v>
      </c>
      <c r="B11" s="5" t="s">
        <v>12</v>
      </c>
      <c r="C11" s="6" t="s">
        <v>56</v>
      </c>
      <c r="D11" s="6" t="s">
        <v>13</v>
      </c>
      <c r="E11" s="6" t="s">
        <v>0</v>
      </c>
      <c r="F11" s="6" t="s">
        <v>14</v>
      </c>
      <c r="G11" s="4" t="s">
        <v>15</v>
      </c>
      <c r="H11" s="5" t="s">
        <v>29</v>
      </c>
      <c r="I11" s="4" t="s">
        <v>31</v>
      </c>
      <c r="J11" s="4" t="s">
        <v>30</v>
      </c>
      <c r="L11" s="17"/>
    </row>
    <row r="12" spans="1:13" s="8" customFormat="1" ht="15" x14ac:dyDescent="0.3">
      <c r="A12" s="25">
        <v>1</v>
      </c>
      <c r="B12" s="394">
        <v>45140</v>
      </c>
      <c r="C12" s="31">
        <v>1671</v>
      </c>
      <c r="D12" s="29" t="s">
        <v>48</v>
      </c>
      <c r="E12" s="395" t="s">
        <v>47</v>
      </c>
      <c r="F12" s="10" t="s">
        <v>55</v>
      </c>
      <c r="G12" s="11">
        <v>18775</v>
      </c>
      <c r="H12" s="30">
        <f t="shared" ref="H12:H17" si="0">G12</f>
        <v>18775</v>
      </c>
      <c r="I12" s="394" t="s">
        <v>32</v>
      </c>
      <c r="J12" s="396" t="s">
        <v>43</v>
      </c>
    </row>
    <row r="13" spans="1:13" s="8" customFormat="1" ht="15" x14ac:dyDescent="0.3">
      <c r="A13" s="25">
        <v>3</v>
      </c>
      <c r="B13" s="394"/>
      <c r="C13" s="31">
        <v>1668</v>
      </c>
      <c r="D13" s="29" t="s">
        <v>49</v>
      </c>
      <c r="E13" s="395"/>
      <c r="F13" s="10" t="s">
        <v>55</v>
      </c>
      <c r="G13" s="11">
        <v>17410</v>
      </c>
      <c r="H13" s="30">
        <f t="shared" si="0"/>
        <v>17410</v>
      </c>
      <c r="I13" s="394"/>
      <c r="J13" s="397"/>
    </row>
    <row r="14" spans="1:13" s="8" customFormat="1" ht="15" x14ac:dyDescent="0.3">
      <c r="A14" s="25">
        <v>5</v>
      </c>
      <c r="B14" s="394"/>
      <c r="C14" s="31">
        <v>1672</v>
      </c>
      <c r="D14" s="29" t="s">
        <v>50</v>
      </c>
      <c r="E14" s="395"/>
      <c r="F14" s="10" t="s">
        <v>55</v>
      </c>
      <c r="G14" s="11">
        <v>24271</v>
      </c>
      <c r="H14" s="30">
        <f t="shared" si="0"/>
        <v>24271</v>
      </c>
      <c r="I14" s="394"/>
      <c r="J14" s="397"/>
    </row>
    <row r="15" spans="1:13" s="8" customFormat="1" ht="15" x14ac:dyDescent="0.3">
      <c r="A15" s="25">
        <v>5</v>
      </c>
      <c r="B15" s="394"/>
      <c r="C15" s="404">
        <v>1674</v>
      </c>
      <c r="D15" s="398" t="s">
        <v>54</v>
      </c>
      <c r="E15" s="395"/>
      <c r="F15" s="10" t="s">
        <v>44</v>
      </c>
      <c r="G15" s="11">
        <v>1940</v>
      </c>
      <c r="H15" s="30">
        <f t="shared" si="0"/>
        <v>1940</v>
      </c>
      <c r="I15" s="394"/>
      <c r="J15" s="397"/>
    </row>
    <row r="16" spans="1:13" s="8" customFormat="1" ht="15" x14ac:dyDescent="0.3">
      <c r="A16" s="25">
        <v>6</v>
      </c>
      <c r="B16" s="394"/>
      <c r="C16" s="405"/>
      <c r="D16" s="402"/>
      <c r="E16" s="395"/>
      <c r="F16" s="10" t="s">
        <v>45</v>
      </c>
      <c r="G16" s="11">
        <v>1940</v>
      </c>
      <c r="H16" s="30">
        <f t="shared" si="0"/>
        <v>1940</v>
      </c>
      <c r="I16" s="394"/>
      <c r="J16" s="397"/>
    </row>
    <row r="17" spans="1:14" s="8" customFormat="1" ht="15" x14ac:dyDescent="0.3">
      <c r="A17" s="25">
        <v>7</v>
      </c>
      <c r="B17" s="394"/>
      <c r="C17" s="406"/>
      <c r="D17" s="399"/>
      <c r="E17" s="395"/>
      <c r="F17" s="10" t="s">
        <v>55</v>
      </c>
      <c r="G17" s="11">
        <v>1940</v>
      </c>
      <c r="H17" s="30">
        <f t="shared" si="0"/>
        <v>1940</v>
      </c>
      <c r="I17" s="394"/>
      <c r="J17" s="403"/>
    </row>
    <row r="18" spans="1:14" ht="15.75" customHeight="1" x14ac:dyDescent="0.3">
      <c r="A18" s="384" t="s">
        <v>16</v>
      </c>
      <c r="B18" s="385"/>
      <c r="C18" s="385"/>
      <c r="D18" s="385"/>
      <c r="E18" s="385"/>
      <c r="F18" s="385"/>
      <c r="G18" s="386"/>
      <c r="H18" s="12">
        <f>SUM(H12:H17)</f>
        <v>66276</v>
      </c>
      <c r="I18" s="387"/>
      <c r="J18" s="388"/>
      <c r="L18" s="1" t="s">
        <v>17</v>
      </c>
    </row>
    <row r="19" spans="1:14" ht="18" customHeight="1" x14ac:dyDescent="0.3">
      <c r="A19" s="2" t="s">
        <v>18</v>
      </c>
      <c r="B19" s="368" t="s">
        <v>57</v>
      </c>
      <c r="C19" s="368"/>
      <c r="D19" s="368"/>
      <c r="E19" s="368"/>
      <c r="F19" s="368"/>
      <c r="G19" s="368"/>
      <c r="H19" s="368"/>
      <c r="I19" s="368"/>
      <c r="J19" s="368"/>
    </row>
    <row r="22" spans="1:14" ht="25.5" customHeight="1" x14ac:dyDescent="0.3"/>
    <row r="23" spans="1:14" ht="25.5" customHeight="1" x14ac:dyDescent="0.3"/>
    <row r="24" spans="1:14" ht="72.75" customHeight="1" x14ac:dyDescent="0.3"/>
    <row r="26" spans="1:14" customFormat="1" ht="14.5" x14ac:dyDescent="0.35">
      <c r="A26" s="369" t="s">
        <v>33</v>
      </c>
      <c r="B26" s="369"/>
      <c r="C26" s="24"/>
      <c r="D26" s="1"/>
      <c r="E26" s="24" t="s">
        <v>34</v>
      </c>
      <c r="F26" s="24"/>
      <c r="G26" s="20" t="s">
        <v>35</v>
      </c>
      <c r="H26" s="20"/>
      <c r="I26" s="20"/>
      <c r="J26" s="21"/>
      <c r="K26" s="20"/>
      <c r="L26" s="1"/>
      <c r="M26" s="1"/>
      <c r="N26" s="21"/>
    </row>
    <row r="27" spans="1:14" customFormat="1" ht="14.5" x14ac:dyDescent="0.35">
      <c r="A27" s="393" t="s">
        <v>19</v>
      </c>
      <c r="B27" s="393"/>
      <c r="C27" s="27"/>
      <c r="D27" s="13" t="s">
        <v>36</v>
      </c>
      <c r="E27" s="21" t="s">
        <v>20</v>
      </c>
      <c r="F27" s="21"/>
      <c r="G27" s="21" t="s">
        <v>21</v>
      </c>
      <c r="H27" s="21"/>
      <c r="I27" s="371" t="s">
        <v>22</v>
      </c>
      <c r="J27" s="371"/>
      <c r="K27" s="21"/>
      <c r="L27" s="1"/>
      <c r="M27" s="1"/>
      <c r="N27" s="22"/>
    </row>
    <row r="28" spans="1:14" customFormat="1" ht="14.5" x14ac:dyDescent="0.35">
      <c r="A28" s="391" t="s">
        <v>37</v>
      </c>
      <c r="B28" s="391"/>
      <c r="C28" s="28"/>
      <c r="D28" s="14" t="s">
        <v>6</v>
      </c>
      <c r="E28" s="22" t="s">
        <v>23</v>
      </c>
      <c r="F28" s="22"/>
      <c r="G28" s="22" t="s">
        <v>24</v>
      </c>
      <c r="H28" s="22"/>
      <c r="I28" s="389" t="s">
        <v>25</v>
      </c>
      <c r="J28" s="389"/>
      <c r="K28" s="22"/>
      <c r="L28" s="1"/>
      <c r="M28" s="1"/>
      <c r="N28" s="23"/>
    </row>
    <row r="29" spans="1:14" customFormat="1" ht="14.5" x14ac:dyDescent="0.35">
      <c r="A29" s="392" t="s">
        <v>28</v>
      </c>
      <c r="B29" s="392"/>
      <c r="C29" s="26"/>
      <c r="D29" s="15" t="s">
        <v>38</v>
      </c>
      <c r="E29" s="23" t="s">
        <v>41</v>
      </c>
      <c r="F29" s="23"/>
      <c r="G29" s="23" t="s">
        <v>39</v>
      </c>
      <c r="H29" s="23"/>
      <c r="I29" s="390" t="s">
        <v>26</v>
      </c>
      <c r="J29" s="390"/>
      <c r="K29" s="23"/>
      <c r="L29" s="1"/>
      <c r="M29" s="1"/>
      <c r="N29" s="15"/>
    </row>
    <row r="30" spans="1:14" customFormat="1" ht="14.5" x14ac:dyDescent="0.35">
      <c r="A30" s="392" t="s">
        <v>27</v>
      </c>
      <c r="B30" s="392"/>
      <c r="C30" s="26"/>
      <c r="D30" s="15" t="s">
        <v>40</v>
      </c>
      <c r="E30" s="23" t="s">
        <v>27</v>
      </c>
      <c r="F30" s="23"/>
      <c r="G30" s="23" t="s">
        <v>27</v>
      </c>
      <c r="H30" s="23"/>
      <c r="I30" s="1"/>
      <c r="J30" s="23"/>
      <c r="K30" s="23"/>
      <c r="L30" s="23"/>
    </row>
    <row r="31" spans="1:14" x14ac:dyDescent="0.3">
      <c r="A31" s="19"/>
      <c r="D31" s="19"/>
      <c r="E31" s="18"/>
      <c r="F31" s="18"/>
      <c r="G31" s="18"/>
      <c r="H31" s="9"/>
      <c r="I31" s="9"/>
      <c r="J31" s="7"/>
    </row>
    <row r="32" spans="1:14" x14ac:dyDescent="0.3">
      <c r="A32" s="19"/>
      <c r="D32" s="19"/>
      <c r="E32" s="18"/>
      <c r="F32" s="18"/>
      <c r="G32" s="18"/>
      <c r="H32" s="9"/>
      <c r="I32" s="9"/>
      <c r="J32" s="7"/>
    </row>
    <row r="33" spans="1:10" x14ac:dyDescent="0.3">
      <c r="A33" s="19"/>
      <c r="D33" s="19"/>
      <c r="E33" s="18"/>
      <c r="F33" s="18"/>
      <c r="G33" s="18"/>
      <c r="H33" s="9"/>
      <c r="I33" s="9"/>
      <c r="J33" s="7"/>
    </row>
  </sheetData>
  <mergeCells count="27">
    <mergeCell ref="A29:B29"/>
    <mergeCell ref="I29:J29"/>
    <mergeCell ref="A30:B30"/>
    <mergeCell ref="D15:D17"/>
    <mergeCell ref="E12:E17"/>
    <mergeCell ref="B12:B17"/>
    <mergeCell ref="I12:I17"/>
    <mergeCell ref="J12:J17"/>
    <mergeCell ref="C15:C17"/>
    <mergeCell ref="B19:J19"/>
    <mergeCell ref="A26:B26"/>
    <mergeCell ref="A27:B27"/>
    <mergeCell ref="I27:J27"/>
    <mergeCell ref="A28:B28"/>
    <mergeCell ref="I28:J28"/>
    <mergeCell ref="A18:G18"/>
    <mergeCell ref="I18:J18"/>
    <mergeCell ref="B7:J7"/>
    <mergeCell ref="B8:J8"/>
    <mergeCell ref="B9:J9"/>
    <mergeCell ref="B10:J10"/>
    <mergeCell ref="B6:J6"/>
    <mergeCell ref="A1:J1"/>
    <mergeCell ref="B2:J2"/>
    <mergeCell ref="B3:J3"/>
    <mergeCell ref="B4:J4"/>
    <mergeCell ref="B5:J5"/>
  </mergeCells>
  <pageMargins left="0.7" right="0.7" top="0.75" bottom="0.75" header="0.3" footer="0.3"/>
  <pageSetup paperSize="9" scale="51" orientation="landscape" r:id="rId1"/>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24513-049A-4330-9EDD-7E7DCACEB1D2}">
  <sheetPr>
    <pageSetUpPr fitToPage="1"/>
  </sheetPr>
  <dimension ref="A1:N28"/>
  <sheetViews>
    <sheetView view="pageBreakPreview" topLeftCell="A7" zoomScale="90" zoomScaleNormal="100" zoomScaleSheetLayoutView="90" workbookViewId="0">
      <selection activeCell="H19" sqref="H19"/>
    </sheetView>
  </sheetViews>
  <sheetFormatPr defaultColWidth="9.1796875" defaultRowHeight="14" x14ac:dyDescent="0.3"/>
  <cols>
    <col min="1" max="1" width="18.81640625" style="1" bestFit="1" customWidth="1"/>
    <col min="2" max="2" width="24.81640625" style="1" customWidth="1"/>
    <col min="3" max="3" width="12.26953125" style="1" customWidth="1"/>
    <col min="4" max="4" width="39.7265625" style="1" customWidth="1"/>
    <col min="5" max="5" width="21" style="1" customWidth="1"/>
    <col min="6" max="6" width="24.81640625" style="1" customWidth="1"/>
    <col min="7" max="7" width="24.7265625" style="1" customWidth="1"/>
    <col min="8" max="8" width="19.1796875" style="1" customWidth="1"/>
    <col min="9" max="9" width="26.81640625" style="1" customWidth="1"/>
    <col min="10" max="10" width="44.7265625" style="1" customWidth="1"/>
    <col min="11" max="11" width="9.81640625" style="1" bestFit="1" customWidth="1"/>
    <col min="12" max="12" width="9.1796875" style="1"/>
    <col min="13" max="13" width="11.54296875" style="1" bestFit="1" customWidth="1"/>
    <col min="14" max="16384" width="9.1796875" style="1"/>
  </cols>
  <sheetData>
    <row r="1" spans="1:13" ht="42.75" customHeight="1" x14ac:dyDescent="0.3">
      <c r="A1" s="363" t="s">
        <v>42</v>
      </c>
      <c r="B1" s="363"/>
      <c r="C1" s="363"/>
      <c r="D1" s="363"/>
      <c r="E1" s="363"/>
      <c r="F1" s="363"/>
      <c r="G1" s="363"/>
      <c r="H1" s="363"/>
      <c r="I1" s="363"/>
      <c r="J1" s="363"/>
    </row>
    <row r="2" spans="1:13" ht="23.25" customHeight="1" x14ac:dyDescent="0.3">
      <c r="A2" s="2" t="s">
        <v>0</v>
      </c>
      <c r="B2" s="364" t="s">
        <v>46</v>
      </c>
      <c r="C2" s="364"/>
      <c r="D2" s="364"/>
      <c r="E2" s="364"/>
      <c r="F2" s="364"/>
      <c r="G2" s="364"/>
      <c r="H2" s="364"/>
      <c r="I2" s="364"/>
      <c r="J2" s="364"/>
    </row>
    <row r="3" spans="1:13" ht="22" customHeight="1" x14ac:dyDescent="0.3">
      <c r="A3" s="2" t="s">
        <v>1</v>
      </c>
      <c r="B3" s="365" t="s">
        <v>60</v>
      </c>
      <c r="C3" s="365"/>
      <c r="D3" s="365"/>
      <c r="E3" s="365"/>
      <c r="F3" s="365"/>
      <c r="G3" s="365"/>
      <c r="H3" s="365"/>
      <c r="I3" s="365"/>
      <c r="J3" s="365"/>
    </row>
    <row r="4" spans="1:13" ht="22" customHeight="1" x14ac:dyDescent="0.3">
      <c r="A4" s="2" t="s">
        <v>2</v>
      </c>
      <c r="B4" s="366" t="s">
        <v>3</v>
      </c>
      <c r="C4" s="366"/>
      <c r="D4" s="366"/>
      <c r="E4" s="366"/>
      <c r="F4" s="366"/>
      <c r="G4" s="366"/>
      <c r="H4" s="366"/>
      <c r="I4" s="366"/>
      <c r="J4" s="366"/>
    </row>
    <row r="5" spans="1:13" ht="22" customHeight="1" x14ac:dyDescent="0.3">
      <c r="A5" s="2" t="s">
        <v>4</v>
      </c>
      <c r="B5" s="367">
        <v>45140</v>
      </c>
      <c r="C5" s="367"/>
      <c r="D5" s="367"/>
      <c r="E5" s="367"/>
      <c r="F5" s="367"/>
      <c r="G5" s="367"/>
      <c r="H5" s="367"/>
      <c r="I5" s="367"/>
      <c r="J5" s="367"/>
      <c r="M5" s="3"/>
    </row>
    <row r="6" spans="1:13" ht="22" customHeight="1" x14ac:dyDescent="0.3">
      <c r="A6" s="2" t="s">
        <v>5</v>
      </c>
      <c r="B6" s="361">
        <v>1516</v>
      </c>
      <c r="C6" s="361"/>
      <c r="D6" s="362"/>
      <c r="E6" s="362"/>
      <c r="F6" s="362"/>
      <c r="G6" s="362"/>
      <c r="H6" s="362"/>
      <c r="I6" s="362"/>
      <c r="J6" s="362"/>
      <c r="M6" s="3"/>
    </row>
    <row r="7" spans="1:13" ht="22" customHeight="1" x14ac:dyDescent="0.3">
      <c r="A7" s="2" t="s">
        <v>6</v>
      </c>
      <c r="B7" s="362" t="s">
        <v>7</v>
      </c>
      <c r="C7" s="362"/>
      <c r="D7" s="362"/>
      <c r="E7" s="362"/>
      <c r="F7" s="362"/>
      <c r="G7" s="362"/>
      <c r="H7" s="362"/>
      <c r="I7" s="362"/>
      <c r="J7" s="362"/>
      <c r="M7" s="3"/>
    </row>
    <row r="8" spans="1:13" ht="22" customHeight="1" x14ac:dyDescent="0.3">
      <c r="A8" s="2" t="s">
        <v>8</v>
      </c>
      <c r="B8" s="366" t="s">
        <v>28</v>
      </c>
      <c r="C8" s="366"/>
      <c r="D8" s="366"/>
      <c r="E8" s="366"/>
      <c r="F8" s="366"/>
      <c r="G8" s="366"/>
      <c r="H8" s="366"/>
      <c r="I8" s="366"/>
      <c r="J8" s="366"/>
    </row>
    <row r="9" spans="1:13" ht="22" customHeight="1" x14ac:dyDescent="0.3">
      <c r="A9" s="2" t="s">
        <v>9</v>
      </c>
      <c r="B9" s="372">
        <f>$H$13</f>
        <v>27425</v>
      </c>
      <c r="C9" s="372"/>
      <c r="D9" s="373"/>
      <c r="E9" s="373"/>
      <c r="F9" s="373"/>
      <c r="G9" s="373"/>
      <c r="H9" s="373"/>
      <c r="I9" s="373"/>
      <c r="J9" s="373"/>
    </row>
    <row r="10" spans="1:13" ht="22.5" customHeight="1" x14ac:dyDescent="0.3">
      <c r="A10" s="2"/>
      <c r="B10" s="374" t="s">
        <v>10</v>
      </c>
      <c r="C10" s="374"/>
      <c r="D10" s="374"/>
      <c r="E10" s="374"/>
      <c r="F10" s="374"/>
      <c r="G10" s="374"/>
      <c r="H10" s="374"/>
      <c r="I10" s="374"/>
      <c r="J10" s="374"/>
    </row>
    <row r="11" spans="1:13" s="16" customFormat="1" ht="42" customHeight="1" x14ac:dyDescent="0.25">
      <c r="A11" s="4" t="s">
        <v>11</v>
      </c>
      <c r="B11" s="5" t="s">
        <v>12</v>
      </c>
      <c r="C11" s="6" t="s">
        <v>56</v>
      </c>
      <c r="D11" s="6" t="s">
        <v>13</v>
      </c>
      <c r="E11" s="6" t="s">
        <v>0</v>
      </c>
      <c r="F11" s="6" t="s">
        <v>14</v>
      </c>
      <c r="G11" s="4" t="s">
        <v>15</v>
      </c>
      <c r="H11" s="5" t="s">
        <v>29</v>
      </c>
      <c r="I11" s="4" t="s">
        <v>31</v>
      </c>
      <c r="J11" s="4" t="s">
        <v>30</v>
      </c>
      <c r="L11" s="17"/>
    </row>
    <row r="12" spans="1:13" s="8" customFormat="1" ht="15" x14ac:dyDescent="0.3">
      <c r="A12" s="25">
        <v>1</v>
      </c>
      <c r="B12" s="38">
        <v>45166</v>
      </c>
      <c r="C12" s="31">
        <v>1665</v>
      </c>
      <c r="D12" s="29" t="s">
        <v>58</v>
      </c>
      <c r="E12" s="37" t="s">
        <v>47</v>
      </c>
      <c r="F12" s="10" t="s">
        <v>68</v>
      </c>
      <c r="G12" s="11">
        <v>27425</v>
      </c>
      <c r="H12" s="30">
        <f>G12</f>
        <v>27425</v>
      </c>
      <c r="I12" s="35" t="s">
        <v>32</v>
      </c>
      <c r="J12" s="36" t="s">
        <v>43</v>
      </c>
    </row>
    <row r="13" spans="1:13" ht="15.75" customHeight="1" x14ac:dyDescent="0.3">
      <c r="A13" s="384" t="s">
        <v>16</v>
      </c>
      <c r="B13" s="385"/>
      <c r="C13" s="385"/>
      <c r="D13" s="385"/>
      <c r="E13" s="385"/>
      <c r="F13" s="385"/>
      <c r="G13" s="386"/>
      <c r="H13" s="12">
        <f>SUM(H12:H12)</f>
        <v>27425</v>
      </c>
      <c r="I13" s="387"/>
      <c r="J13" s="388"/>
      <c r="L13" s="1" t="s">
        <v>17</v>
      </c>
    </row>
    <row r="14" spans="1:13" ht="18" customHeight="1" x14ac:dyDescent="0.3">
      <c r="A14" s="2" t="s">
        <v>18</v>
      </c>
      <c r="B14" s="368" t="s">
        <v>59</v>
      </c>
      <c r="C14" s="368"/>
      <c r="D14" s="368"/>
      <c r="E14" s="368"/>
      <c r="F14" s="368"/>
      <c r="G14" s="368"/>
      <c r="H14" s="368"/>
      <c r="I14" s="368"/>
      <c r="J14" s="368"/>
    </row>
    <row r="17" spans="1:14" ht="25.5" customHeight="1" x14ac:dyDescent="0.3"/>
    <row r="18" spans="1:14" ht="25.5" customHeight="1" x14ac:dyDescent="0.3"/>
    <row r="19" spans="1:14" ht="72.75" customHeight="1" x14ac:dyDescent="0.3"/>
    <row r="21" spans="1:14" customFormat="1" ht="14.5" x14ac:dyDescent="0.35">
      <c r="A21" s="369" t="s">
        <v>33</v>
      </c>
      <c r="B21" s="369"/>
      <c r="C21" s="24"/>
      <c r="D21" s="1"/>
      <c r="E21" s="24" t="s">
        <v>34</v>
      </c>
      <c r="F21" s="24"/>
      <c r="G21" s="20" t="s">
        <v>35</v>
      </c>
      <c r="H21" s="20"/>
      <c r="I21" s="20"/>
      <c r="J21" s="21"/>
      <c r="K21" s="20"/>
      <c r="L21" s="1"/>
      <c r="M21" s="1"/>
      <c r="N21" s="21"/>
    </row>
    <row r="22" spans="1:14" customFormat="1" ht="14.5" x14ac:dyDescent="0.35">
      <c r="A22" s="393" t="s">
        <v>19</v>
      </c>
      <c r="B22" s="393"/>
      <c r="C22" s="27"/>
      <c r="D22" s="13" t="s">
        <v>36</v>
      </c>
      <c r="E22" s="21" t="s">
        <v>20</v>
      </c>
      <c r="F22" s="21"/>
      <c r="G22" s="21" t="s">
        <v>21</v>
      </c>
      <c r="H22" s="21"/>
      <c r="I22" s="371" t="s">
        <v>22</v>
      </c>
      <c r="J22" s="371"/>
      <c r="K22" s="21"/>
      <c r="L22" s="1"/>
      <c r="M22" s="1"/>
      <c r="N22" s="22"/>
    </row>
    <row r="23" spans="1:14" customFormat="1" ht="14.5" x14ac:dyDescent="0.35">
      <c r="A23" s="391" t="s">
        <v>37</v>
      </c>
      <c r="B23" s="391"/>
      <c r="C23" s="28"/>
      <c r="D23" s="14" t="s">
        <v>6</v>
      </c>
      <c r="E23" s="22" t="s">
        <v>23</v>
      </c>
      <c r="F23" s="22"/>
      <c r="G23" s="22" t="s">
        <v>24</v>
      </c>
      <c r="H23" s="22"/>
      <c r="I23" s="389" t="s">
        <v>25</v>
      </c>
      <c r="J23" s="389"/>
      <c r="K23" s="22"/>
      <c r="L23" s="1"/>
      <c r="M23" s="1"/>
      <c r="N23" s="23"/>
    </row>
    <row r="24" spans="1:14" customFormat="1" ht="14.5" x14ac:dyDescent="0.35">
      <c r="A24" s="392" t="s">
        <v>28</v>
      </c>
      <c r="B24" s="392"/>
      <c r="C24" s="26"/>
      <c r="D24" s="15" t="s">
        <v>38</v>
      </c>
      <c r="E24" s="23" t="s">
        <v>41</v>
      </c>
      <c r="F24" s="23"/>
      <c r="G24" s="23" t="s">
        <v>39</v>
      </c>
      <c r="H24" s="23"/>
      <c r="I24" s="390" t="s">
        <v>26</v>
      </c>
      <c r="J24" s="390"/>
      <c r="K24" s="23"/>
      <c r="L24" s="1"/>
      <c r="M24" s="1"/>
      <c r="N24" s="15"/>
    </row>
    <row r="25" spans="1:14" customFormat="1" ht="14.5" x14ac:dyDescent="0.35">
      <c r="A25" s="392" t="s">
        <v>27</v>
      </c>
      <c r="B25" s="392"/>
      <c r="C25" s="26"/>
      <c r="D25" s="15" t="s">
        <v>40</v>
      </c>
      <c r="E25" s="23" t="s">
        <v>27</v>
      </c>
      <c r="F25" s="23"/>
      <c r="G25" s="23" t="s">
        <v>27</v>
      </c>
      <c r="H25" s="23"/>
      <c r="I25" s="1"/>
      <c r="J25" s="23"/>
      <c r="K25" s="23"/>
      <c r="L25" s="23"/>
    </row>
    <row r="26" spans="1:14" x14ac:dyDescent="0.3">
      <c r="A26" s="19"/>
      <c r="D26" s="19"/>
      <c r="E26" s="18"/>
      <c r="F26" s="18"/>
      <c r="G26" s="18"/>
      <c r="H26" s="9"/>
      <c r="I26" s="9"/>
      <c r="J26" s="7"/>
    </row>
    <row r="27" spans="1:14" x14ac:dyDescent="0.3">
      <c r="A27" s="19"/>
      <c r="D27" s="19"/>
      <c r="E27" s="18"/>
      <c r="F27" s="18"/>
      <c r="G27" s="18"/>
      <c r="H27" s="9"/>
      <c r="I27" s="9"/>
      <c r="J27" s="7"/>
    </row>
    <row r="28" spans="1:14" x14ac:dyDescent="0.3">
      <c r="A28" s="19"/>
      <c r="D28" s="19"/>
      <c r="E28" s="18"/>
      <c r="F28" s="18"/>
      <c r="G28" s="18"/>
      <c r="H28" s="9"/>
      <c r="I28" s="9"/>
      <c r="J28" s="7"/>
    </row>
  </sheetData>
  <mergeCells count="21">
    <mergeCell ref="B6:J6"/>
    <mergeCell ref="A1:J1"/>
    <mergeCell ref="B2:J2"/>
    <mergeCell ref="B3:J3"/>
    <mergeCell ref="B4:J4"/>
    <mergeCell ref="B5:J5"/>
    <mergeCell ref="B7:J7"/>
    <mergeCell ref="B8:J8"/>
    <mergeCell ref="B9:J9"/>
    <mergeCell ref="B10:J10"/>
    <mergeCell ref="A13:G13"/>
    <mergeCell ref="I13:J13"/>
    <mergeCell ref="A24:B24"/>
    <mergeCell ref="I24:J24"/>
    <mergeCell ref="A25:B25"/>
    <mergeCell ref="B14:J14"/>
    <mergeCell ref="A21:B21"/>
    <mergeCell ref="A22:B22"/>
    <mergeCell ref="I22:J22"/>
    <mergeCell ref="A23:B23"/>
    <mergeCell ref="I23:J23"/>
  </mergeCells>
  <pageMargins left="0.7" right="0.7" top="0.75" bottom="0.75" header="0.3" footer="0.3"/>
  <pageSetup paperSize="9" scale="51" orientation="landscape" r:id="rId1"/>
  <colBreaks count="1" manualBreakCount="1">
    <brk id="10"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56E74-C738-4EDB-A174-CF824446D39E}">
  <sheetPr>
    <pageSetUpPr fitToPage="1"/>
  </sheetPr>
  <dimension ref="A1:N31"/>
  <sheetViews>
    <sheetView view="pageBreakPreview" topLeftCell="A7" zoomScaleNormal="100" zoomScaleSheetLayoutView="100" workbookViewId="0">
      <selection activeCell="B18" sqref="B18"/>
    </sheetView>
  </sheetViews>
  <sheetFormatPr defaultColWidth="9.1796875" defaultRowHeight="14" x14ac:dyDescent="0.3"/>
  <cols>
    <col min="1" max="1" width="18.81640625" style="1" bestFit="1" customWidth="1"/>
    <col min="2" max="2" width="24.81640625" style="1" customWidth="1"/>
    <col min="3" max="3" width="12.26953125" style="1" customWidth="1"/>
    <col min="4" max="4" width="39.7265625" style="1" customWidth="1"/>
    <col min="5" max="5" width="21" style="1" customWidth="1"/>
    <col min="6" max="6" width="24.81640625" style="1" customWidth="1"/>
    <col min="7" max="7" width="24.7265625" style="1" customWidth="1"/>
    <col min="8" max="8" width="19.1796875" style="1" customWidth="1"/>
    <col min="9" max="9" width="26.81640625" style="1" customWidth="1"/>
    <col min="10" max="10" width="44.7265625" style="1" customWidth="1"/>
    <col min="11" max="11" width="9.81640625" style="1" bestFit="1" customWidth="1"/>
    <col min="12" max="12" width="9.1796875" style="1"/>
    <col min="13" max="13" width="11.54296875" style="1" bestFit="1" customWidth="1"/>
    <col min="14" max="16384" width="9.1796875" style="1"/>
  </cols>
  <sheetData>
    <row r="1" spans="1:13" ht="42.75" customHeight="1" x14ac:dyDescent="0.3">
      <c r="A1" s="363" t="s">
        <v>42</v>
      </c>
      <c r="B1" s="363"/>
      <c r="C1" s="363"/>
      <c r="D1" s="363"/>
      <c r="E1" s="363"/>
      <c r="F1" s="363"/>
      <c r="G1" s="363"/>
      <c r="H1" s="363"/>
      <c r="I1" s="363"/>
      <c r="J1" s="363"/>
    </row>
    <row r="2" spans="1:13" ht="23.25" customHeight="1" x14ac:dyDescent="0.3">
      <c r="A2" s="2" t="s">
        <v>0</v>
      </c>
      <c r="B2" s="364" t="s">
        <v>46</v>
      </c>
      <c r="C2" s="364"/>
      <c r="D2" s="364"/>
      <c r="E2" s="364"/>
      <c r="F2" s="364"/>
      <c r="G2" s="364"/>
      <c r="H2" s="364"/>
      <c r="I2" s="364"/>
      <c r="J2" s="364"/>
    </row>
    <row r="3" spans="1:13" ht="22" customHeight="1" x14ac:dyDescent="0.3">
      <c r="A3" s="2" t="s">
        <v>1</v>
      </c>
      <c r="B3" s="365" t="s">
        <v>61</v>
      </c>
      <c r="C3" s="365"/>
      <c r="D3" s="365"/>
      <c r="E3" s="365"/>
      <c r="F3" s="365"/>
      <c r="G3" s="365"/>
      <c r="H3" s="365"/>
      <c r="I3" s="365"/>
      <c r="J3" s="365"/>
    </row>
    <row r="4" spans="1:13" ht="22" customHeight="1" x14ac:dyDescent="0.3">
      <c r="A4" s="2" t="s">
        <v>2</v>
      </c>
      <c r="B4" s="366" t="s">
        <v>3</v>
      </c>
      <c r="C4" s="366"/>
      <c r="D4" s="366"/>
      <c r="E4" s="366"/>
      <c r="F4" s="366"/>
      <c r="G4" s="366"/>
      <c r="H4" s="366"/>
      <c r="I4" s="366"/>
      <c r="J4" s="366"/>
    </row>
    <row r="5" spans="1:13" ht="22" customHeight="1" x14ac:dyDescent="0.3">
      <c r="A5" s="2" t="s">
        <v>4</v>
      </c>
      <c r="B5" s="367">
        <v>45168</v>
      </c>
      <c r="C5" s="367"/>
      <c r="D5" s="367"/>
      <c r="E5" s="367"/>
      <c r="F5" s="367"/>
      <c r="G5" s="367"/>
      <c r="H5" s="367"/>
      <c r="I5" s="367"/>
      <c r="J5" s="367"/>
      <c r="M5" s="3"/>
    </row>
    <row r="6" spans="1:13" ht="22" customHeight="1" x14ac:dyDescent="0.3">
      <c r="A6" s="2" t="s">
        <v>5</v>
      </c>
      <c r="B6" s="361">
        <v>1516</v>
      </c>
      <c r="C6" s="361"/>
      <c r="D6" s="362"/>
      <c r="E6" s="362"/>
      <c r="F6" s="362"/>
      <c r="G6" s="362"/>
      <c r="H6" s="362"/>
      <c r="I6" s="362"/>
      <c r="J6" s="362"/>
      <c r="M6" s="3"/>
    </row>
    <row r="7" spans="1:13" ht="22" customHeight="1" x14ac:dyDescent="0.3">
      <c r="A7" s="2" t="s">
        <v>6</v>
      </c>
      <c r="B7" s="362" t="s">
        <v>7</v>
      </c>
      <c r="C7" s="362"/>
      <c r="D7" s="362"/>
      <c r="E7" s="362"/>
      <c r="F7" s="362"/>
      <c r="G7" s="362"/>
      <c r="H7" s="362"/>
      <c r="I7" s="362"/>
      <c r="J7" s="362"/>
      <c r="M7" s="3"/>
    </row>
    <row r="8" spans="1:13" ht="22" customHeight="1" x14ac:dyDescent="0.3">
      <c r="A8" s="2" t="s">
        <v>8</v>
      </c>
      <c r="B8" s="366" t="s">
        <v>28</v>
      </c>
      <c r="C8" s="366"/>
      <c r="D8" s="366"/>
      <c r="E8" s="366"/>
      <c r="F8" s="366"/>
      <c r="G8" s="366"/>
      <c r="H8" s="366"/>
      <c r="I8" s="366"/>
      <c r="J8" s="366"/>
    </row>
    <row r="9" spans="1:13" ht="22" customHeight="1" x14ac:dyDescent="0.3">
      <c r="A9" s="2" t="s">
        <v>9</v>
      </c>
      <c r="B9" s="372">
        <f>$H$16</f>
        <v>80724</v>
      </c>
      <c r="C9" s="372"/>
      <c r="D9" s="373"/>
      <c r="E9" s="373"/>
      <c r="F9" s="373"/>
      <c r="G9" s="373"/>
      <c r="H9" s="373"/>
      <c r="I9" s="373"/>
      <c r="J9" s="373"/>
    </row>
    <row r="10" spans="1:13" ht="22.5" customHeight="1" x14ac:dyDescent="0.3">
      <c r="A10" s="2"/>
      <c r="B10" s="374" t="s">
        <v>10</v>
      </c>
      <c r="C10" s="374"/>
      <c r="D10" s="374"/>
      <c r="E10" s="374"/>
      <c r="F10" s="374"/>
      <c r="G10" s="374"/>
      <c r="H10" s="374"/>
      <c r="I10" s="374"/>
      <c r="J10" s="374"/>
    </row>
    <row r="11" spans="1:13" s="16" customFormat="1" ht="42" customHeight="1" x14ac:dyDescent="0.25">
      <c r="A11" s="4" t="s">
        <v>11</v>
      </c>
      <c r="B11" s="5" t="s">
        <v>12</v>
      </c>
      <c r="C11" s="6" t="s">
        <v>56</v>
      </c>
      <c r="D11" s="6" t="s">
        <v>13</v>
      </c>
      <c r="E11" s="6" t="s">
        <v>0</v>
      </c>
      <c r="F11" s="6" t="s">
        <v>14</v>
      </c>
      <c r="G11" s="4" t="s">
        <v>15</v>
      </c>
      <c r="H11" s="5" t="s">
        <v>29</v>
      </c>
      <c r="I11" s="4" t="s">
        <v>31</v>
      </c>
      <c r="J11" s="4" t="s">
        <v>30</v>
      </c>
      <c r="L11" s="17"/>
    </row>
    <row r="12" spans="1:13" s="8" customFormat="1" ht="15" x14ac:dyDescent="0.3">
      <c r="A12" s="25">
        <v>1</v>
      </c>
      <c r="B12" s="394">
        <v>45168</v>
      </c>
      <c r="C12" s="31">
        <v>1671</v>
      </c>
      <c r="D12" s="33" t="s">
        <v>48</v>
      </c>
      <c r="E12" s="395" t="s">
        <v>47</v>
      </c>
      <c r="F12" s="10" t="s">
        <v>62</v>
      </c>
      <c r="G12" s="11">
        <v>11204</v>
      </c>
      <c r="H12" s="30">
        <f>G12</f>
        <v>11204</v>
      </c>
      <c r="I12" s="394" t="s">
        <v>32</v>
      </c>
      <c r="J12" s="396" t="s">
        <v>43</v>
      </c>
    </row>
    <row r="13" spans="1:13" s="8" customFormat="1" ht="15" x14ac:dyDescent="0.3">
      <c r="A13" s="25">
        <v>3</v>
      </c>
      <c r="B13" s="394"/>
      <c r="C13" s="31">
        <v>1668</v>
      </c>
      <c r="D13" s="33" t="s">
        <v>49</v>
      </c>
      <c r="E13" s="395"/>
      <c r="F13" s="10" t="s">
        <v>62</v>
      </c>
      <c r="G13" s="11">
        <v>38340</v>
      </c>
      <c r="H13" s="30">
        <f>G13</f>
        <v>38340</v>
      </c>
      <c r="I13" s="394"/>
      <c r="J13" s="397"/>
    </row>
    <row r="14" spans="1:13" s="8" customFormat="1" ht="15" x14ac:dyDescent="0.3">
      <c r="A14" s="25">
        <v>5</v>
      </c>
      <c r="B14" s="394"/>
      <c r="C14" s="31">
        <v>1672</v>
      </c>
      <c r="D14" s="33" t="s">
        <v>50</v>
      </c>
      <c r="E14" s="395"/>
      <c r="F14" s="10" t="s">
        <v>62</v>
      </c>
      <c r="G14" s="11">
        <v>29240</v>
      </c>
      <c r="H14" s="30">
        <f>G14</f>
        <v>29240</v>
      </c>
      <c r="I14" s="394"/>
      <c r="J14" s="397"/>
    </row>
    <row r="15" spans="1:13" s="8" customFormat="1" ht="15" x14ac:dyDescent="0.3">
      <c r="A15" s="25">
        <v>5</v>
      </c>
      <c r="B15" s="394"/>
      <c r="C15" s="32">
        <v>1674</v>
      </c>
      <c r="D15" s="34" t="s">
        <v>54</v>
      </c>
      <c r="E15" s="395"/>
      <c r="F15" s="10" t="s">
        <v>62</v>
      </c>
      <c r="G15" s="11">
        <v>1940</v>
      </c>
      <c r="H15" s="30">
        <f>G15</f>
        <v>1940</v>
      </c>
      <c r="I15" s="394"/>
      <c r="J15" s="397"/>
    </row>
    <row r="16" spans="1:13" ht="15.75" customHeight="1" x14ac:dyDescent="0.3">
      <c r="A16" s="384" t="s">
        <v>16</v>
      </c>
      <c r="B16" s="385"/>
      <c r="C16" s="385"/>
      <c r="D16" s="385"/>
      <c r="E16" s="385"/>
      <c r="F16" s="385"/>
      <c r="G16" s="386"/>
      <c r="H16" s="12">
        <f>SUM(H12:H15)</f>
        <v>80724</v>
      </c>
      <c r="I16" s="387"/>
      <c r="J16" s="388"/>
      <c r="L16" s="1" t="s">
        <v>17</v>
      </c>
    </row>
    <row r="17" spans="1:14" ht="18" customHeight="1" x14ac:dyDescent="0.3">
      <c r="A17" s="2" t="s">
        <v>18</v>
      </c>
      <c r="B17" s="368" t="s">
        <v>63</v>
      </c>
      <c r="C17" s="368"/>
      <c r="D17" s="368"/>
      <c r="E17" s="368"/>
      <c r="F17" s="368"/>
      <c r="G17" s="368"/>
      <c r="H17" s="368"/>
      <c r="I17" s="368"/>
      <c r="J17" s="368"/>
    </row>
    <row r="20" spans="1:14" ht="25.5" customHeight="1" x14ac:dyDescent="0.3"/>
    <row r="21" spans="1:14" ht="25.5" customHeight="1" x14ac:dyDescent="0.3"/>
    <row r="22" spans="1:14" ht="72.75" customHeight="1" x14ac:dyDescent="0.3"/>
    <row r="24" spans="1:14" customFormat="1" ht="14.5" x14ac:dyDescent="0.35">
      <c r="A24" s="369" t="s">
        <v>33</v>
      </c>
      <c r="B24" s="369"/>
      <c r="C24" s="24"/>
      <c r="D24" s="1"/>
      <c r="E24" s="24" t="s">
        <v>34</v>
      </c>
      <c r="F24" s="24"/>
      <c r="G24" s="20" t="s">
        <v>35</v>
      </c>
      <c r="H24" s="20"/>
      <c r="I24" s="20"/>
      <c r="J24" s="21"/>
      <c r="K24" s="20"/>
      <c r="L24" s="1"/>
      <c r="M24" s="1"/>
      <c r="N24" s="21"/>
    </row>
    <row r="25" spans="1:14" customFormat="1" ht="14.5" x14ac:dyDescent="0.35">
      <c r="A25" s="393" t="s">
        <v>19</v>
      </c>
      <c r="B25" s="393"/>
      <c r="C25" s="27"/>
      <c r="D25" s="13" t="s">
        <v>36</v>
      </c>
      <c r="E25" s="21" t="s">
        <v>20</v>
      </c>
      <c r="F25" s="21"/>
      <c r="G25" s="21" t="s">
        <v>21</v>
      </c>
      <c r="H25" s="21"/>
      <c r="I25" s="371" t="s">
        <v>22</v>
      </c>
      <c r="J25" s="371"/>
      <c r="K25" s="21"/>
      <c r="L25" s="1"/>
      <c r="M25" s="1"/>
      <c r="N25" s="22"/>
    </row>
    <row r="26" spans="1:14" customFormat="1" ht="14.5" x14ac:dyDescent="0.35">
      <c r="A26" s="391" t="s">
        <v>37</v>
      </c>
      <c r="B26" s="391"/>
      <c r="C26" s="28"/>
      <c r="D26" s="14" t="s">
        <v>6</v>
      </c>
      <c r="E26" s="22" t="s">
        <v>23</v>
      </c>
      <c r="F26" s="22"/>
      <c r="G26" s="22" t="s">
        <v>24</v>
      </c>
      <c r="H26" s="22"/>
      <c r="I26" s="389" t="s">
        <v>25</v>
      </c>
      <c r="J26" s="389"/>
      <c r="K26" s="22"/>
      <c r="L26" s="1"/>
      <c r="M26" s="1"/>
      <c r="N26" s="23"/>
    </row>
    <row r="27" spans="1:14" customFormat="1" ht="14.5" x14ac:dyDescent="0.35">
      <c r="A27" s="392" t="s">
        <v>28</v>
      </c>
      <c r="B27" s="392"/>
      <c r="C27" s="26"/>
      <c r="D27" s="15" t="s">
        <v>38</v>
      </c>
      <c r="E27" s="23" t="s">
        <v>41</v>
      </c>
      <c r="F27" s="23"/>
      <c r="G27" s="23" t="s">
        <v>39</v>
      </c>
      <c r="H27" s="23"/>
      <c r="I27" s="390" t="s">
        <v>26</v>
      </c>
      <c r="J27" s="390"/>
      <c r="K27" s="23"/>
      <c r="L27" s="1"/>
      <c r="M27" s="1"/>
      <c r="N27" s="15"/>
    </row>
    <row r="28" spans="1:14" customFormat="1" ht="14.5" x14ac:dyDescent="0.35">
      <c r="A28" s="392" t="s">
        <v>27</v>
      </c>
      <c r="B28" s="392"/>
      <c r="C28" s="26"/>
      <c r="D28" s="15" t="s">
        <v>40</v>
      </c>
      <c r="E28" s="23" t="s">
        <v>27</v>
      </c>
      <c r="F28" s="23"/>
      <c r="G28" s="23" t="s">
        <v>27</v>
      </c>
      <c r="H28" s="23"/>
      <c r="I28" s="1"/>
      <c r="J28" s="23"/>
      <c r="K28" s="23"/>
      <c r="L28" s="23"/>
    </row>
    <row r="29" spans="1:14" x14ac:dyDescent="0.3">
      <c r="A29" s="19"/>
      <c r="D29" s="19"/>
      <c r="E29" s="18"/>
      <c r="F29" s="18"/>
      <c r="G29" s="18"/>
      <c r="H29" s="9"/>
      <c r="I29" s="9"/>
      <c r="J29" s="7"/>
    </row>
    <row r="30" spans="1:14" x14ac:dyDescent="0.3">
      <c r="A30" s="19"/>
      <c r="D30" s="19"/>
      <c r="E30" s="18"/>
      <c r="F30" s="18"/>
      <c r="G30" s="18"/>
      <c r="H30" s="9"/>
      <c r="I30" s="9"/>
      <c r="J30" s="7"/>
    </row>
    <row r="31" spans="1:14" x14ac:dyDescent="0.3">
      <c r="A31" s="19"/>
      <c r="D31" s="19"/>
      <c r="E31" s="18"/>
      <c r="F31" s="18"/>
      <c r="G31" s="18"/>
      <c r="H31" s="9"/>
      <c r="I31" s="9"/>
      <c r="J31" s="7"/>
    </row>
  </sheetData>
  <mergeCells count="25">
    <mergeCell ref="A26:B26"/>
    <mergeCell ref="I26:J26"/>
    <mergeCell ref="A27:B27"/>
    <mergeCell ref="I27:J27"/>
    <mergeCell ref="A28:B28"/>
    <mergeCell ref="A16:G16"/>
    <mergeCell ref="I16:J16"/>
    <mergeCell ref="B17:J17"/>
    <mergeCell ref="A24:B24"/>
    <mergeCell ref="A25:B25"/>
    <mergeCell ref="I25:J25"/>
    <mergeCell ref="B7:J7"/>
    <mergeCell ref="B8:J8"/>
    <mergeCell ref="B9:J9"/>
    <mergeCell ref="B10:J10"/>
    <mergeCell ref="B12:B15"/>
    <mergeCell ref="E12:E15"/>
    <mergeCell ref="I12:I15"/>
    <mergeCell ref="J12:J15"/>
    <mergeCell ref="B6:J6"/>
    <mergeCell ref="A1:J1"/>
    <mergeCell ref="B2:J2"/>
    <mergeCell ref="B3:J3"/>
    <mergeCell ref="B4:J4"/>
    <mergeCell ref="B5:J5"/>
  </mergeCells>
  <pageMargins left="0.7" right="0.7" top="0.75" bottom="0.75" header="0.3" footer="0.3"/>
  <pageSetup paperSize="9" scale="51" orientation="landscape" r:id="rId1"/>
  <colBreaks count="1" manualBreakCount="1">
    <brk id="10"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A47A4-5DD5-4DCE-BB36-003DBA8FB71D}">
  <sheetPr>
    <pageSetUpPr fitToPage="1"/>
  </sheetPr>
  <dimension ref="A1:N31"/>
  <sheetViews>
    <sheetView view="pageBreakPreview" topLeftCell="A7" zoomScaleNormal="100" zoomScaleSheetLayoutView="100" workbookViewId="0">
      <selection activeCell="A27" sqref="A27:B27"/>
    </sheetView>
  </sheetViews>
  <sheetFormatPr defaultColWidth="9.1796875" defaultRowHeight="14" x14ac:dyDescent="0.3"/>
  <cols>
    <col min="1" max="1" width="18.81640625" style="1" bestFit="1" customWidth="1"/>
    <col min="2" max="2" width="24.81640625" style="1" customWidth="1"/>
    <col min="3" max="3" width="12.26953125" style="1" customWidth="1"/>
    <col min="4" max="4" width="39.7265625" style="1" customWidth="1"/>
    <col min="5" max="5" width="21" style="1" customWidth="1"/>
    <col min="6" max="6" width="24.81640625" style="1" customWidth="1"/>
    <col min="7" max="7" width="24.7265625" style="1" customWidth="1"/>
    <col min="8" max="8" width="19.1796875" style="1" customWidth="1"/>
    <col min="9" max="9" width="26.81640625" style="1" customWidth="1"/>
    <col min="10" max="10" width="44.7265625" style="1" customWidth="1"/>
    <col min="11" max="11" width="9.81640625" style="1" bestFit="1" customWidth="1"/>
    <col min="12" max="12" width="9.1796875" style="1"/>
    <col min="13" max="13" width="11.54296875" style="1" bestFit="1" customWidth="1"/>
    <col min="14" max="16384" width="9.1796875" style="1"/>
  </cols>
  <sheetData>
    <row r="1" spans="1:13" ht="42.75" customHeight="1" x14ac:dyDescent="0.3">
      <c r="A1" s="363" t="s">
        <v>42</v>
      </c>
      <c r="B1" s="363"/>
      <c r="C1" s="363"/>
      <c r="D1" s="363"/>
      <c r="E1" s="363"/>
      <c r="F1" s="363"/>
      <c r="G1" s="363"/>
      <c r="H1" s="363"/>
      <c r="I1" s="363"/>
      <c r="J1" s="363"/>
    </row>
    <row r="2" spans="1:13" ht="23.25" customHeight="1" x14ac:dyDescent="0.3">
      <c r="A2" s="2" t="s">
        <v>0</v>
      </c>
      <c r="B2" s="364" t="s">
        <v>46</v>
      </c>
      <c r="C2" s="364"/>
      <c r="D2" s="364"/>
      <c r="E2" s="364"/>
      <c r="F2" s="364"/>
      <c r="G2" s="364"/>
      <c r="H2" s="364"/>
      <c r="I2" s="364"/>
      <c r="J2" s="364"/>
    </row>
    <row r="3" spans="1:13" ht="22" customHeight="1" x14ac:dyDescent="0.3">
      <c r="A3" s="2" t="s">
        <v>1</v>
      </c>
      <c r="B3" s="365" t="s">
        <v>61</v>
      </c>
      <c r="C3" s="365"/>
      <c r="D3" s="365"/>
      <c r="E3" s="365"/>
      <c r="F3" s="365"/>
      <c r="G3" s="365"/>
      <c r="H3" s="365"/>
      <c r="I3" s="365"/>
      <c r="J3" s="365"/>
    </row>
    <row r="4" spans="1:13" ht="22" customHeight="1" x14ac:dyDescent="0.3">
      <c r="A4" s="2" t="s">
        <v>2</v>
      </c>
      <c r="B4" s="366" t="s">
        <v>3</v>
      </c>
      <c r="C4" s="366"/>
      <c r="D4" s="366"/>
      <c r="E4" s="366"/>
      <c r="F4" s="366"/>
      <c r="G4" s="366"/>
      <c r="H4" s="366"/>
      <c r="I4" s="366"/>
      <c r="J4" s="366"/>
    </row>
    <row r="5" spans="1:13" ht="22" customHeight="1" x14ac:dyDescent="0.3">
      <c r="A5" s="2" t="s">
        <v>4</v>
      </c>
      <c r="B5" s="367">
        <v>45168</v>
      </c>
      <c r="C5" s="367"/>
      <c r="D5" s="367"/>
      <c r="E5" s="367"/>
      <c r="F5" s="367"/>
      <c r="G5" s="367"/>
      <c r="H5" s="367"/>
      <c r="I5" s="367"/>
      <c r="J5" s="367"/>
      <c r="M5" s="3"/>
    </row>
    <row r="6" spans="1:13" ht="22" customHeight="1" x14ac:dyDescent="0.3">
      <c r="A6" s="2" t="s">
        <v>5</v>
      </c>
      <c r="B6" s="361">
        <v>1698</v>
      </c>
      <c r="C6" s="361"/>
      <c r="D6" s="362"/>
      <c r="E6" s="362"/>
      <c r="F6" s="362"/>
      <c r="G6" s="362"/>
      <c r="H6" s="362"/>
      <c r="I6" s="362"/>
      <c r="J6" s="362"/>
      <c r="M6" s="3"/>
    </row>
    <row r="7" spans="1:13" ht="22" customHeight="1" x14ac:dyDescent="0.3">
      <c r="A7" s="2" t="s">
        <v>6</v>
      </c>
      <c r="B7" s="362" t="s">
        <v>64</v>
      </c>
      <c r="C7" s="362"/>
      <c r="D7" s="362"/>
      <c r="E7" s="362"/>
      <c r="F7" s="362"/>
      <c r="G7" s="362"/>
      <c r="H7" s="362"/>
      <c r="I7" s="362"/>
      <c r="J7" s="362"/>
      <c r="M7" s="3"/>
    </row>
    <row r="8" spans="1:13" ht="22" customHeight="1" x14ac:dyDescent="0.3">
      <c r="A8" s="2" t="s">
        <v>8</v>
      </c>
      <c r="B8" s="366" t="s">
        <v>65</v>
      </c>
      <c r="C8" s="366"/>
      <c r="D8" s="366"/>
      <c r="E8" s="366"/>
      <c r="F8" s="366"/>
      <c r="G8" s="366"/>
      <c r="H8" s="366"/>
      <c r="I8" s="366"/>
      <c r="J8" s="366"/>
    </row>
    <row r="9" spans="1:13" ht="22" customHeight="1" x14ac:dyDescent="0.3">
      <c r="A9" s="2" t="s">
        <v>9</v>
      </c>
      <c r="B9" s="372">
        <f>$H$16</f>
        <v>80724</v>
      </c>
      <c r="C9" s="372"/>
      <c r="D9" s="373"/>
      <c r="E9" s="373"/>
      <c r="F9" s="373"/>
      <c r="G9" s="373"/>
      <c r="H9" s="373"/>
      <c r="I9" s="373"/>
      <c r="J9" s="373"/>
    </row>
    <row r="10" spans="1:13" ht="22.5" customHeight="1" x14ac:dyDescent="0.3">
      <c r="A10" s="2"/>
      <c r="B10" s="374" t="s">
        <v>10</v>
      </c>
      <c r="C10" s="374"/>
      <c r="D10" s="374"/>
      <c r="E10" s="374"/>
      <c r="F10" s="374"/>
      <c r="G10" s="374"/>
      <c r="H10" s="374"/>
      <c r="I10" s="374"/>
      <c r="J10" s="374"/>
    </row>
    <row r="11" spans="1:13" s="16" customFormat="1" ht="42" customHeight="1" x14ac:dyDescent="0.25">
      <c r="A11" s="4" t="s">
        <v>11</v>
      </c>
      <c r="B11" s="5" t="s">
        <v>12</v>
      </c>
      <c r="C11" s="6" t="s">
        <v>56</v>
      </c>
      <c r="D11" s="6" t="s">
        <v>13</v>
      </c>
      <c r="E11" s="6" t="s">
        <v>0</v>
      </c>
      <c r="F11" s="6" t="s">
        <v>14</v>
      </c>
      <c r="G11" s="4" t="s">
        <v>15</v>
      </c>
      <c r="H11" s="5" t="s">
        <v>29</v>
      </c>
      <c r="I11" s="4" t="s">
        <v>31</v>
      </c>
      <c r="J11" s="4" t="s">
        <v>30</v>
      </c>
      <c r="L11" s="17"/>
    </row>
    <row r="12" spans="1:13" s="8" customFormat="1" ht="15" x14ac:dyDescent="0.3">
      <c r="A12" s="25">
        <v>1</v>
      </c>
      <c r="B12" s="394">
        <v>45168</v>
      </c>
      <c r="C12" s="31">
        <v>1671</v>
      </c>
      <c r="D12" s="33" t="s">
        <v>48</v>
      </c>
      <c r="E12" s="395" t="s">
        <v>47</v>
      </c>
      <c r="F12" s="10" t="s">
        <v>62</v>
      </c>
      <c r="G12" s="11">
        <v>11204</v>
      </c>
      <c r="H12" s="30">
        <f>G12</f>
        <v>11204</v>
      </c>
      <c r="I12" s="394" t="s">
        <v>32</v>
      </c>
      <c r="J12" s="396" t="s">
        <v>43</v>
      </c>
    </row>
    <row r="13" spans="1:13" s="8" customFormat="1" ht="15" x14ac:dyDescent="0.3">
      <c r="A13" s="25">
        <v>3</v>
      </c>
      <c r="B13" s="394"/>
      <c r="C13" s="31">
        <v>1668</v>
      </c>
      <c r="D13" s="33" t="s">
        <v>49</v>
      </c>
      <c r="E13" s="395"/>
      <c r="F13" s="10" t="s">
        <v>62</v>
      </c>
      <c r="G13" s="11">
        <v>38340</v>
      </c>
      <c r="H13" s="30">
        <f>G13</f>
        <v>38340</v>
      </c>
      <c r="I13" s="394"/>
      <c r="J13" s="397"/>
    </row>
    <row r="14" spans="1:13" s="8" customFormat="1" ht="15" x14ac:dyDescent="0.3">
      <c r="A14" s="25">
        <v>5</v>
      </c>
      <c r="B14" s="394"/>
      <c r="C14" s="31">
        <v>1672</v>
      </c>
      <c r="D14" s="33" t="s">
        <v>50</v>
      </c>
      <c r="E14" s="395"/>
      <c r="F14" s="10" t="s">
        <v>62</v>
      </c>
      <c r="G14" s="11">
        <v>29240</v>
      </c>
      <c r="H14" s="30">
        <f>G14</f>
        <v>29240</v>
      </c>
      <c r="I14" s="394"/>
      <c r="J14" s="397"/>
    </row>
    <row r="15" spans="1:13" s="8" customFormat="1" ht="15" x14ac:dyDescent="0.3">
      <c r="A15" s="25">
        <v>5</v>
      </c>
      <c r="B15" s="394"/>
      <c r="C15" s="32">
        <v>1674</v>
      </c>
      <c r="D15" s="34" t="s">
        <v>54</v>
      </c>
      <c r="E15" s="395"/>
      <c r="F15" s="10" t="s">
        <v>62</v>
      </c>
      <c r="G15" s="11">
        <v>1940</v>
      </c>
      <c r="H15" s="30">
        <f>G15</f>
        <v>1940</v>
      </c>
      <c r="I15" s="394"/>
      <c r="J15" s="397"/>
    </row>
    <row r="16" spans="1:13" ht="15.75" customHeight="1" x14ac:dyDescent="0.3">
      <c r="A16" s="384" t="s">
        <v>16</v>
      </c>
      <c r="B16" s="385"/>
      <c r="C16" s="385"/>
      <c r="D16" s="385"/>
      <c r="E16" s="385"/>
      <c r="F16" s="385"/>
      <c r="G16" s="386"/>
      <c r="H16" s="12">
        <f>SUM(H12:H15)</f>
        <v>80724</v>
      </c>
      <c r="I16" s="387"/>
      <c r="J16" s="388"/>
      <c r="L16" s="1" t="s">
        <v>17</v>
      </c>
    </row>
    <row r="17" spans="1:14" ht="18" customHeight="1" x14ac:dyDescent="0.3">
      <c r="A17" s="2" t="s">
        <v>18</v>
      </c>
      <c r="B17" s="368" t="s">
        <v>63</v>
      </c>
      <c r="C17" s="368"/>
      <c r="D17" s="368"/>
      <c r="E17" s="368"/>
      <c r="F17" s="368"/>
      <c r="G17" s="368"/>
      <c r="H17" s="368"/>
      <c r="I17" s="368"/>
      <c r="J17" s="368"/>
    </row>
    <row r="20" spans="1:14" ht="25.5" customHeight="1" x14ac:dyDescent="0.3"/>
    <row r="21" spans="1:14" ht="25.5" customHeight="1" x14ac:dyDescent="0.3"/>
    <row r="22" spans="1:14" ht="72.75" customHeight="1" x14ac:dyDescent="0.3"/>
    <row r="24" spans="1:14" customFormat="1" ht="14.5" x14ac:dyDescent="0.35">
      <c r="A24" s="369" t="s">
        <v>33</v>
      </c>
      <c r="B24" s="369"/>
      <c r="C24" s="24"/>
      <c r="D24" s="1"/>
      <c r="E24" s="24" t="s">
        <v>34</v>
      </c>
      <c r="F24" s="24"/>
      <c r="G24" s="20" t="s">
        <v>35</v>
      </c>
      <c r="H24" s="20"/>
      <c r="I24" s="20"/>
      <c r="J24" s="21"/>
      <c r="K24" s="20"/>
      <c r="L24" s="1"/>
      <c r="M24" s="1"/>
      <c r="N24" s="21"/>
    </row>
    <row r="25" spans="1:14" customFormat="1" ht="14.5" x14ac:dyDescent="0.35">
      <c r="A25" s="393" t="s">
        <v>19</v>
      </c>
      <c r="B25" s="393"/>
      <c r="C25" s="27"/>
      <c r="D25" s="13" t="s">
        <v>36</v>
      </c>
      <c r="E25" s="21" t="s">
        <v>20</v>
      </c>
      <c r="F25" s="21"/>
      <c r="G25" s="21" t="s">
        <v>21</v>
      </c>
      <c r="H25" s="21"/>
      <c r="I25" s="371" t="s">
        <v>22</v>
      </c>
      <c r="J25" s="371"/>
      <c r="K25" s="21"/>
      <c r="L25" s="1"/>
      <c r="M25" s="1"/>
      <c r="N25" s="22"/>
    </row>
    <row r="26" spans="1:14" customFormat="1" ht="14.5" x14ac:dyDescent="0.35">
      <c r="A26" s="391" t="s">
        <v>64</v>
      </c>
      <c r="B26" s="391"/>
      <c r="C26" s="28"/>
      <c r="D26" s="14" t="s">
        <v>6</v>
      </c>
      <c r="E26" s="22" t="s">
        <v>23</v>
      </c>
      <c r="F26" s="22"/>
      <c r="G26" s="22" t="s">
        <v>24</v>
      </c>
      <c r="H26" s="22"/>
      <c r="I26" s="389" t="s">
        <v>25</v>
      </c>
      <c r="J26" s="389"/>
      <c r="K26" s="22"/>
      <c r="L26" s="1"/>
      <c r="M26" s="1"/>
      <c r="N26" s="23"/>
    </row>
    <row r="27" spans="1:14" customFormat="1" ht="14.5" x14ac:dyDescent="0.35">
      <c r="A27" s="392" t="s">
        <v>65</v>
      </c>
      <c r="B27" s="392"/>
      <c r="C27" s="26"/>
      <c r="D27" s="15" t="s">
        <v>38</v>
      </c>
      <c r="E27" s="23" t="s">
        <v>41</v>
      </c>
      <c r="F27" s="23"/>
      <c r="G27" s="23" t="s">
        <v>39</v>
      </c>
      <c r="H27" s="23"/>
      <c r="I27" s="390" t="s">
        <v>26</v>
      </c>
      <c r="J27" s="390"/>
      <c r="K27" s="23"/>
      <c r="L27" s="1"/>
      <c r="M27" s="1"/>
      <c r="N27" s="15"/>
    </row>
    <row r="28" spans="1:14" customFormat="1" ht="14.5" x14ac:dyDescent="0.35">
      <c r="A28" s="392" t="s">
        <v>27</v>
      </c>
      <c r="B28" s="392"/>
      <c r="C28" s="26"/>
      <c r="D28" s="15" t="s">
        <v>40</v>
      </c>
      <c r="E28" s="23" t="s">
        <v>27</v>
      </c>
      <c r="F28" s="23"/>
      <c r="G28" s="23" t="s">
        <v>27</v>
      </c>
      <c r="H28" s="23"/>
      <c r="I28" s="1"/>
      <c r="J28" s="23"/>
      <c r="K28" s="23"/>
      <c r="L28" s="23"/>
    </row>
    <row r="29" spans="1:14" x14ac:dyDescent="0.3">
      <c r="A29" s="19"/>
      <c r="D29" s="19"/>
      <c r="E29" s="18"/>
      <c r="F29" s="18"/>
      <c r="G29" s="18"/>
      <c r="H29" s="9"/>
      <c r="I29" s="9"/>
      <c r="J29" s="7"/>
    </row>
    <row r="30" spans="1:14" x14ac:dyDescent="0.3">
      <c r="A30" s="19"/>
      <c r="D30" s="19"/>
      <c r="E30" s="18"/>
      <c r="F30" s="18"/>
      <c r="G30" s="18"/>
      <c r="H30" s="9"/>
      <c r="I30" s="9"/>
      <c r="J30" s="7"/>
    </row>
    <row r="31" spans="1:14" x14ac:dyDescent="0.3">
      <c r="A31" s="19"/>
      <c r="D31" s="19"/>
      <c r="E31" s="18"/>
      <c r="F31" s="18"/>
      <c r="G31" s="18"/>
      <c r="H31" s="9"/>
      <c r="I31" s="9"/>
      <c r="J31" s="7"/>
    </row>
  </sheetData>
  <mergeCells count="25">
    <mergeCell ref="A26:B26"/>
    <mergeCell ref="I26:J26"/>
    <mergeCell ref="A27:B27"/>
    <mergeCell ref="I27:J27"/>
    <mergeCell ref="A28:B28"/>
    <mergeCell ref="A16:G16"/>
    <mergeCell ref="I16:J16"/>
    <mergeCell ref="B17:J17"/>
    <mergeCell ref="A24:B24"/>
    <mergeCell ref="A25:B25"/>
    <mergeCell ref="I25:J25"/>
    <mergeCell ref="B7:J7"/>
    <mergeCell ref="B8:J8"/>
    <mergeCell ref="B9:J9"/>
    <mergeCell ref="B10:J10"/>
    <mergeCell ref="B12:B15"/>
    <mergeCell ref="E12:E15"/>
    <mergeCell ref="I12:I15"/>
    <mergeCell ref="J12:J15"/>
    <mergeCell ref="B6:J6"/>
    <mergeCell ref="A1:J1"/>
    <mergeCell ref="B2:J2"/>
    <mergeCell ref="B3:J3"/>
    <mergeCell ref="B4:J4"/>
    <mergeCell ref="B5:J5"/>
  </mergeCells>
  <pageMargins left="0.7" right="0.7" top="0.75" bottom="0.75" header="0.3" footer="0.3"/>
  <pageSetup paperSize="9" scale="51" orientation="landscape" r:id="rId1"/>
  <colBreaks count="1" manualBreakCount="1">
    <brk id="10"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6F95-38B8-42FD-AA94-9A60EAD1CC7A}">
  <sheetPr>
    <pageSetUpPr fitToPage="1"/>
  </sheetPr>
  <dimension ref="A1:N28"/>
  <sheetViews>
    <sheetView view="pageBreakPreview" zoomScale="90" zoomScaleNormal="100" zoomScaleSheetLayoutView="90" workbookViewId="0">
      <selection activeCell="I19" sqref="I19"/>
    </sheetView>
  </sheetViews>
  <sheetFormatPr defaultColWidth="9.1796875" defaultRowHeight="14" x14ac:dyDescent="0.3"/>
  <cols>
    <col min="1" max="1" width="18.81640625" style="1" bestFit="1" customWidth="1"/>
    <col min="2" max="2" width="15.453125" style="1" customWidth="1"/>
    <col min="3" max="3" width="8.6328125" style="1" bestFit="1" customWidth="1"/>
    <col min="4" max="4" width="20.7265625" style="1" bestFit="1" customWidth="1"/>
    <col min="5" max="5" width="26.54296875" style="1" customWidth="1"/>
    <col min="6" max="6" width="9.81640625" style="1" bestFit="1" customWidth="1"/>
    <col min="7" max="7" width="24.7265625" style="1" customWidth="1"/>
    <col min="8" max="8" width="19.1796875" style="1" customWidth="1"/>
    <col min="9" max="9" width="26.81640625" style="1" customWidth="1"/>
    <col min="10" max="10" width="44.7265625" style="1" customWidth="1"/>
    <col min="11" max="11" width="9.81640625" style="1" bestFit="1" customWidth="1"/>
    <col min="12" max="12" width="9.1796875" style="1"/>
    <col min="13" max="13" width="11.54296875" style="1" bestFit="1" customWidth="1"/>
    <col min="14" max="16384" width="9.1796875" style="1"/>
  </cols>
  <sheetData>
    <row r="1" spans="1:13" ht="42.75" customHeight="1" x14ac:dyDescent="0.3">
      <c r="A1" s="363" t="s">
        <v>42</v>
      </c>
      <c r="B1" s="363"/>
      <c r="C1" s="363"/>
      <c r="D1" s="363"/>
      <c r="E1" s="363"/>
      <c r="F1" s="363"/>
      <c r="G1" s="363"/>
      <c r="H1" s="363"/>
      <c r="I1" s="363"/>
      <c r="J1" s="363"/>
    </row>
    <row r="2" spans="1:13" ht="23.25" customHeight="1" x14ac:dyDescent="0.3">
      <c r="A2" s="2" t="s">
        <v>0</v>
      </c>
      <c r="B2" s="364" t="s">
        <v>46</v>
      </c>
      <c r="C2" s="364"/>
      <c r="D2" s="364"/>
      <c r="E2" s="364"/>
      <c r="F2" s="364"/>
      <c r="G2" s="364"/>
      <c r="H2" s="364"/>
      <c r="I2" s="364"/>
      <c r="J2" s="364"/>
    </row>
    <row r="3" spans="1:13" ht="22" customHeight="1" x14ac:dyDescent="0.3">
      <c r="A3" s="2" t="s">
        <v>1</v>
      </c>
      <c r="B3" s="365" t="s">
        <v>95</v>
      </c>
      <c r="C3" s="365"/>
      <c r="D3" s="365"/>
      <c r="E3" s="365"/>
      <c r="F3" s="365"/>
      <c r="G3" s="365"/>
      <c r="H3" s="365"/>
      <c r="I3" s="365"/>
      <c r="J3" s="365"/>
    </row>
    <row r="4" spans="1:13" ht="22" customHeight="1" x14ac:dyDescent="0.3">
      <c r="A4" s="2" t="s">
        <v>2</v>
      </c>
      <c r="B4" s="366" t="s">
        <v>3</v>
      </c>
      <c r="C4" s="366"/>
      <c r="D4" s="366"/>
      <c r="E4" s="366"/>
      <c r="F4" s="366"/>
      <c r="G4" s="366"/>
      <c r="H4" s="366"/>
      <c r="I4" s="366"/>
      <c r="J4" s="366"/>
    </row>
    <row r="5" spans="1:13" ht="22" customHeight="1" x14ac:dyDescent="0.3">
      <c r="A5" s="2" t="s">
        <v>4</v>
      </c>
      <c r="B5" s="367">
        <v>45294</v>
      </c>
      <c r="C5" s="367"/>
      <c r="D5" s="367"/>
      <c r="E5" s="367"/>
      <c r="F5" s="367"/>
      <c r="G5" s="367"/>
      <c r="H5" s="367"/>
      <c r="I5" s="367"/>
      <c r="J5" s="367"/>
      <c r="M5" s="3"/>
    </row>
    <row r="6" spans="1:13" ht="22" customHeight="1" x14ac:dyDescent="0.3">
      <c r="A6" s="2" t="s">
        <v>5</v>
      </c>
      <c r="B6" s="361">
        <v>1703</v>
      </c>
      <c r="C6" s="361"/>
      <c r="D6" s="362"/>
      <c r="E6" s="362"/>
      <c r="F6" s="362"/>
      <c r="G6" s="362"/>
      <c r="H6" s="362"/>
      <c r="I6" s="362"/>
      <c r="J6" s="362"/>
      <c r="M6" s="3"/>
    </row>
    <row r="7" spans="1:13" ht="22" customHeight="1" x14ac:dyDescent="0.3">
      <c r="A7" s="2" t="s">
        <v>6</v>
      </c>
      <c r="B7" s="362" t="s">
        <v>82</v>
      </c>
      <c r="C7" s="362"/>
      <c r="D7" s="362"/>
      <c r="E7" s="362"/>
      <c r="F7" s="362"/>
      <c r="G7" s="362"/>
      <c r="H7" s="362"/>
      <c r="I7" s="362"/>
      <c r="J7" s="362"/>
      <c r="M7" s="3"/>
    </row>
    <row r="8" spans="1:13" ht="22" customHeight="1" x14ac:dyDescent="0.3">
      <c r="A8" s="2" t="s">
        <v>8</v>
      </c>
      <c r="B8" s="366" t="s">
        <v>83</v>
      </c>
      <c r="C8" s="366"/>
      <c r="D8" s="366"/>
      <c r="E8" s="366"/>
      <c r="F8" s="366"/>
      <c r="G8" s="366"/>
      <c r="H8" s="366"/>
      <c r="I8" s="366"/>
      <c r="J8" s="366"/>
    </row>
    <row r="9" spans="1:13" ht="22" customHeight="1" x14ac:dyDescent="0.3">
      <c r="A9" s="2" t="s">
        <v>9</v>
      </c>
      <c r="B9" s="372">
        <f>$H$13</f>
        <v>29177</v>
      </c>
      <c r="C9" s="372"/>
      <c r="D9" s="373"/>
      <c r="E9" s="373"/>
      <c r="F9" s="373"/>
      <c r="G9" s="373"/>
      <c r="H9" s="373"/>
      <c r="I9" s="373"/>
      <c r="J9" s="373"/>
    </row>
    <row r="10" spans="1:13" ht="22.5" customHeight="1" x14ac:dyDescent="0.3">
      <c r="A10" s="2"/>
      <c r="B10" s="374" t="s">
        <v>10</v>
      </c>
      <c r="C10" s="374"/>
      <c r="D10" s="374"/>
      <c r="E10" s="374"/>
      <c r="F10" s="374"/>
      <c r="G10" s="374"/>
      <c r="H10" s="374"/>
      <c r="I10" s="374"/>
      <c r="J10" s="374"/>
    </row>
    <row r="11" spans="1:13" s="16" customFormat="1" ht="42" customHeight="1" x14ac:dyDescent="0.25">
      <c r="A11" s="4" t="s">
        <v>11</v>
      </c>
      <c r="B11" s="5" t="s">
        <v>12</v>
      </c>
      <c r="C11" s="6" t="s">
        <v>56</v>
      </c>
      <c r="D11" s="6" t="s">
        <v>13</v>
      </c>
      <c r="E11" s="6" t="s">
        <v>0</v>
      </c>
      <c r="F11" s="6" t="s">
        <v>14</v>
      </c>
      <c r="G11" s="4" t="s">
        <v>15</v>
      </c>
      <c r="H11" s="5" t="s">
        <v>29</v>
      </c>
      <c r="I11" s="4" t="s">
        <v>31</v>
      </c>
      <c r="J11" s="4" t="s">
        <v>30</v>
      </c>
      <c r="L11" s="17"/>
    </row>
    <row r="12" spans="1:13" s="8" customFormat="1" ht="15" x14ac:dyDescent="0.3">
      <c r="A12" s="25">
        <v>1</v>
      </c>
      <c r="B12" s="38">
        <v>44929</v>
      </c>
      <c r="C12" s="31">
        <v>1666</v>
      </c>
      <c r="D12" s="29" t="s">
        <v>94</v>
      </c>
      <c r="E12" s="37" t="s">
        <v>47</v>
      </c>
      <c r="F12" s="10">
        <v>45192</v>
      </c>
      <c r="G12" s="11">
        <v>29177</v>
      </c>
      <c r="H12" s="30">
        <v>29177</v>
      </c>
      <c r="I12" s="35" t="s">
        <v>32</v>
      </c>
      <c r="J12" s="36" t="s">
        <v>43</v>
      </c>
    </row>
    <row r="13" spans="1:13" ht="15.75" customHeight="1" x14ac:dyDescent="0.3">
      <c r="A13" s="384" t="s">
        <v>16</v>
      </c>
      <c r="B13" s="385"/>
      <c r="C13" s="385"/>
      <c r="D13" s="385"/>
      <c r="E13" s="385"/>
      <c r="F13" s="385"/>
      <c r="G13" s="386"/>
      <c r="H13" s="12">
        <f>SUM(H12:H12)</f>
        <v>29177</v>
      </c>
      <c r="I13" s="387"/>
      <c r="J13" s="388"/>
      <c r="L13" s="1" t="s">
        <v>17</v>
      </c>
    </row>
    <row r="14" spans="1:13" ht="18" customHeight="1" x14ac:dyDescent="0.3">
      <c r="A14" s="2" t="s">
        <v>18</v>
      </c>
      <c r="B14" s="368" t="s">
        <v>97</v>
      </c>
      <c r="C14" s="368"/>
      <c r="D14" s="368"/>
      <c r="E14" s="368"/>
      <c r="F14" s="368"/>
      <c r="G14" s="368"/>
      <c r="H14" s="368"/>
      <c r="I14" s="368"/>
      <c r="J14" s="368"/>
    </row>
    <row r="17" spans="1:14" ht="25.5" customHeight="1" x14ac:dyDescent="0.3"/>
    <row r="18" spans="1:14" ht="25.5" customHeight="1" x14ac:dyDescent="0.3"/>
    <row r="19" spans="1:14" ht="72.75" customHeight="1" x14ac:dyDescent="0.3"/>
    <row r="21" spans="1:14" customFormat="1" ht="14.5" x14ac:dyDescent="0.35">
      <c r="A21" s="369" t="s">
        <v>33</v>
      </c>
      <c r="B21" s="369"/>
      <c r="C21" s="24"/>
      <c r="D21" s="1"/>
      <c r="E21" s="24" t="s">
        <v>34</v>
      </c>
      <c r="F21" s="24"/>
      <c r="G21" s="20" t="s">
        <v>35</v>
      </c>
      <c r="H21" s="20"/>
      <c r="I21" s="20"/>
      <c r="J21" s="21"/>
      <c r="K21" s="20"/>
      <c r="L21" s="1"/>
      <c r="M21" s="1"/>
      <c r="N21" s="21"/>
    </row>
    <row r="22" spans="1:14" customFormat="1" ht="14.5" x14ac:dyDescent="0.35">
      <c r="A22" s="393" t="s">
        <v>19</v>
      </c>
      <c r="B22" s="393"/>
      <c r="C22" s="27"/>
      <c r="D22" s="13" t="s">
        <v>36</v>
      </c>
      <c r="E22" s="21" t="s">
        <v>20</v>
      </c>
      <c r="F22" s="21"/>
      <c r="G22" s="21" t="s">
        <v>21</v>
      </c>
      <c r="H22" s="21"/>
      <c r="I22" s="371" t="s">
        <v>22</v>
      </c>
      <c r="J22" s="371"/>
      <c r="K22" s="21"/>
      <c r="L22" s="1"/>
      <c r="M22" s="1"/>
      <c r="N22" s="22"/>
    </row>
    <row r="23" spans="1:14" customFormat="1" ht="14.5" x14ac:dyDescent="0.35">
      <c r="A23" s="391" t="s">
        <v>82</v>
      </c>
      <c r="B23" s="391"/>
      <c r="C23" s="28"/>
      <c r="D23" s="14" t="s">
        <v>93</v>
      </c>
      <c r="E23" s="22" t="s">
        <v>23</v>
      </c>
      <c r="F23" s="22"/>
      <c r="G23" s="22" t="s">
        <v>24</v>
      </c>
      <c r="H23" s="22"/>
      <c r="I23" s="389" t="s">
        <v>25</v>
      </c>
      <c r="J23" s="389"/>
      <c r="K23" s="22"/>
      <c r="L23" s="1"/>
      <c r="M23" s="1"/>
      <c r="N23" s="23"/>
    </row>
    <row r="24" spans="1:14" customFormat="1" ht="14.5" x14ac:dyDescent="0.35">
      <c r="A24" s="392" t="s">
        <v>96</v>
      </c>
      <c r="B24" s="392"/>
      <c r="C24" s="26"/>
      <c r="D24" s="15" t="s">
        <v>41</v>
      </c>
      <c r="E24" s="23" t="s">
        <v>41</v>
      </c>
      <c r="F24" s="23"/>
      <c r="G24" s="23" t="s">
        <v>39</v>
      </c>
      <c r="H24" s="23"/>
      <c r="I24" s="390" t="s">
        <v>26</v>
      </c>
      <c r="J24" s="390"/>
      <c r="K24" s="23"/>
      <c r="L24" s="1"/>
      <c r="M24" s="1"/>
      <c r="N24" s="15"/>
    </row>
    <row r="25" spans="1:14" customFormat="1" ht="14.5" x14ac:dyDescent="0.35">
      <c r="A25" s="392" t="s">
        <v>27</v>
      </c>
      <c r="B25" s="392"/>
      <c r="C25" s="26"/>
      <c r="D25" s="15" t="s">
        <v>40</v>
      </c>
      <c r="E25" s="23" t="s">
        <v>27</v>
      </c>
      <c r="F25" s="23"/>
      <c r="G25" s="23" t="s">
        <v>27</v>
      </c>
      <c r="H25" s="23"/>
      <c r="I25" s="1"/>
      <c r="J25" s="23"/>
      <c r="K25" s="23"/>
      <c r="L25" s="23"/>
    </row>
    <row r="26" spans="1:14" x14ac:dyDescent="0.3">
      <c r="A26" s="19"/>
      <c r="D26" s="19"/>
      <c r="E26" s="18"/>
      <c r="F26" s="18"/>
      <c r="G26" s="18"/>
      <c r="H26" s="9"/>
      <c r="I26" s="9"/>
      <c r="J26" s="7"/>
    </row>
    <row r="27" spans="1:14" x14ac:dyDescent="0.3">
      <c r="A27" s="19"/>
      <c r="D27" s="19"/>
      <c r="E27" s="18"/>
      <c r="F27" s="18"/>
      <c r="G27" s="18"/>
      <c r="H27" s="9"/>
      <c r="I27" s="9"/>
      <c r="J27" s="7"/>
    </row>
    <row r="28" spans="1:14" x14ac:dyDescent="0.3">
      <c r="A28" s="19"/>
      <c r="D28" s="19"/>
      <c r="E28" s="18"/>
      <c r="F28" s="18"/>
      <c r="G28" s="18"/>
      <c r="H28" s="9"/>
      <c r="I28" s="9"/>
      <c r="J28" s="7"/>
    </row>
  </sheetData>
  <mergeCells count="21">
    <mergeCell ref="A24:B24"/>
    <mergeCell ref="I24:J24"/>
    <mergeCell ref="A25:B25"/>
    <mergeCell ref="B14:J14"/>
    <mergeCell ref="A21:B21"/>
    <mergeCell ref="A22:B22"/>
    <mergeCell ref="I22:J22"/>
    <mergeCell ref="A23:B23"/>
    <mergeCell ref="I23:J23"/>
    <mergeCell ref="B7:J7"/>
    <mergeCell ref="B8:J8"/>
    <mergeCell ref="B9:J9"/>
    <mergeCell ref="B10:J10"/>
    <mergeCell ref="A13:G13"/>
    <mergeCell ref="I13:J13"/>
    <mergeCell ref="B6:J6"/>
    <mergeCell ref="A1:J1"/>
    <mergeCell ref="B2:J2"/>
    <mergeCell ref="B3:J3"/>
    <mergeCell ref="B4:J4"/>
    <mergeCell ref="B5:J5"/>
  </mergeCells>
  <pageMargins left="0.7" right="0.7" top="0.75" bottom="0.75" header="0.3" footer="0.3"/>
  <pageSetup paperSize="9" scale="60" orientation="landscape" r:id="rId1"/>
  <colBreaks count="1" manualBreakCount="1">
    <brk id="10"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DFE25-1F4C-4AC8-AFA3-50E8220A0311}">
  <sheetPr>
    <pageSetUpPr fitToPage="1"/>
  </sheetPr>
  <dimension ref="A1:O28"/>
  <sheetViews>
    <sheetView view="pageBreakPreview" zoomScale="70" zoomScaleNormal="100" zoomScaleSheetLayoutView="70" workbookViewId="0">
      <selection activeCell="A14" sqref="A14"/>
    </sheetView>
  </sheetViews>
  <sheetFormatPr defaultColWidth="9.1796875" defaultRowHeight="14" x14ac:dyDescent="0.3"/>
  <cols>
    <col min="1" max="1" width="18.81640625" style="1" bestFit="1" customWidth="1"/>
    <col min="2" max="2" width="24.81640625" style="1" customWidth="1"/>
    <col min="3" max="3" width="12.26953125" style="1" customWidth="1"/>
    <col min="4" max="4" width="37.26953125" style="1" customWidth="1"/>
    <col min="5" max="5" width="21" style="1" customWidth="1"/>
    <col min="6" max="7" width="17" style="1" customWidth="1"/>
    <col min="8" max="8" width="24.7265625" style="1" customWidth="1"/>
    <col min="9" max="9" width="19.26953125" style="1" customWidth="1"/>
    <col min="10" max="10" width="24" style="1" customWidth="1"/>
    <col min="11" max="11" width="27.453125" style="1" customWidth="1"/>
    <col min="12" max="12" width="9.81640625" style="1" bestFit="1" customWidth="1"/>
    <col min="13" max="13" width="9.1796875" style="1"/>
    <col min="14" max="14" width="11.54296875" style="1" bestFit="1" customWidth="1"/>
    <col min="15" max="16384" width="9.1796875" style="1"/>
  </cols>
  <sheetData>
    <row r="1" spans="1:14" ht="42.75" customHeight="1" x14ac:dyDescent="0.3">
      <c r="A1" s="363" t="s">
        <v>42</v>
      </c>
      <c r="B1" s="363"/>
      <c r="C1" s="363"/>
      <c r="D1" s="363"/>
      <c r="E1" s="363"/>
      <c r="F1" s="363"/>
      <c r="G1" s="363"/>
      <c r="H1" s="363"/>
      <c r="I1" s="363"/>
      <c r="J1" s="363"/>
      <c r="K1" s="363"/>
    </row>
    <row r="2" spans="1:14" ht="23.25" customHeight="1" x14ac:dyDescent="0.3">
      <c r="A2" s="2" t="s">
        <v>0</v>
      </c>
      <c r="B2" s="364" t="s">
        <v>46</v>
      </c>
      <c r="C2" s="364"/>
      <c r="D2" s="364"/>
      <c r="E2" s="364"/>
      <c r="F2" s="364"/>
      <c r="G2" s="364"/>
      <c r="H2" s="364"/>
      <c r="I2" s="364"/>
      <c r="J2" s="364"/>
      <c r="K2" s="364"/>
    </row>
    <row r="3" spans="1:14" ht="22" customHeight="1" x14ac:dyDescent="0.3">
      <c r="A3" s="2" t="s">
        <v>1</v>
      </c>
      <c r="B3" s="365" t="s">
        <v>80</v>
      </c>
      <c r="C3" s="365"/>
      <c r="D3" s="365"/>
      <c r="E3" s="365"/>
      <c r="F3" s="365"/>
      <c r="G3" s="365"/>
      <c r="H3" s="365"/>
      <c r="I3" s="365"/>
      <c r="J3" s="365"/>
      <c r="K3" s="365"/>
    </row>
    <row r="4" spans="1:14" ht="22" customHeight="1" x14ac:dyDescent="0.3">
      <c r="A4" s="2" t="s">
        <v>2</v>
      </c>
      <c r="B4" s="366" t="s">
        <v>3</v>
      </c>
      <c r="C4" s="366"/>
      <c r="D4" s="366"/>
      <c r="E4" s="366"/>
      <c r="F4" s="366"/>
      <c r="G4" s="366"/>
      <c r="H4" s="366"/>
      <c r="I4" s="366"/>
      <c r="J4" s="366"/>
      <c r="K4" s="366"/>
    </row>
    <row r="5" spans="1:14" ht="22" customHeight="1" x14ac:dyDescent="0.3">
      <c r="A5" s="2" t="s">
        <v>4</v>
      </c>
      <c r="B5" s="367">
        <v>45251</v>
      </c>
      <c r="C5" s="367"/>
      <c r="D5" s="367"/>
      <c r="E5" s="367"/>
      <c r="F5" s="367"/>
      <c r="G5" s="367"/>
      <c r="H5" s="367"/>
      <c r="I5" s="367"/>
      <c r="J5" s="367"/>
      <c r="K5" s="367"/>
      <c r="N5" s="3"/>
    </row>
    <row r="6" spans="1:14" ht="22" customHeight="1" x14ac:dyDescent="0.3">
      <c r="A6" s="2" t="s">
        <v>5</v>
      </c>
      <c r="B6" s="361">
        <v>1698</v>
      </c>
      <c r="C6" s="361"/>
      <c r="D6" s="362"/>
      <c r="E6" s="362"/>
      <c r="F6" s="362"/>
      <c r="G6" s="362"/>
      <c r="H6" s="362"/>
      <c r="I6" s="362"/>
      <c r="J6" s="362"/>
      <c r="K6" s="362"/>
      <c r="N6" s="3"/>
    </row>
    <row r="7" spans="1:14" ht="22" customHeight="1" x14ac:dyDescent="0.3">
      <c r="A7" s="2" t="s">
        <v>6</v>
      </c>
      <c r="B7" s="362" t="s">
        <v>64</v>
      </c>
      <c r="C7" s="362"/>
      <c r="D7" s="362"/>
      <c r="E7" s="362"/>
      <c r="F7" s="362"/>
      <c r="G7" s="362"/>
      <c r="H7" s="362"/>
      <c r="I7" s="362"/>
      <c r="J7" s="362"/>
      <c r="K7" s="362"/>
      <c r="N7" s="3"/>
    </row>
    <row r="8" spans="1:14" ht="22" customHeight="1" x14ac:dyDescent="0.3">
      <c r="A8" s="2" t="s">
        <v>8</v>
      </c>
      <c r="B8" s="366" t="s">
        <v>65</v>
      </c>
      <c r="C8" s="366"/>
      <c r="D8" s="366"/>
      <c r="E8" s="366"/>
      <c r="F8" s="366"/>
      <c r="G8" s="366"/>
      <c r="H8" s="366"/>
      <c r="I8" s="366"/>
      <c r="J8" s="366"/>
      <c r="K8" s="366"/>
    </row>
    <row r="9" spans="1:14" ht="22" customHeight="1" x14ac:dyDescent="0.3">
      <c r="A9" s="2" t="s">
        <v>9</v>
      </c>
      <c r="B9" s="372">
        <f>$I$13</f>
        <v>26078</v>
      </c>
      <c r="C9" s="372"/>
      <c r="D9" s="373"/>
      <c r="E9" s="373"/>
      <c r="F9" s="373"/>
      <c r="G9" s="373"/>
      <c r="H9" s="373"/>
      <c r="I9" s="373"/>
      <c r="J9" s="373"/>
      <c r="K9" s="373"/>
    </row>
    <row r="10" spans="1:14" ht="22.5" customHeight="1" x14ac:dyDescent="0.3">
      <c r="A10" s="2"/>
      <c r="B10" s="374" t="s">
        <v>10</v>
      </c>
      <c r="C10" s="374"/>
      <c r="D10" s="374"/>
      <c r="E10" s="374"/>
      <c r="F10" s="374"/>
      <c r="G10" s="374"/>
      <c r="H10" s="374"/>
      <c r="I10" s="374"/>
      <c r="J10" s="374"/>
      <c r="K10" s="374"/>
    </row>
    <row r="11" spans="1:14" s="16" customFormat="1" ht="42" customHeight="1" x14ac:dyDescent="0.25">
      <c r="A11" s="4" t="s">
        <v>11</v>
      </c>
      <c r="B11" s="5" t="s">
        <v>12</v>
      </c>
      <c r="C11" s="6" t="s">
        <v>56</v>
      </c>
      <c r="D11" s="6" t="s">
        <v>13</v>
      </c>
      <c r="E11" s="6" t="s">
        <v>0</v>
      </c>
      <c r="F11" s="6" t="s">
        <v>14</v>
      </c>
      <c r="G11" s="6" t="s">
        <v>79</v>
      </c>
      <c r="H11" s="4" t="s">
        <v>15</v>
      </c>
      <c r="I11" s="5" t="s">
        <v>29</v>
      </c>
      <c r="J11" s="4" t="s">
        <v>31</v>
      </c>
      <c r="K11" s="4" t="s">
        <v>30</v>
      </c>
      <c r="M11" s="17"/>
    </row>
    <row r="12" spans="1:14" s="8" customFormat="1" ht="15" x14ac:dyDescent="0.3">
      <c r="A12" s="25">
        <v>1</v>
      </c>
      <c r="B12" s="38">
        <v>45251</v>
      </c>
      <c r="C12" s="31">
        <v>1665</v>
      </c>
      <c r="D12" s="29" t="s">
        <v>58</v>
      </c>
      <c r="E12" s="37" t="s">
        <v>47</v>
      </c>
      <c r="F12" s="10" t="s">
        <v>77</v>
      </c>
      <c r="G12" s="42" t="s">
        <v>81</v>
      </c>
      <c r="H12" s="11">
        <v>26078</v>
      </c>
      <c r="I12" s="39">
        <f>H12</f>
        <v>26078</v>
      </c>
      <c r="J12" s="38" t="s">
        <v>32</v>
      </c>
      <c r="K12" s="43" t="s">
        <v>43</v>
      </c>
    </row>
    <row r="13" spans="1:14" ht="15.75" customHeight="1" x14ac:dyDescent="0.3">
      <c r="A13" s="384" t="s">
        <v>16</v>
      </c>
      <c r="B13" s="385"/>
      <c r="C13" s="385"/>
      <c r="D13" s="385"/>
      <c r="E13" s="385"/>
      <c r="F13" s="385"/>
      <c r="G13" s="385"/>
      <c r="H13" s="386"/>
      <c r="I13" s="12">
        <f>SUM(I12:I12)</f>
        <v>26078</v>
      </c>
      <c r="J13" s="409"/>
      <c r="K13" s="409"/>
      <c r="M13" s="1" t="s">
        <v>17</v>
      </c>
    </row>
    <row r="14" spans="1:14" ht="18" customHeight="1" x14ac:dyDescent="0.3">
      <c r="A14" s="45" t="s">
        <v>18</v>
      </c>
      <c r="B14" s="407" t="s">
        <v>78</v>
      </c>
      <c r="C14" s="407"/>
      <c r="D14" s="408"/>
      <c r="E14" s="44"/>
      <c r="F14" s="44"/>
      <c r="G14" s="44"/>
      <c r="H14" s="44"/>
      <c r="I14" s="44"/>
      <c r="J14" s="44"/>
      <c r="K14" s="44"/>
    </row>
    <row r="17" spans="1:15" ht="25.5" customHeight="1" x14ac:dyDescent="0.3"/>
    <row r="18" spans="1:15" ht="25.5" customHeight="1" x14ac:dyDescent="0.3"/>
    <row r="19" spans="1:15" ht="15" customHeight="1" x14ac:dyDescent="0.3"/>
    <row r="21" spans="1:15" customFormat="1" ht="14.5" x14ac:dyDescent="0.35">
      <c r="A21" s="369" t="s">
        <v>33</v>
      </c>
      <c r="B21" s="369"/>
      <c r="C21" s="24"/>
      <c r="D21" s="1"/>
      <c r="E21" s="24" t="s">
        <v>34</v>
      </c>
      <c r="F21" s="24"/>
      <c r="G21" s="24"/>
      <c r="H21" s="20" t="s">
        <v>35</v>
      </c>
      <c r="I21" s="20"/>
      <c r="J21" s="20"/>
      <c r="K21" s="21"/>
      <c r="L21" s="20"/>
      <c r="M21" s="1"/>
      <c r="N21" s="1"/>
      <c r="O21" s="21"/>
    </row>
    <row r="22" spans="1:15" customFormat="1" ht="14.5" x14ac:dyDescent="0.35">
      <c r="A22" s="393" t="s">
        <v>19</v>
      </c>
      <c r="B22" s="393"/>
      <c r="C22" s="27"/>
      <c r="D22" s="13" t="s">
        <v>36</v>
      </c>
      <c r="E22" s="21" t="s">
        <v>20</v>
      </c>
      <c r="F22" s="21"/>
      <c r="G22" s="21"/>
      <c r="H22" s="21" t="s">
        <v>21</v>
      </c>
      <c r="I22" s="21"/>
      <c r="J22" s="371" t="s">
        <v>22</v>
      </c>
      <c r="K22" s="371"/>
      <c r="L22" s="21"/>
      <c r="M22" s="1"/>
      <c r="N22" s="1"/>
      <c r="O22" s="22"/>
    </row>
    <row r="23" spans="1:15" customFormat="1" ht="14.5" x14ac:dyDescent="0.35">
      <c r="A23" s="391" t="s">
        <v>64</v>
      </c>
      <c r="B23" s="391"/>
      <c r="C23" s="28"/>
      <c r="D23" s="14" t="s">
        <v>6</v>
      </c>
      <c r="E23" s="22" t="s">
        <v>23</v>
      </c>
      <c r="F23" s="22"/>
      <c r="G23" s="22"/>
      <c r="H23" s="22" t="s">
        <v>24</v>
      </c>
      <c r="I23" s="22"/>
      <c r="J23" s="389" t="s">
        <v>25</v>
      </c>
      <c r="K23" s="389"/>
      <c r="L23" s="22"/>
      <c r="M23" s="1"/>
      <c r="N23" s="1"/>
      <c r="O23" s="23"/>
    </row>
    <row r="24" spans="1:15" customFormat="1" ht="14.5" x14ac:dyDescent="0.35">
      <c r="A24" s="392" t="s">
        <v>65</v>
      </c>
      <c r="B24" s="392"/>
      <c r="C24" s="26"/>
      <c r="D24" s="15" t="s">
        <v>38</v>
      </c>
      <c r="E24" s="23" t="s">
        <v>41</v>
      </c>
      <c r="F24" s="23"/>
      <c r="G24" s="23"/>
      <c r="H24" s="23" t="s">
        <v>39</v>
      </c>
      <c r="I24" s="23"/>
      <c r="J24" s="390" t="s">
        <v>26</v>
      </c>
      <c r="K24" s="390"/>
      <c r="L24" s="23"/>
      <c r="M24" s="1"/>
      <c r="N24" s="1"/>
      <c r="O24" s="15"/>
    </row>
    <row r="25" spans="1:15" customFormat="1" ht="14.5" x14ac:dyDescent="0.35">
      <c r="A25" s="392" t="s">
        <v>27</v>
      </c>
      <c r="B25" s="392"/>
      <c r="C25" s="26"/>
      <c r="D25" s="15" t="s">
        <v>40</v>
      </c>
      <c r="E25" s="23" t="s">
        <v>27</v>
      </c>
      <c r="F25" s="23"/>
      <c r="G25" s="23"/>
      <c r="H25" s="23" t="s">
        <v>27</v>
      </c>
      <c r="I25" s="23"/>
      <c r="J25" s="1"/>
      <c r="K25" s="23"/>
      <c r="L25" s="23"/>
      <c r="M25" s="23"/>
    </row>
    <row r="26" spans="1:15" x14ac:dyDescent="0.3">
      <c r="A26" s="19"/>
      <c r="D26" s="19"/>
      <c r="E26" s="18"/>
      <c r="F26" s="18"/>
      <c r="G26" s="18"/>
      <c r="H26" s="18"/>
      <c r="I26" s="9"/>
      <c r="J26" s="9"/>
      <c r="K26" s="7"/>
    </row>
    <row r="27" spans="1:15" x14ac:dyDescent="0.3">
      <c r="A27" s="19"/>
      <c r="D27" s="19"/>
      <c r="E27" s="18"/>
      <c r="F27" s="18"/>
      <c r="G27" s="18"/>
      <c r="H27" s="18"/>
      <c r="I27" s="9"/>
      <c r="J27" s="9"/>
      <c r="K27" s="7"/>
    </row>
    <row r="28" spans="1:15" x14ac:dyDescent="0.3">
      <c r="A28" s="19"/>
      <c r="D28" s="19"/>
      <c r="E28" s="18"/>
      <c r="F28" s="18"/>
      <c r="G28" s="18"/>
      <c r="H28" s="18"/>
      <c r="I28" s="9"/>
      <c r="J28" s="9"/>
      <c r="K28" s="7"/>
    </row>
  </sheetData>
  <mergeCells count="21">
    <mergeCell ref="B6:K6"/>
    <mergeCell ref="A1:K1"/>
    <mergeCell ref="B2:K2"/>
    <mergeCell ref="B3:K3"/>
    <mergeCell ref="B4:K4"/>
    <mergeCell ref="B5:K5"/>
    <mergeCell ref="B14:D14"/>
    <mergeCell ref="B7:K7"/>
    <mergeCell ref="B8:K8"/>
    <mergeCell ref="B9:K9"/>
    <mergeCell ref="B10:K10"/>
    <mergeCell ref="A13:H13"/>
    <mergeCell ref="J13:K13"/>
    <mergeCell ref="A24:B24"/>
    <mergeCell ref="J24:K24"/>
    <mergeCell ref="A25:B25"/>
    <mergeCell ref="A21:B21"/>
    <mergeCell ref="A22:B22"/>
    <mergeCell ref="J22:K22"/>
    <mergeCell ref="A23:B23"/>
    <mergeCell ref="J23:K23"/>
  </mergeCells>
  <pageMargins left="0.7" right="0.7" top="0.75" bottom="0.75" header="0.3" footer="0.3"/>
  <pageSetup paperSize="9" scale="53" orientation="landscape" r:id="rId1"/>
  <colBreaks count="1" manualBreakCount="1">
    <brk id="11"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D394-C025-4214-AC9B-9FF7F2BDFA75}">
  <sheetPr>
    <pageSetUpPr fitToPage="1"/>
  </sheetPr>
  <dimension ref="A1:J33"/>
  <sheetViews>
    <sheetView topLeftCell="A9" zoomScaleNormal="100" workbookViewId="0">
      <selection activeCell="B23" sqref="B23"/>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24.6328125" bestFit="1" customWidth="1"/>
    <col min="10" max="10" width="13.36328125" bestFit="1" customWidth="1"/>
  </cols>
  <sheetData>
    <row r="1" spans="1:10" ht="20" x14ac:dyDescent="0.35">
      <c r="A1" s="363" t="s">
        <v>42</v>
      </c>
      <c r="B1" s="363"/>
      <c r="C1" s="363"/>
      <c r="D1" s="363"/>
      <c r="E1" s="363"/>
      <c r="F1" s="363"/>
      <c r="G1" s="363"/>
      <c r="H1" s="363"/>
      <c r="I1" s="363"/>
      <c r="J1" s="363"/>
    </row>
    <row r="2" spans="1:10" ht="20" x14ac:dyDescent="0.35">
      <c r="A2" s="2" t="s">
        <v>0</v>
      </c>
      <c r="B2" s="364" t="s">
        <v>46</v>
      </c>
      <c r="C2" s="364"/>
      <c r="D2" s="364"/>
      <c r="E2" s="364"/>
      <c r="F2" s="364"/>
      <c r="G2" s="364"/>
      <c r="H2" s="364"/>
      <c r="I2" s="364"/>
      <c r="J2" s="364"/>
    </row>
    <row r="3" spans="1:10" x14ac:dyDescent="0.35">
      <c r="A3" s="2" t="s">
        <v>1</v>
      </c>
      <c r="B3" s="365" t="s">
        <v>100</v>
      </c>
      <c r="C3" s="365"/>
      <c r="D3" s="365"/>
      <c r="E3" s="365"/>
      <c r="F3" s="365"/>
      <c r="G3" s="365"/>
      <c r="H3" s="365"/>
      <c r="I3" s="365"/>
      <c r="J3" s="365"/>
    </row>
    <row r="4" spans="1:10" x14ac:dyDescent="0.35">
      <c r="A4" s="2" t="s">
        <v>2</v>
      </c>
      <c r="B4" s="366" t="s">
        <v>3</v>
      </c>
      <c r="C4" s="366"/>
      <c r="D4" s="366"/>
      <c r="E4" s="366"/>
      <c r="F4" s="366"/>
      <c r="G4" s="366"/>
      <c r="H4" s="366"/>
      <c r="I4" s="366"/>
      <c r="J4" s="366"/>
    </row>
    <row r="5" spans="1:10" x14ac:dyDescent="0.35">
      <c r="A5" s="2" t="s">
        <v>4</v>
      </c>
      <c r="B5" s="367">
        <v>45329</v>
      </c>
      <c r="C5" s="367"/>
      <c r="D5" s="367"/>
      <c r="E5" s="367"/>
      <c r="F5" s="367"/>
      <c r="G5" s="367"/>
      <c r="H5" s="367"/>
      <c r="I5" s="367"/>
      <c r="J5" s="367"/>
    </row>
    <row r="6" spans="1:10" x14ac:dyDescent="0.35">
      <c r="A6" s="2" t="s">
        <v>5</v>
      </c>
      <c r="B6" s="361">
        <v>1703</v>
      </c>
      <c r="C6" s="361"/>
      <c r="D6" s="362"/>
      <c r="E6" s="362"/>
      <c r="F6" s="362"/>
      <c r="G6" s="362"/>
      <c r="H6" s="362"/>
      <c r="I6" s="362"/>
      <c r="J6" s="362"/>
    </row>
    <row r="7" spans="1:10" x14ac:dyDescent="0.35">
      <c r="A7" s="2" t="s">
        <v>6</v>
      </c>
      <c r="B7" s="362" t="s">
        <v>82</v>
      </c>
      <c r="C7" s="362"/>
      <c r="D7" s="362"/>
      <c r="E7" s="362"/>
      <c r="F7" s="362"/>
      <c r="G7" s="362"/>
      <c r="H7" s="362"/>
      <c r="I7" s="362"/>
      <c r="J7" s="362"/>
    </row>
    <row r="8" spans="1:10" x14ac:dyDescent="0.35">
      <c r="A8" s="2" t="s">
        <v>8</v>
      </c>
      <c r="B8" s="366" t="s">
        <v>83</v>
      </c>
      <c r="C8" s="366"/>
      <c r="D8" s="366"/>
      <c r="E8" s="366"/>
      <c r="F8" s="366"/>
      <c r="G8" s="366"/>
      <c r="H8" s="366"/>
      <c r="I8" s="366"/>
      <c r="J8" s="366"/>
    </row>
    <row r="9" spans="1:10" ht="15" x14ac:dyDescent="0.35">
      <c r="A9" s="2" t="s">
        <v>9</v>
      </c>
      <c r="B9" s="372">
        <f>$H$18</f>
        <v>27269</v>
      </c>
      <c r="C9" s="372"/>
      <c r="D9" s="373"/>
      <c r="E9" s="373"/>
      <c r="F9" s="373"/>
      <c r="G9" s="373"/>
      <c r="H9" s="373"/>
      <c r="I9" s="373"/>
      <c r="J9" s="373"/>
    </row>
    <row r="10" spans="1:10" ht="17.5" x14ac:dyDescent="0.35">
      <c r="A10" s="2"/>
      <c r="B10" s="374" t="s">
        <v>10</v>
      </c>
      <c r="C10" s="374"/>
      <c r="D10" s="374"/>
      <c r="E10" s="374"/>
      <c r="F10" s="374"/>
      <c r="G10" s="374"/>
      <c r="H10" s="374"/>
      <c r="I10" s="374"/>
      <c r="J10" s="374"/>
    </row>
    <row r="11" spans="1:10" ht="37.5" x14ac:dyDescent="0.35">
      <c r="A11" s="4" t="s">
        <v>11</v>
      </c>
      <c r="B11" s="5" t="s">
        <v>12</v>
      </c>
      <c r="C11" s="6" t="s">
        <v>56</v>
      </c>
      <c r="D11" s="6" t="s">
        <v>84</v>
      </c>
      <c r="E11" s="6" t="s">
        <v>0</v>
      </c>
      <c r="F11" s="6" t="s">
        <v>14</v>
      </c>
      <c r="G11" s="4" t="s">
        <v>15</v>
      </c>
      <c r="H11" s="5" t="s">
        <v>29</v>
      </c>
      <c r="I11" s="4" t="s">
        <v>31</v>
      </c>
      <c r="J11" s="4" t="s">
        <v>30</v>
      </c>
    </row>
    <row r="12" spans="1:10" ht="15" x14ac:dyDescent="0.35">
      <c r="A12" s="25">
        <v>1</v>
      </c>
      <c r="B12" s="38"/>
      <c r="C12" s="31">
        <v>1660</v>
      </c>
      <c r="D12" s="29" t="s">
        <v>86</v>
      </c>
      <c r="E12" s="10" t="s">
        <v>47</v>
      </c>
      <c r="F12" s="10">
        <v>45161</v>
      </c>
      <c r="G12" s="11">
        <v>2037</v>
      </c>
      <c r="H12" s="30">
        <v>2037</v>
      </c>
      <c r="I12" s="35" t="s">
        <v>32</v>
      </c>
      <c r="J12" s="36" t="s">
        <v>43</v>
      </c>
    </row>
    <row r="13" spans="1:10" ht="15" x14ac:dyDescent="0.35">
      <c r="A13" s="25">
        <v>2</v>
      </c>
      <c r="B13" s="38"/>
      <c r="C13" s="31">
        <v>1656</v>
      </c>
      <c r="D13" s="29" t="s">
        <v>87</v>
      </c>
      <c r="E13" s="10" t="s">
        <v>47</v>
      </c>
      <c r="F13" s="10">
        <v>45161</v>
      </c>
      <c r="G13" s="11">
        <v>2268</v>
      </c>
      <c r="H13" s="30">
        <v>2268</v>
      </c>
      <c r="I13" s="35" t="s">
        <v>32</v>
      </c>
      <c r="J13" s="36" t="s">
        <v>43</v>
      </c>
    </row>
    <row r="14" spans="1:10" ht="15" x14ac:dyDescent="0.35">
      <c r="A14" s="25">
        <v>3</v>
      </c>
      <c r="B14" s="38"/>
      <c r="C14" s="31">
        <v>1658</v>
      </c>
      <c r="D14" s="29" t="s">
        <v>88</v>
      </c>
      <c r="E14" s="10" t="s">
        <v>47</v>
      </c>
      <c r="F14" s="10">
        <v>45161</v>
      </c>
      <c r="G14" s="11">
        <v>10108</v>
      </c>
      <c r="H14" s="30">
        <v>10108</v>
      </c>
      <c r="I14" s="35" t="s">
        <v>32</v>
      </c>
      <c r="J14" s="36" t="s">
        <v>43</v>
      </c>
    </row>
    <row r="15" spans="1:10" ht="15" x14ac:dyDescent="0.35">
      <c r="A15" s="25">
        <v>4</v>
      </c>
      <c r="B15" s="38"/>
      <c r="C15" s="31">
        <v>1657</v>
      </c>
      <c r="D15" s="29" t="s">
        <v>89</v>
      </c>
      <c r="E15" s="10" t="s">
        <v>47</v>
      </c>
      <c r="F15" s="10">
        <v>45161</v>
      </c>
      <c r="G15" s="11">
        <v>2416</v>
      </c>
      <c r="H15" s="30">
        <v>2416</v>
      </c>
      <c r="I15" s="35" t="s">
        <v>32</v>
      </c>
      <c r="J15" s="36" t="s">
        <v>43</v>
      </c>
    </row>
    <row r="16" spans="1:10" ht="15" x14ac:dyDescent="0.35">
      <c r="A16" s="25">
        <v>5</v>
      </c>
      <c r="B16" s="38"/>
      <c r="C16" s="31">
        <v>1670</v>
      </c>
      <c r="D16" s="29" t="s">
        <v>90</v>
      </c>
      <c r="E16" s="10" t="s">
        <v>47</v>
      </c>
      <c r="F16" s="10">
        <v>45161</v>
      </c>
      <c r="G16" s="11">
        <v>2070</v>
      </c>
      <c r="H16" s="30">
        <v>2070</v>
      </c>
      <c r="I16" s="35" t="s">
        <v>32</v>
      </c>
      <c r="J16" s="36" t="s">
        <v>43</v>
      </c>
    </row>
    <row r="17" spans="1:10" ht="15" x14ac:dyDescent="0.35">
      <c r="A17" s="25">
        <v>6</v>
      </c>
      <c r="B17" s="38"/>
      <c r="C17" s="31">
        <v>1659</v>
      </c>
      <c r="D17" s="29" t="s">
        <v>91</v>
      </c>
      <c r="E17" s="10" t="s">
        <v>47</v>
      </c>
      <c r="F17" s="10">
        <v>45161</v>
      </c>
      <c r="G17" s="11">
        <v>8370</v>
      </c>
      <c r="H17" s="30">
        <v>8370</v>
      </c>
      <c r="I17" s="38" t="s">
        <v>32</v>
      </c>
      <c r="J17" s="43" t="s">
        <v>43</v>
      </c>
    </row>
    <row r="18" spans="1:10" ht="15" x14ac:dyDescent="0.35">
      <c r="A18" s="40"/>
      <c r="B18" s="49"/>
      <c r="C18" s="49"/>
      <c r="D18" s="49"/>
      <c r="E18" s="49"/>
      <c r="F18" s="49"/>
      <c r="G18" s="50"/>
      <c r="H18" s="47">
        <f>SUM(H12:H17)</f>
        <v>27269</v>
      </c>
      <c r="I18" s="411"/>
      <c r="J18" s="412"/>
    </row>
    <row r="19" spans="1:10" x14ac:dyDescent="0.35">
      <c r="A19" s="25"/>
      <c r="B19" s="368" t="s">
        <v>101</v>
      </c>
      <c r="C19" s="368"/>
      <c r="D19" s="368"/>
      <c r="E19" s="368"/>
      <c r="F19" s="368"/>
      <c r="G19" s="368"/>
      <c r="H19" s="368"/>
      <c r="I19" s="368"/>
      <c r="J19" s="368"/>
    </row>
    <row r="20" spans="1:10" x14ac:dyDescent="0.35">
      <c r="A20" s="48"/>
      <c r="B20" s="1"/>
      <c r="C20" s="1"/>
      <c r="D20" s="1"/>
      <c r="E20" s="1"/>
      <c r="F20" s="1"/>
      <c r="G20" s="1"/>
      <c r="H20" s="1"/>
      <c r="I20" s="1"/>
      <c r="J20" s="1"/>
    </row>
    <row r="21" spans="1:10" x14ac:dyDescent="0.35">
      <c r="A21" s="48"/>
      <c r="B21" s="1"/>
      <c r="C21" s="1"/>
      <c r="D21" s="1"/>
      <c r="E21" s="1"/>
      <c r="F21" s="1"/>
      <c r="G21" s="1"/>
      <c r="H21" s="1"/>
      <c r="I21" s="1"/>
      <c r="J21" s="1"/>
    </row>
    <row r="22" spans="1:10" ht="51" customHeight="1" x14ac:dyDescent="0.35">
      <c r="A22" s="1"/>
      <c r="B22" s="1"/>
      <c r="C22" s="1"/>
      <c r="D22" s="1"/>
      <c r="E22" s="1"/>
      <c r="F22" s="1"/>
      <c r="G22" s="1"/>
      <c r="H22" s="1"/>
      <c r="I22" s="1"/>
      <c r="J22" s="1"/>
    </row>
    <row r="23" spans="1:10" x14ac:dyDescent="0.35">
      <c r="A23" s="48"/>
      <c r="B23" s="1"/>
      <c r="C23" s="1"/>
      <c r="D23" s="1"/>
      <c r="E23" s="1"/>
      <c r="F23" s="1"/>
      <c r="G23" s="20"/>
      <c r="H23" s="1"/>
      <c r="I23" s="1"/>
      <c r="J23" s="1"/>
    </row>
    <row r="24" spans="1:10" x14ac:dyDescent="0.35">
      <c r="A24" s="48"/>
      <c r="B24" s="1"/>
      <c r="C24" s="1"/>
      <c r="D24" s="1"/>
      <c r="E24" s="1"/>
      <c r="F24" s="1"/>
      <c r="G24" s="1"/>
      <c r="H24" s="1"/>
      <c r="I24" s="1"/>
      <c r="J24" s="1"/>
    </row>
    <row r="25" spans="1:10" x14ac:dyDescent="0.35">
      <c r="A25" s="51"/>
      <c r="B25" s="1"/>
      <c r="C25" s="1"/>
      <c r="D25" s="1"/>
      <c r="E25" s="1"/>
      <c r="F25" s="1"/>
      <c r="G25" s="1"/>
      <c r="H25" s="1"/>
      <c r="I25" s="1"/>
      <c r="J25" s="1"/>
    </row>
    <row r="26" spans="1:10" x14ac:dyDescent="0.35">
      <c r="A26" s="14"/>
      <c r="B26" s="24"/>
      <c r="C26" s="24"/>
      <c r="D26" s="1"/>
      <c r="E26" s="24" t="s">
        <v>34</v>
      </c>
      <c r="F26" s="24"/>
      <c r="H26" s="20"/>
      <c r="I26" s="20"/>
      <c r="J26" s="21"/>
    </row>
    <row r="27" spans="1:10" x14ac:dyDescent="0.35">
      <c r="A27" s="27" t="s">
        <v>19</v>
      </c>
      <c r="B27" s="27"/>
      <c r="C27" s="27"/>
      <c r="D27" s="13" t="s">
        <v>36</v>
      </c>
      <c r="E27" s="21" t="s">
        <v>20</v>
      </c>
      <c r="F27" s="21"/>
      <c r="G27" s="46" t="s">
        <v>21</v>
      </c>
      <c r="H27" s="21"/>
      <c r="I27" s="410" t="s">
        <v>22</v>
      </c>
      <c r="J27" s="410"/>
    </row>
    <row r="28" spans="1:10" x14ac:dyDescent="0.35">
      <c r="A28" s="28" t="s">
        <v>82</v>
      </c>
      <c r="B28" s="28"/>
      <c r="C28" s="28"/>
      <c r="D28" s="14" t="s">
        <v>93</v>
      </c>
      <c r="E28" s="22" t="s">
        <v>23</v>
      </c>
      <c r="F28" s="22"/>
      <c r="G28" s="22" t="s">
        <v>24</v>
      </c>
      <c r="H28" s="22"/>
      <c r="I28" s="389" t="s">
        <v>25</v>
      </c>
      <c r="J28" s="389"/>
    </row>
    <row r="29" spans="1:10" x14ac:dyDescent="0.35">
      <c r="A29" s="26" t="s">
        <v>85</v>
      </c>
      <c r="B29" s="26"/>
      <c r="C29" s="26"/>
      <c r="D29" s="15" t="s">
        <v>41</v>
      </c>
      <c r="E29" s="23" t="s">
        <v>41</v>
      </c>
      <c r="F29" s="23"/>
      <c r="G29" s="23" t="s">
        <v>39</v>
      </c>
      <c r="H29" s="23"/>
      <c r="I29" s="390" t="s">
        <v>26</v>
      </c>
      <c r="J29" s="390"/>
    </row>
    <row r="30" spans="1:10" x14ac:dyDescent="0.35">
      <c r="A30" s="26" t="s">
        <v>27</v>
      </c>
      <c r="B30" s="26"/>
      <c r="C30" s="26"/>
      <c r="D30" s="15" t="s">
        <v>40</v>
      </c>
      <c r="E30" s="23" t="s">
        <v>27</v>
      </c>
      <c r="F30" s="23"/>
      <c r="G30" s="23" t="s">
        <v>27</v>
      </c>
      <c r="H30" s="23"/>
      <c r="I30" s="1"/>
      <c r="J30" s="23"/>
    </row>
    <row r="31" spans="1:10" x14ac:dyDescent="0.35">
      <c r="A31" s="1"/>
    </row>
    <row r="32" spans="1:10" x14ac:dyDescent="0.35">
      <c r="A32" s="1"/>
    </row>
    <row r="33" spans="1:1" x14ac:dyDescent="0.35">
      <c r="A33" s="24" t="s">
        <v>33</v>
      </c>
    </row>
  </sheetData>
  <mergeCells count="15">
    <mergeCell ref="I29:J29"/>
    <mergeCell ref="B19:J19"/>
    <mergeCell ref="I27:J27"/>
    <mergeCell ref="I28:J28"/>
    <mergeCell ref="B7:J7"/>
    <mergeCell ref="B8:J8"/>
    <mergeCell ref="B9:J9"/>
    <mergeCell ref="B10:J10"/>
    <mergeCell ref="I18:J18"/>
    <mergeCell ref="B6:J6"/>
    <mergeCell ref="A1:J1"/>
    <mergeCell ref="B2:J2"/>
    <mergeCell ref="B3:J3"/>
    <mergeCell ref="B4:J4"/>
    <mergeCell ref="B5:J5"/>
  </mergeCells>
  <pageMargins left="0.25" right="0.25" top="0.75" bottom="0.75" header="0.3" footer="0.3"/>
  <pageSetup paperSize="9" scale="91"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B780-A6C0-4BE9-BA84-81B31D2918BE}">
  <sheetPr>
    <pageSetUpPr fitToPage="1"/>
  </sheetPr>
  <dimension ref="A1:J28"/>
  <sheetViews>
    <sheetView topLeftCell="A4" workbookViewId="0">
      <selection sqref="A1:J27"/>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24.6328125" bestFit="1" customWidth="1"/>
    <col min="10" max="10" width="13.36328125" bestFit="1" customWidth="1"/>
  </cols>
  <sheetData>
    <row r="1" spans="1:10" ht="20" x14ac:dyDescent="0.35">
      <c r="A1" s="363" t="s">
        <v>42</v>
      </c>
      <c r="B1" s="363"/>
      <c r="C1" s="363"/>
      <c r="D1" s="363"/>
      <c r="E1" s="363"/>
      <c r="F1" s="363"/>
      <c r="G1" s="363"/>
      <c r="H1" s="363"/>
      <c r="I1" s="363"/>
      <c r="J1" s="363"/>
    </row>
    <row r="2" spans="1:10" ht="20" x14ac:dyDescent="0.35">
      <c r="A2" s="2" t="s">
        <v>0</v>
      </c>
      <c r="B2" s="364" t="s">
        <v>46</v>
      </c>
      <c r="C2" s="364"/>
      <c r="D2" s="364"/>
      <c r="E2" s="364"/>
      <c r="F2" s="364"/>
      <c r="G2" s="364"/>
      <c r="H2" s="364"/>
      <c r="I2" s="364"/>
      <c r="J2" s="364"/>
    </row>
    <row r="3" spans="1:10" x14ac:dyDescent="0.35">
      <c r="A3" s="2" t="s">
        <v>1</v>
      </c>
      <c r="B3" s="365" t="s">
        <v>102</v>
      </c>
      <c r="C3" s="365"/>
      <c r="D3" s="365"/>
      <c r="E3" s="365"/>
      <c r="F3" s="365"/>
      <c r="G3" s="365"/>
      <c r="H3" s="365"/>
      <c r="I3" s="365"/>
      <c r="J3" s="365"/>
    </row>
    <row r="4" spans="1:10" x14ac:dyDescent="0.35">
      <c r="A4" s="2" t="s">
        <v>2</v>
      </c>
      <c r="B4" s="366" t="s">
        <v>3</v>
      </c>
      <c r="C4" s="366"/>
      <c r="D4" s="366"/>
      <c r="E4" s="366"/>
      <c r="F4" s="366"/>
      <c r="G4" s="366"/>
      <c r="H4" s="366"/>
      <c r="I4" s="366"/>
      <c r="J4" s="366"/>
    </row>
    <row r="5" spans="1:10" x14ac:dyDescent="0.35">
      <c r="A5" s="2" t="s">
        <v>4</v>
      </c>
      <c r="B5" s="367">
        <v>45333</v>
      </c>
      <c r="C5" s="367"/>
      <c r="D5" s="367"/>
      <c r="E5" s="367"/>
      <c r="F5" s="367"/>
      <c r="G5" s="367"/>
      <c r="H5" s="367"/>
      <c r="I5" s="367"/>
      <c r="J5" s="367"/>
    </row>
    <row r="6" spans="1:10" x14ac:dyDescent="0.35">
      <c r="A6" s="2" t="s">
        <v>5</v>
      </c>
      <c r="B6" s="361">
        <v>1703</v>
      </c>
      <c r="C6" s="361"/>
      <c r="D6" s="362"/>
      <c r="E6" s="362"/>
      <c r="F6" s="362"/>
      <c r="G6" s="362"/>
      <c r="H6" s="362"/>
      <c r="I6" s="362"/>
      <c r="J6" s="362"/>
    </row>
    <row r="7" spans="1:10" x14ac:dyDescent="0.35">
      <c r="A7" s="2" t="s">
        <v>6</v>
      </c>
      <c r="B7" s="362" t="s">
        <v>82</v>
      </c>
      <c r="C7" s="362"/>
      <c r="D7" s="362"/>
      <c r="E7" s="362"/>
      <c r="F7" s="362"/>
      <c r="G7" s="362"/>
      <c r="H7" s="362"/>
      <c r="I7" s="362"/>
      <c r="J7" s="362"/>
    </row>
    <row r="8" spans="1:10" x14ac:dyDescent="0.35">
      <c r="A8" s="2" t="s">
        <v>8</v>
      </c>
      <c r="B8" s="366" t="s">
        <v>83</v>
      </c>
      <c r="C8" s="366"/>
      <c r="D8" s="366"/>
      <c r="E8" s="366"/>
      <c r="F8" s="366"/>
      <c r="G8" s="366"/>
      <c r="H8" s="366"/>
      <c r="I8" s="366"/>
      <c r="J8" s="366"/>
    </row>
    <row r="9" spans="1:10" ht="15" x14ac:dyDescent="0.35">
      <c r="A9" s="2" t="s">
        <v>9</v>
      </c>
      <c r="B9" s="372">
        <f>$H$15</f>
        <v>44497</v>
      </c>
      <c r="C9" s="372"/>
      <c r="D9" s="373"/>
      <c r="E9" s="373"/>
      <c r="F9" s="373"/>
      <c r="G9" s="373"/>
      <c r="H9" s="373"/>
      <c r="I9" s="373"/>
      <c r="J9" s="373"/>
    </row>
    <row r="10" spans="1:10" ht="17.5" x14ac:dyDescent="0.35">
      <c r="A10" s="2"/>
      <c r="B10" s="374" t="s">
        <v>10</v>
      </c>
      <c r="C10" s="374"/>
      <c r="D10" s="374"/>
      <c r="E10" s="374"/>
      <c r="F10" s="374"/>
      <c r="G10" s="374"/>
      <c r="H10" s="374"/>
      <c r="I10" s="374"/>
      <c r="J10" s="374"/>
    </row>
    <row r="11" spans="1:10" ht="37.5" x14ac:dyDescent="0.35">
      <c r="A11" s="4" t="s">
        <v>11</v>
      </c>
      <c r="B11" s="5" t="s">
        <v>12</v>
      </c>
      <c r="C11" s="6" t="s">
        <v>56</v>
      </c>
      <c r="D11" s="6" t="s">
        <v>84</v>
      </c>
      <c r="E11" s="6" t="s">
        <v>0</v>
      </c>
      <c r="F11" s="6" t="s">
        <v>14</v>
      </c>
      <c r="G11" s="4" t="s">
        <v>15</v>
      </c>
      <c r="H11" s="5" t="s">
        <v>29</v>
      </c>
      <c r="I11" s="4" t="s">
        <v>31</v>
      </c>
      <c r="J11" s="4" t="s">
        <v>30</v>
      </c>
    </row>
    <row r="12" spans="1:10" ht="15" x14ac:dyDescent="0.35">
      <c r="A12" s="25">
        <v>1</v>
      </c>
      <c r="B12" s="38">
        <v>45333</v>
      </c>
      <c r="C12" s="31">
        <v>1656</v>
      </c>
      <c r="D12" s="29" t="s">
        <v>87</v>
      </c>
      <c r="E12" s="10" t="s">
        <v>47</v>
      </c>
      <c r="F12" s="10">
        <v>45315</v>
      </c>
      <c r="G12" s="11">
        <v>2105</v>
      </c>
      <c r="H12" s="30">
        <v>2105</v>
      </c>
      <c r="I12" s="35" t="s">
        <v>32</v>
      </c>
      <c r="J12" s="36" t="s">
        <v>43</v>
      </c>
    </row>
    <row r="13" spans="1:10" ht="15" x14ac:dyDescent="0.35">
      <c r="A13" s="25">
        <v>2</v>
      </c>
      <c r="B13" s="38">
        <v>45333</v>
      </c>
      <c r="C13" s="31">
        <v>1657</v>
      </c>
      <c r="D13" s="29" t="s">
        <v>89</v>
      </c>
      <c r="E13" s="10" t="s">
        <v>47</v>
      </c>
      <c r="F13" s="10">
        <v>45315</v>
      </c>
      <c r="G13" s="11">
        <v>5936</v>
      </c>
      <c r="H13" s="30">
        <v>5936</v>
      </c>
      <c r="I13" s="35" t="s">
        <v>32</v>
      </c>
      <c r="J13" s="36" t="s">
        <v>43</v>
      </c>
    </row>
    <row r="14" spans="1:10" ht="15" x14ac:dyDescent="0.35">
      <c r="A14" s="25">
        <v>3</v>
      </c>
      <c r="B14" s="38">
        <v>45333</v>
      </c>
      <c r="C14" s="31">
        <v>1670</v>
      </c>
      <c r="D14" s="29" t="s">
        <v>90</v>
      </c>
      <c r="E14" s="10" t="s">
        <v>47</v>
      </c>
      <c r="F14" s="10">
        <v>45315</v>
      </c>
      <c r="G14" s="11">
        <v>36456</v>
      </c>
      <c r="H14" s="30">
        <v>36456</v>
      </c>
      <c r="I14" s="35" t="s">
        <v>32</v>
      </c>
      <c r="J14" s="36" t="s">
        <v>43</v>
      </c>
    </row>
    <row r="15" spans="1:10" ht="15" x14ac:dyDescent="0.35">
      <c r="A15" s="40"/>
      <c r="B15" s="49"/>
      <c r="C15" s="49"/>
      <c r="D15" s="49"/>
      <c r="E15" s="49"/>
      <c r="F15" s="49"/>
      <c r="G15" s="50"/>
      <c r="H15" s="47">
        <f>SUM(H12:H14)</f>
        <v>44497</v>
      </c>
      <c r="I15" s="411"/>
      <c r="J15" s="412"/>
    </row>
    <row r="16" spans="1:10" x14ac:dyDescent="0.35">
      <c r="A16" s="25"/>
      <c r="B16" s="368" t="s">
        <v>103</v>
      </c>
      <c r="C16" s="368"/>
      <c r="D16" s="368"/>
      <c r="E16" s="368"/>
      <c r="F16" s="368"/>
      <c r="G16" s="368"/>
      <c r="H16" s="368"/>
      <c r="I16" s="368"/>
      <c r="J16" s="368"/>
    </row>
    <row r="17" spans="1:10" x14ac:dyDescent="0.35">
      <c r="A17" s="48"/>
      <c r="B17" s="1"/>
      <c r="C17" s="1"/>
      <c r="D17" s="1"/>
      <c r="E17" s="1"/>
      <c r="F17" s="1"/>
      <c r="G17" s="1"/>
      <c r="H17" s="1"/>
      <c r="I17" s="1"/>
      <c r="J17" s="1"/>
    </row>
    <row r="18" spans="1:10" x14ac:dyDescent="0.35">
      <c r="A18" s="48"/>
      <c r="B18" s="1"/>
      <c r="C18" s="1"/>
      <c r="D18" s="1"/>
      <c r="E18" s="1"/>
      <c r="F18" s="1"/>
      <c r="G18" s="1"/>
      <c r="H18" s="1"/>
      <c r="I18" s="1"/>
      <c r="J18" s="1"/>
    </row>
    <row r="19" spans="1:10" x14ac:dyDescent="0.35">
      <c r="A19" s="1"/>
      <c r="B19" s="1"/>
      <c r="C19" s="1"/>
      <c r="D19" s="1"/>
      <c r="E19" s="1"/>
      <c r="F19" s="1"/>
      <c r="G19" s="1"/>
      <c r="H19" s="1"/>
      <c r="I19" s="1"/>
      <c r="J19" s="1"/>
    </row>
    <row r="20" spans="1:10" x14ac:dyDescent="0.35">
      <c r="A20" s="48"/>
      <c r="B20" s="1"/>
      <c r="C20" s="1"/>
      <c r="D20" s="1"/>
      <c r="E20" s="1"/>
      <c r="F20" s="1"/>
      <c r="G20" s="20"/>
      <c r="H20" s="1"/>
      <c r="I20" s="1"/>
      <c r="J20" s="1"/>
    </row>
    <row r="21" spans="1:10" x14ac:dyDescent="0.35">
      <c r="A21" s="48"/>
      <c r="B21" s="1"/>
      <c r="C21" s="1"/>
      <c r="D21" s="1"/>
      <c r="E21" s="1"/>
      <c r="F21" s="1"/>
      <c r="G21" s="1"/>
      <c r="H21" s="1"/>
      <c r="I21" s="1"/>
      <c r="J21" s="1"/>
    </row>
    <row r="22" spans="1:10" x14ac:dyDescent="0.35">
      <c r="A22" s="51"/>
      <c r="B22" s="1"/>
      <c r="C22" s="1"/>
      <c r="D22" s="1"/>
      <c r="E22" s="1"/>
      <c r="F22" s="1"/>
      <c r="G22" s="1"/>
      <c r="H22" s="1"/>
      <c r="I22" s="1"/>
      <c r="J22" s="1"/>
    </row>
    <row r="23" spans="1:10" x14ac:dyDescent="0.35">
      <c r="A23" s="14"/>
      <c r="B23" s="24"/>
      <c r="C23" s="24"/>
      <c r="D23" s="1"/>
      <c r="E23" s="24" t="s">
        <v>34</v>
      </c>
      <c r="F23" s="24"/>
      <c r="H23" s="20"/>
      <c r="I23" s="20"/>
      <c r="J23" s="21"/>
    </row>
    <row r="24" spans="1:10" x14ac:dyDescent="0.35">
      <c r="A24" s="27" t="s">
        <v>19</v>
      </c>
      <c r="B24" s="27"/>
      <c r="C24" s="27"/>
      <c r="D24" s="13" t="s">
        <v>36</v>
      </c>
      <c r="E24" s="21" t="s">
        <v>20</v>
      </c>
      <c r="F24" s="21"/>
      <c r="G24" s="46" t="s">
        <v>21</v>
      </c>
      <c r="H24" s="21"/>
      <c r="I24" s="410" t="s">
        <v>22</v>
      </c>
      <c r="J24" s="410"/>
    </row>
    <row r="25" spans="1:10" x14ac:dyDescent="0.35">
      <c r="A25" s="28" t="s">
        <v>82</v>
      </c>
      <c r="B25" s="28"/>
      <c r="C25" s="28"/>
      <c r="D25" s="14" t="s">
        <v>93</v>
      </c>
      <c r="E25" s="22" t="s">
        <v>23</v>
      </c>
      <c r="F25" s="22"/>
      <c r="G25" s="22" t="s">
        <v>24</v>
      </c>
      <c r="H25" s="22"/>
      <c r="I25" s="389" t="s">
        <v>25</v>
      </c>
      <c r="J25" s="389"/>
    </row>
    <row r="26" spans="1:10" x14ac:dyDescent="0.35">
      <c r="A26" s="26" t="s">
        <v>85</v>
      </c>
      <c r="B26" s="26"/>
      <c r="C26" s="26"/>
      <c r="D26" s="15" t="s">
        <v>41</v>
      </c>
      <c r="E26" s="23" t="s">
        <v>41</v>
      </c>
      <c r="F26" s="23"/>
      <c r="G26" s="23" t="s">
        <v>39</v>
      </c>
      <c r="H26" s="23"/>
      <c r="I26" s="390" t="s">
        <v>26</v>
      </c>
      <c r="J26" s="390"/>
    </row>
    <row r="27" spans="1:10" x14ac:dyDescent="0.35">
      <c r="A27" s="26" t="s">
        <v>27</v>
      </c>
      <c r="B27" s="26"/>
      <c r="C27" s="26"/>
      <c r="D27" s="15" t="s">
        <v>40</v>
      </c>
      <c r="E27" s="23" t="s">
        <v>27</v>
      </c>
      <c r="F27" s="23"/>
      <c r="G27" s="23" t="s">
        <v>27</v>
      </c>
      <c r="H27" s="23"/>
      <c r="I27" s="1"/>
      <c r="J27" s="23"/>
    </row>
    <row r="28" spans="1:10" x14ac:dyDescent="0.35">
      <c r="A28" s="1"/>
    </row>
  </sheetData>
  <mergeCells count="15">
    <mergeCell ref="I24:J24"/>
    <mergeCell ref="I25:J25"/>
    <mergeCell ref="I26:J26"/>
    <mergeCell ref="B7:J7"/>
    <mergeCell ref="B8:J8"/>
    <mergeCell ref="B9:J9"/>
    <mergeCell ref="B10:J10"/>
    <mergeCell ref="I15:J15"/>
    <mergeCell ref="B16:J16"/>
    <mergeCell ref="B6:J6"/>
    <mergeCell ref="A1:J1"/>
    <mergeCell ref="B2:J2"/>
    <mergeCell ref="B3:J3"/>
    <mergeCell ref="B4:J4"/>
    <mergeCell ref="B5:J5"/>
  </mergeCells>
  <pageMargins left="0.25" right="0.25" top="0.75" bottom="0.75" header="0.3" footer="0.3"/>
  <pageSetup scale="85"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08B72-643A-405D-9A8E-06BABDB5F28C}">
  <sheetPr>
    <pageSetUpPr fitToPage="1"/>
  </sheetPr>
  <dimension ref="A1:K27"/>
  <sheetViews>
    <sheetView topLeftCell="A3" workbookViewId="0">
      <selection sqref="A1:K27"/>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11.5429687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106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45344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38226</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45343</v>
      </c>
      <c r="C12" s="31">
        <v>1666</v>
      </c>
      <c r="D12" s="29" t="s">
        <v>104</v>
      </c>
      <c r="E12" s="10" t="s">
        <v>47</v>
      </c>
      <c r="F12" s="10">
        <v>45619</v>
      </c>
      <c r="G12" s="11">
        <v>20144</v>
      </c>
      <c r="H12" s="30">
        <v>20144</v>
      </c>
      <c r="I12" s="57">
        <v>45355</v>
      </c>
      <c r="J12" s="35" t="s">
        <v>32</v>
      </c>
      <c r="K12" s="36" t="s">
        <v>43</v>
      </c>
    </row>
    <row r="13" spans="1:11" ht="15" x14ac:dyDescent="0.35">
      <c r="A13" s="25">
        <v>2</v>
      </c>
      <c r="B13" s="38">
        <v>45343</v>
      </c>
      <c r="C13" s="31">
        <v>1660</v>
      </c>
      <c r="D13" s="29" t="s">
        <v>86</v>
      </c>
      <c r="E13" s="10" t="s">
        <v>47</v>
      </c>
      <c r="F13" s="10">
        <v>45315</v>
      </c>
      <c r="G13" s="11">
        <v>10197</v>
      </c>
      <c r="H13" s="30">
        <v>10197</v>
      </c>
      <c r="I13" s="57">
        <v>45371</v>
      </c>
      <c r="J13" s="35" t="s">
        <v>32</v>
      </c>
      <c r="K13" s="36" t="s">
        <v>43</v>
      </c>
    </row>
    <row r="14" spans="1:11" ht="15" x14ac:dyDescent="0.35">
      <c r="A14" s="25">
        <v>3</v>
      </c>
      <c r="B14" s="38">
        <v>45343</v>
      </c>
      <c r="C14" s="31">
        <v>1658</v>
      </c>
      <c r="D14" s="29" t="s">
        <v>88</v>
      </c>
      <c r="E14" s="10" t="s">
        <v>47</v>
      </c>
      <c r="F14" s="10">
        <v>45315</v>
      </c>
      <c r="G14" s="11">
        <v>7885</v>
      </c>
      <c r="H14" s="30">
        <v>7885</v>
      </c>
      <c r="I14" s="58">
        <v>45371</v>
      </c>
      <c r="J14" s="35" t="s">
        <v>32</v>
      </c>
      <c r="K14" s="36" t="s">
        <v>43</v>
      </c>
    </row>
    <row r="15" spans="1:11" ht="15" x14ac:dyDescent="0.35">
      <c r="A15" s="40"/>
      <c r="B15" s="49"/>
      <c r="C15" s="49"/>
      <c r="D15" s="49"/>
      <c r="E15" s="49"/>
      <c r="F15" s="49"/>
      <c r="G15" s="50"/>
      <c r="H15" s="47">
        <f>SUM(H12:H14)</f>
        <v>38226</v>
      </c>
      <c r="I15" s="56"/>
      <c r="J15" s="411"/>
      <c r="K15" s="412"/>
    </row>
    <row r="16" spans="1:11" x14ac:dyDescent="0.35">
      <c r="A16" s="25"/>
      <c r="B16" s="368" t="s">
        <v>105</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D24" s="21" t="s">
        <v>36</v>
      </c>
      <c r="E24" s="21" t="s">
        <v>20</v>
      </c>
      <c r="F24" s="21"/>
      <c r="G24" s="46" t="s">
        <v>21</v>
      </c>
      <c r="H24" s="21"/>
      <c r="I24" s="21"/>
      <c r="J24" s="410" t="s">
        <v>22</v>
      </c>
      <c r="K24" s="410"/>
    </row>
    <row r="25" spans="1:11" x14ac:dyDescent="0.35">
      <c r="A25" s="22" t="s">
        <v>82</v>
      </c>
      <c r="B25" s="28"/>
      <c r="C25" s="28"/>
      <c r="D25" s="22" t="s">
        <v>93</v>
      </c>
      <c r="E25" s="22" t="s">
        <v>23</v>
      </c>
      <c r="F25" s="22"/>
      <c r="G25" s="22" t="s">
        <v>24</v>
      </c>
      <c r="H25" s="22"/>
      <c r="I25" s="22"/>
      <c r="J25" s="389" t="s">
        <v>25</v>
      </c>
      <c r="K25" s="389"/>
    </row>
    <row r="26" spans="1:11" x14ac:dyDescent="0.35">
      <c r="A26" s="23" t="s">
        <v>85</v>
      </c>
      <c r="B26" s="26"/>
      <c r="C26" s="26"/>
      <c r="D26" s="23" t="s">
        <v>41</v>
      </c>
      <c r="E26" s="23" t="s">
        <v>41</v>
      </c>
      <c r="F26" s="23"/>
      <c r="G26" s="23" t="s">
        <v>39</v>
      </c>
      <c r="H26" s="23"/>
      <c r="I26" s="23"/>
      <c r="J26" s="390" t="s">
        <v>26</v>
      </c>
      <c r="K26" s="390"/>
    </row>
    <row r="27" spans="1:11" x14ac:dyDescent="0.35">
      <c r="A27" s="23" t="s">
        <v>27</v>
      </c>
      <c r="B27" s="26"/>
      <c r="C27" s="26"/>
      <c r="D27" s="23" t="s">
        <v>40</v>
      </c>
      <c r="E27" s="23" t="s">
        <v>27</v>
      </c>
      <c r="F27" s="23"/>
      <c r="G27" s="23" t="s">
        <v>27</v>
      </c>
      <c r="H27" s="23"/>
      <c r="I27" s="23"/>
      <c r="J27" s="1"/>
      <c r="K27" s="23"/>
    </row>
  </sheetData>
  <mergeCells count="15">
    <mergeCell ref="J24:K24"/>
    <mergeCell ref="J25:K25"/>
    <mergeCell ref="J26:K26"/>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4"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87A6-CD52-4E7B-9448-503350D5515B}">
  <sheetPr>
    <pageSetUpPr fitToPage="1"/>
  </sheetPr>
  <dimension ref="A1:K26"/>
  <sheetViews>
    <sheetView topLeftCell="A10" workbookViewId="0">
      <selection activeCell="E14" sqref="E14"/>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11.5429687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120</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45442</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$H$14</f>
        <v>28652</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45343</v>
      </c>
      <c r="C12" s="31">
        <v>1660</v>
      </c>
      <c r="D12" s="29" t="s">
        <v>86</v>
      </c>
      <c r="E12" s="10" t="s">
        <v>47</v>
      </c>
      <c r="F12" s="10">
        <v>45406</v>
      </c>
      <c r="G12" s="11">
        <v>15152</v>
      </c>
      <c r="H12" s="30">
        <f>G12</f>
        <v>15152</v>
      </c>
      <c r="I12" s="57">
        <v>45462</v>
      </c>
      <c r="J12" s="35" t="s">
        <v>32</v>
      </c>
      <c r="K12" s="36" t="s">
        <v>43</v>
      </c>
    </row>
    <row r="13" spans="1:11" ht="15" x14ac:dyDescent="0.35">
      <c r="A13" s="25">
        <v>2</v>
      </c>
      <c r="B13" s="38">
        <v>45343</v>
      </c>
      <c r="C13" s="31">
        <v>1658</v>
      </c>
      <c r="D13" s="29" t="s">
        <v>88</v>
      </c>
      <c r="E13" s="10" t="s">
        <v>47</v>
      </c>
      <c r="F13" s="10">
        <v>45406</v>
      </c>
      <c r="G13" s="11">
        <v>13500</v>
      </c>
      <c r="H13" s="30">
        <v>13500</v>
      </c>
      <c r="I13" s="57">
        <v>45462</v>
      </c>
      <c r="J13" s="35" t="s">
        <v>32</v>
      </c>
      <c r="K13" s="36" t="s">
        <v>43</v>
      </c>
    </row>
    <row r="14" spans="1:11" ht="15" x14ac:dyDescent="0.35">
      <c r="A14" s="40"/>
      <c r="B14" s="49"/>
      <c r="C14" s="49"/>
      <c r="D14" s="49"/>
      <c r="E14" s="49"/>
      <c r="F14" s="49"/>
      <c r="G14" s="50"/>
      <c r="H14" s="47">
        <f>SUM(H12:H13)</f>
        <v>28652</v>
      </c>
      <c r="I14" s="56"/>
      <c r="J14" s="411"/>
      <c r="K14" s="412"/>
    </row>
    <row r="15" spans="1:11" x14ac:dyDescent="0.35">
      <c r="A15" s="25"/>
      <c r="B15" s="368" t="s">
        <v>121</v>
      </c>
      <c r="C15" s="368"/>
      <c r="D15" s="368"/>
      <c r="E15" s="368"/>
      <c r="F15" s="368"/>
      <c r="G15" s="368"/>
      <c r="H15" s="368"/>
      <c r="I15" s="368"/>
      <c r="J15" s="368"/>
      <c r="K15" s="368"/>
    </row>
    <row r="16" spans="1:11" x14ac:dyDescent="0.35">
      <c r="A16" s="48"/>
      <c r="B16" s="1"/>
      <c r="C16" s="1"/>
      <c r="D16" s="1"/>
      <c r="E16" s="1"/>
      <c r="F16" s="1"/>
      <c r="G16" s="1"/>
      <c r="H16" s="1"/>
      <c r="I16" s="1"/>
      <c r="J16" s="1"/>
      <c r="K16" s="1"/>
    </row>
    <row r="17" spans="1:11" x14ac:dyDescent="0.35">
      <c r="A17" s="48"/>
      <c r="B17" s="1"/>
      <c r="C17" s="1"/>
      <c r="D17" s="1"/>
      <c r="E17" s="1"/>
      <c r="F17" s="1"/>
      <c r="G17" s="1"/>
      <c r="H17" s="1"/>
      <c r="I17" s="1"/>
      <c r="J17" s="1"/>
      <c r="K17" s="1"/>
    </row>
    <row r="18" spans="1:11" x14ac:dyDescent="0.35">
      <c r="A18" s="1"/>
      <c r="B18" s="1"/>
      <c r="C18" s="1"/>
      <c r="D18" s="1"/>
      <c r="E18" s="1"/>
      <c r="F18" s="1"/>
      <c r="G18" s="1"/>
      <c r="H18" s="1"/>
      <c r="I18" s="1"/>
      <c r="J18" s="1"/>
      <c r="K18" s="1"/>
    </row>
    <row r="19" spans="1:11" x14ac:dyDescent="0.35">
      <c r="A19" s="48"/>
      <c r="B19" s="1"/>
      <c r="C19" s="1"/>
      <c r="D19" s="1"/>
      <c r="E19" s="1"/>
      <c r="F19" s="1"/>
      <c r="G19" s="20"/>
      <c r="H19" s="1"/>
      <c r="I19" s="1"/>
      <c r="J19" s="1"/>
      <c r="K19" s="1"/>
    </row>
    <row r="20" spans="1:11" x14ac:dyDescent="0.35">
      <c r="A20" s="48"/>
      <c r="B20" s="1"/>
      <c r="C20" s="1"/>
      <c r="D20" s="1"/>
      <c r="E20" s="1"/>
      <c r="F20" s="1"/>
      <c r="G20" s="1"/>
      <c r="H20" s="1"/>
      <c r="I20" s="1"/>
      <c r="J20" s="1"/>
      <c r="K20" s="1"/>
    </row>
    <row r="21" spans="1:11" x14ac:dyDescent="0.35">
      <c r="A21" s="51"/>
      <c r="B21" s="1"/>
      <c r="C21" s="1"/>
      <c r="D21" s="1"/>
      <c r="E21" s="1"/>
      <c r="F21" s="1"/>
      <c r="G21" s="1"/>
      <c r="H21" s="1"/>
      <c r="I21" s="1"/>
      <c r="J21" s="1"/>
      <c r="K21" s="1"/>
    </row>
    <row r="22" spans="1:11" x14ac:dyDescent="0.35">
      <c r="A22" s="14"/>
      <c r="B22" s="24"/>
      <c r="C22" s="24"/>
      <c r="D22" s="1"/>
      <c r="E22" s="24" t="s">
        <v>34</v>
      </c>
      <c r="F22" s="24"/>
      <c r="H22" s="20"/>
      <c r="I22" s="20"/>
      <c r="J22" s="20"/>
      <c r="K22" s="21"/>
    </row>
    <row r="23" spans="1:11" x14ac:dyDescent="0.35">
      <c r="A23" s="54" t="s">
        <v>19</v>
      </c>
      <c r="B23" s="27"/>
      <c r="C23" s="27"/>
      <c r="D23" s="21" t="s">
        <v>36</v>
      </c>
      <c r="E23" s="21" t="s">
        <v>20</v>
      </c>
      <c r="F23" s="21"/>
      <c r="G23" s="46" t="s">
        <v>21</v>
      </c>
      <c r="H23" s="21"/>
      <c r="I23" s="21"/>
      <c r="J23" s="410" t="s">
        <v>22</v>
      </c>
      <c r="K23" s="410"/>
    </row>
    <row r="24" spans="1:11" x14ac:dyDescent="0.35">
      <c r="A24" s="22" t="s">
        <v>82</v>
      </c>
      <c r="B24" s="28"/>
      <c r="C24" s="28"/>
      <c r="D24" s="22" t="s">
        <v>93</v>
      </c>
      <c r="E24" s="22" t="s">
        <v>23</v>
      </c>
      <c r="F24" s="22"/>
      <c r="G24" s="22" t="s">
        <v>24</v>
      </c>
      <c r="H24" s="22"/>
      <c r="I24" s="22"/>
      <c r="J24" s="389" t="s">
        <v>25</v>
      </c>
      <c r="K24" s="389"/>
    </row>
    <row r="25" spans="1:11" x14ac:dyDescent="0.35">
      <c r="A25" s="23" t="s">
        <v>85</v>
      </c>
      <c r="B25" s="26"/>
      <c r="C25" s="26"/>
      <c r="D25" s="23" t="s">
        <v>41</v>
      </c>
      <c r="E25" s="23" t="s">
        <v>41</v>
      </c>
      <c r="F25" s="23"/>
      <c r="G25" s="23" t="s">
        <v>39</v>
      </c>
      <c r="H25" s="23"/>
      <c r="I25" s="23"/>
      <c r="J25" s="390" t="s">
        <v>26</v>
      </c>
      <c r="K25" s="390"/>
    </row>
    <row r="26" spans="1:11" x14ac:dyDescent="0.35">
      <c r="A26" s="23" t="s">
        <v>27</v>
      </c>
      <c r="B26" s="26"/>
      <c r="C26" s="26"/>
      <c r="D26" s="23" t="s">
        <v>40</v>
      </c>
      <c r="E26" s="23" t="s">
        <v>27</v>
      </c>
      <c r="F26" s="23"/>
      <c r="G26" s="23" t="s">
        <v>27</v>
      </c>
      <c r="H26" s="23"/>
      <c r="I26" s="23"/>
      <c r="J26" s="1"/>
      <c r="K26" s="23"/>
    </row>
  </sheetData>
  <mergeCells count="15">
    <mergeCell ref="B6:K6"/>
    <mergeCell ref="A1:K1"/>
    <mergeCell ref="B2:K2"/>
    <mergeCell ref="B3:K3"/>
    <mergeCell ref="B4:K4"/>
    <mergeCell ref="B5:K5"/>
    <mergeCell ref="J23:K23"/>
    <mergeCell ref="J24:K24"/>
    <mergeCell ref="J25:K25"/>
    <mergeCell ref="B7:K7"/>
    <mergeCell ref="B8:K8"/>
    <mergeCell ref="B9:K9"/>
    <mergeCell ref="B10:K10"/>
    <mergeCell ref="J14:K14"/>
    <mergeCell ref="B15:K15"/>
  </mergeCells>
  <pageMargins left="0.25" right="0.25" top="0.75" bottom="0.75" header="0.3" footer="0.3"/>
  <pageSetup scale="79"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8D7EB-B90F-4FB4-BB53-368F698E96A0}">
  <sheetPr>
    <pageSetUpPr fitToPage="1"/>
  </sheetPr>
  <dimension ref="A1:K30"/>
  <sheetViews>
    <sheetView topLeftCell="A5" workbookViewId="0">
      <selection sqref="A1:K30"/>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11.726562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118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45414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$H$18</f>
        <v>80059</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45410</v>
      </c>
      <c r="C12" s="31">
        <v>1666</v>
      </c>
      <c r="D12" s="29" t="s">
        <v>104</v>
      </c>
      <c r="E12" s="10" t="s">
        <v>47</v>
      </c>
      <c r="F12" s="10">
        <v>45315</v>
      </c>
      <c r="G12" s="11">
        <v>21600</v>
      </c>
      <c r="H12" s="30">
        <f>G12</f>
        <v>21600</v>
      </c>
      <c r="I12" s="57">
        <v>45419</v>
      </c>
      <c r="J12" s="35" t="s">
        <v>32</v>
      </c>
      <c r="K12" s="36" t="s">
        <v>43</v>
      </c>
    </row>
    <row r="13" spans="1:11" ht="15" x14ac:dyDescent="0.35">
      <c r="A13" s="25">
        <v>2</v>
      </c>
      <c r="B13" s="38">
        <v>45410</v>
      </c>
      <c r="C13" s="31">
        <v>1660</v>
      </c>
      <c r="D13" s="29" t="s">
        <v>86</v>
      </c>
      <c r="E13" s="10" t="s">
        <v>47</v>
      </c>
      <c r="F13" s="10">
        <v>45375</v>
      </c>
      <c r="G13" s="11">
        <v>13500</v>
      </c>
      <c r="H13" s="30">
        <f t="shared" ref="H13:H17" si="0">G13</f>
        <v>13500</v>
      </c>
      <c r="I13" s="57">
        <v>45436</v>
      </c>
      <c r="J13" s="35" t="s">
        <v>32</v>
      </c>
      <c r="K13" s="36" t="s">
        <v>43</v>
      </c>
    </row>
    <row r="14" spans="1:11" ht="15" x14ac:dyDescent="0.35">
      <c r="A14" s="25">
        <v>3</v>
      </c>
      <c r="B14" s="38">
        <v>45410</v>
      </c>
      <c r="C14" s="32">
        <v>1658</v>
      </c>
      <c r="D14" s="60" t="s">
        <v>88</v>
      </c>
      <c r="E14" s="37" t="s">
        <v>47</v>
      </c>
      <c r="F14" s="10">
        <v>45375</v>
      </c>
      <c r="G14" s="41">
        <v>11849</v>
      </c>
      <c r="H14" s="30">
        <f t="shared" si="0"/>
        <v>11849</v>
      </c>
      <c r="I14" s="57">
        <v>45436</v>
      </c>
      <c r="J14" s="35" t="s">
        <v>32</v>
      </c>
      <c r="K14" s="36" t="s">
        <v>43</v>
      </c>
    </row>
    <row r="15" spans="1:11" ht="15" x14ac:dyDescent="0.35">
      <c r="A15" s="40"/>
      <c r="B15" s="38">
        <v>45410</v>
      </c>
      <c r="C15" s="31">
        <v>1661</v>
      </c>
      <c r="D15" s="29" t="s">
        <v>109</v>
      </c>
      <c r="E15" s="37" t="s">
        <v>47</v>
      </c>
      <c r="F15" s="10">
        <v>45375</v>
      </c>
      <c r="G15" s="11">
        <v>14053</v>
      </c>
      <c r="H15" s="30">
        <f t="shared" si="0"/>
        <v>14053</v>
      </c>
      <c r="I15" s="57">
        <v>45422</v>
      </c>
      <c r="J15" s="35" t="s">
        <v>32</v>
      </c>
      <c r="K15" s="36" t="s">
        <v>43</v>
      </c>
    </row>
    <row r="16" spans="1:11" ht="15" x14ac:dyDescent="0.35">
      <c r="A16" s="40"/>
      <c r="B16" s="38">
        <v>45410</v>
      </c>
      <c r="C16" s="31">
        <v>1662</v>
      </c>
      <c r="D16" s="29" t="s">
        <v>116</v>
      </c>
      <c r="E16" s="37" t="s">
        <v>47</v>
      </c>
      <c r="F16" s="10">
        <v>45375</v>
      </c>
      <c r="G16" s="11">
        <v>11723</v>
      </c>
      <c r="H16" s="30">
        <f t="shared" si="0"/>
        <v>11723</v>
      </c>
      <c r="I16" s="57">
        <v>45422</v>
      </c>
      <c r="J16" s="35" t="s">
        <v>32</v>
      </c>
      <c r="K16" s="36" t="s">
        <v>43</v>
      </c>
    </row>
    <row r="17" spans="1:11" ht="15" x14ac:dyDescent="0.35">
      <c r="A17" s="40"/>
      <c r="B17" s="38">
        <v>45410</v>
      </c>
      <c r="C17" s="31">
        <v>1659</v>
      </c>
      <c r="D17" s="29" t="s">
        <v>91</v>
      </c>
      <c r="E17" s="10" t="s">
        <v>47</v>
      </c>
      <c r="F17" s="10">
        <v>45375</v>
      </c>
      <c r="G17" s="11">
        <v>7334</v>
      </c>
      <c r="H17" s="30">
        <f t="shared" si="0"/>
        <v>7334</v>
      </c>
      <c r="I17" s="58">
        <v>45422</v>
      </c>
      <c r="J17" s="38" t="s">
        <v>32</v>
      </c>
      <c r="K17" s="43" t="s">
        <v>43</v>
      </c>
    </row>
    <row r="18" spans="1:11" ht="15" x14ac:dyDescent="0.35">
      <c r="A18" s="69"/>
      <c r="B18" s="49"/>
      <c r="C18" s="49"/>
      <c r="D18" s="49"/>
      <c r="E18" s="49"/>
      <c r="F18" s="49"/>
      <c r="G18" s="50"/>
      <c r="H18" s="47">
        <f>SUM(H12:H17)</f>
        <v>80059</v>
      </c>
      <c r="I18" s="56"/>
      <c r="J18" s="411"/>
      <c r="K18" s="412"/>
    </row>
    <row r="19" spans="1:11" x14ac:dyDescent="0.35">
      <c r="A19" s="25"/>
      <c r="B19" s="368" t="s">
        <v>117</v>
      </c>
      <c r="C19" s="368"/>
      <c r="D19" s="368"/>
      <c r="E19" s="368"/>
      <c r="F19" s="368"/>
      <c r="G19" s="368"/>
      <c r="H19" s="368"/>
      <c r="I19" s="368"/>
      <c r="J19" s="368"/>
      <c r="K19" s="368"/>
    </row>
    <row r="20" spans="1:11" x14ac:dyDescent="0.35">
      <c r="A20" s="48"/>
      <c r="B20" s="1"/>
      <c r="C20" s="1"/>
      <c r="D20" s="1"/>
      <c r="E20" s="1"/>
      <c r="F20" s="1"/>
      <c r="G20" s="1"/>
      <c r="H20" s="1"/>
      <c r="I20" s="1"/>
      <c r="J20" s="1"/>
      <c r="K20" s="1"/>
    </row>
    <row r="21" spans="1:11" x14ac:dyDescent="0.35">
      <c r="A21" s="48"/>
      <c r="B21" s="1"/>
      <c r="C21" s="1"/>
      <c r="D21" s="1"/>
      <c r="E21" s="1"/>
      <c r="F21" s="1"/>
      <c r="G21" s="1"/>
      <c r="H21" s="1"/>
      <c r="I21" s="1"/>
      <c r="J21" s="1"/>
      <c r="K21" s="1"/>
    </row>
    <row r="22" spans="1:11" x14ac:dyDescent="0.35">
      <c r="A22" s="1"/>
      <c r="B22" s="1"/>
      <c r="C22" s="1"/>
      <c r="D22" s="1"/>
      <c r="E22" s="1"/>
      <c r="F22" s="1"/>
      <c r="G22" s="1"/>
      <c r="H22" s="1"/>
      <c r="I22" s="1"/>
      <c r="J22" s="1"/>
      <c r="K22" s="1"/>
    </row>
    <row r="23" spans="1:11" x14ac:dyDescent="0.35">
      <c r="A23" s="48"/>
      <c r="B23" s="1"/>
      <c r="C23" s="1"/>
      <c r="D23" s="1"/>
      <c r="E23" s="1"/>
      <c r="F23" s="1"/>
      <c r="G23" s="20"/>
      <c r="H23" s="1"/>
      <c r="I23" s="1"/>
      <c r="J23" s="1"/>
      <c r="K23" s="1"/>
    </row>
    <row r="24" spans="1:11" x14ac:dyDescent="0.35">
      <c r="A24" s="48"/>
      <c r="B24" s="1"/>
      <c r="C24" s="1"/>
      <c r="D24" s="1"/>
      <c r="E24" s="1"/>
      <c r="F24" s="1"/>
      <c r="G24" s="1"/>
      <c r="H24" s="1"/>
      <c r="I24" s="1"/>
      <c r="J24" s="1"/>
      <c r="K24" s="1"/>
    </row>
    <row r="25" spans="1:11" x14ac:dyDescent="0.35">
      <c r="A25" s="51"/>
      <c r="B25" s="1"/>
      <c r="C25" s="1"/>
      <c r="D25" s="1"/>
      <c r="E25" s="1"/>
      <c r="F25" s="1"/>
      <c r="G25" s="1"/>
      <c r="H25" s="1"/>
      <c r="I25" s="1"/>
      <c r="J25" s="1"/>
      <c r="K25" s="1"/>
    </row>
    <row r="26" spans="1:11" x14ac:dyDescent="0.35">
      <c r="A26" s="14"/>
      <c r="B26" s="24"/>
      <c r="C26" s="24"/>
      <c r="D26" s="1"/>
      <c r="E26" s="24" t="s">
        <v>34</v>
      </c>
      <c r="F26" s="24"/>
      <c r="H26" s="20"/>
      <c r="I26" s="20"/>
      <c r="J26" s="20"/>
      <c r="K26" s="21"/>
    </row>
    <row r="27" spans="1:11" x14ac:dyDescent="0.35">
      <c r="A27" s="54" t="s">
        <v>19</v>
      </c>
      <c r="B27" s="27"/>
      <c r="C27" s="27"/>
      <c r="D27" s="21" t="s">
        <v>36</v>
      </c>
      <c r="E27" s="21" t="s">
        <v>20</v>
      </c>
      <c r="F27" s="21"/>
      <c r="G27" s="46" t="s">
        <v>21</v>
      </c>
      <c r="H27" s="21"/>
      <c r="I27" s="21"/>
      <c r="J27" s="410" t="s">
        <v>22</v>
      </c>
      <c r="K27" s="410"/>
    </row>
    <row r="28" spans="1:11" x14ac:dyDescent="0.35">
      <c r="A28" s="22" t="s">
        <v>82</v>
      </c>
      <c r="B28" s="28"/>
      <c r="C28" s="28"/>
      <c r="D28" s="22" t="s">
        <v>93</v>
      </c>
      <c r="E28" s="22" t="s">
        <v>23</v>
      </c>
      <c r="F28" s="22"/>
      <c r="G28" s="22" t="s">
        <v>24</v>
      </c>
      <c r="H28" s="22"/>
      <c r="I28" s="22"/>
      <c r="J28" s="389" t="s">
        <v>25</v>
      </c>
      <c r="K28" s="389"/>
    </row>
    <row r="29" spans="1:11" x14ac:dyDescent="0.35">
      <c r="A29" s="23" t="s">
        <v>85</v>
      </c>
      <c r="B29" s="26"/>
      <c r="C29" s="26"/>
      <c r="D29" s="23" t="s">
        <v>41</v>
      </c>
      <c r="E29" s="23" t="s">
        <v>41</v>
      </c>
      <c r="F29" s="23"/>
      <c r="G29" s="23" t="s">
        <v>39</v>
      </c>
      <c r="H29" s="23"/>
      <c r="I29" s="23"/>
      <c r="J29" s="390" t="s">
        <v>26</v>
      </c>
      <c r="K29" s="390"/>
    </row>
    <row r="30" spans="1:11" x14ac:dyDescent="0.35">
      <c r="A30" s="23" t="s">
        <v>27</v>
      </c>
      <c r="B30" s="26"/>
      <c r="C30" s="26"/>
      <c r="D30" s="23" t="s">
        <v>40</v>
      </c>
      <c r="E30" s="23" t="s">
        <v>27</v>
      </c>
      <c r="F30" s="23"/>
      <c r="G30" s="23" t="s">
        <v>27</v>
      </c>
      <c r="H30" s="23"/>
      <c r="I30" s="23"/>
      <c r="J30" s="1"/>
      <c r="K30" s="23"/>
    </row>
  </sheetData>
  <mergeCells count="15">
    <mergeCell ref="J27:K27"/>
    <mergeCell ref="J28:K28"/>
    <mergeCell ref="J29:K29"/>
    <mergeCell ref="B7:K7"/>
    <mergeCell ref="B8:K8"/>
    <mergeCell ref="B9:K9"/>
    <mergeCell ref="B10:K10"/>
    <mergeCell ref="J18:K18"/>
    <mergeCell ref="B19:K19"/>
    <mergeCell ref="B6:K6"/>
    <mergeCell ref="A1:K1"/>
    <mergeCell ref="B2:K2"/>
    <mergeCell ref="B3:K3"/>
    <mergeCell ref="B4:K4"/>
    <mergeCell ref="B5:K5"/>
  </mergeCells>
  <pageMargins left="0.25" right="0.25" top="0.75" bottom="0.75" header="0.3" footer="0.3"/>
  <pageSetup scale="7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538B5-57B7-48E7-96E0-7D7356F71850}">
  <sheetPr>
    <pageSetUpPr fitToPage="1"/>
  </sheetPr>
  <dimension ref="A1:K28"/>
  <sheetViews>
    <sheetView topLeftCell="A6" workbookViewId="0">
      <selection sqref="A1:K29"/>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9.7265625" bestFit="1" customWidth="1"/>
    <col min="9" max="9" width="11.726562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118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45433</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$H$16</f>
        <v>73514</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45433</v>
      </c>
      <c r="C12" s="31">
        <v>1656</v>
      </c>
      <c r="D12" s="29" t="s">
        <v>87</v>
      </c>
      <c r="E12" s="10" t="s">
        <v>47</v>
      </c>
      <c r="F12" s="10">
        <v>45406</v>
      </c>
      <c r="G12" s="11">
        <v>2138</v>
      </c>
      <c r="H12" s="30">
        <f t="shared" ref="H12:H14" si="0">G12</f>
        <v>2138</v>
      </c>
      <c r="I12" s="57">
        <v>45457</v>
      </c>
      <c r="J12" s="35" t="s">
        <v>32</v>
      </c>
      <c r="K12" s="36" t="s">
        <v>43</v>
      </c>
    </row>
    <row r="13" spans="1:11" ht="15" x14ac:dyDescent="0.35">
      <c r="A13" s="25">
        <v>2</v>
      </c>
      <c r="B13" s="38">
        <v>45433</v>
      </c>
      <c r="C13" s="31">
        <v>1657</v>
      </c>
      <c r="D13" s="29" t="s">
        <v>89</v>
      </c>
      <c r="E13" s="10" t="s">
        <v>47</v>
      </c>
      <c r="F13" s="10">
        <v>45406</v>
      </c>
      <c r="G13" s="41">
        <v>10990</v>
      </c>
      <c r="H13" s="30">
        <f t="shared" si="0"/>
        <v>10990</v>
      </c>
      <c r="I13" s="57">
        <v>45457</v>
      </c>
      <c r="J13" s="35" t="s">
        <v>32</v>
      </c>
      <c r="K13" s="36" t="s">
        <v>43</v>
      </c>
    </row>
    <row r="14" spans="1:11" ht="15" x14ac:dyDescent="0.35">
      <c r="A14" s="40">
        <v>3</v>
      </c>
      <c r="B14" s="38">
        <v>45433</v>
      </c>
      <c r="C14" s="31">
        <v>1670</v>
      </c>
      <c r="D14" s="29" t="s">
        <v>90</v>
      </c>
      <c r="E14" s="10" t="s">
        <v>47</v>
      </c>
      <c r="F14" s="10">
        <v>45406</v>
      </c>
      <c r="G14" s="11">
        <v>35217</v>
      </c>
      <c r="H14" s="70">
        <f t="shared" si="0"/>
        <v>35217</v>
      </c>
      <c r="I14" s="57">
        <v>45457</v>
      </c>
      <c r="J14" s="35" t="s">
        <v>32</v>
      </c>
      <c r="K14" s="36" t="s">
        <v>43</v>
      </c>
    </row>
    <row r="15" spans="1:11" ht="15" x14ac:dyDescent="0.35">
      <c r="A15" s="69">
        <v>4</v>
      </c>
      <c r="B15" s="65">
        <v>45433</v>
      </c>
      <c r="C15" s="31">
        <v>1666</v>
      </c>
      <c r="D15" s="29" t="s">
        <v>104</v>
      </c>
      <c r="E15" s="10" t="s">
        <v>47</v>
      </c>
      <c r="F15" s="63">
        <v>45346</v>
      </c>
      <c r="G15" s="64">
        <v>25169</v>
      </c>
      <c r="H15" s="71">
        <f>G15</f>
        <v>25169</v>
      </c>
      <c r="I15" s="58">
        <v>45447</v>
      </c>
      <c r="J15" s="35" t="s">
        <v>32</v>
      </c>
      <c r="K15" s="36" t="s">
        <v>43</v>
      </c>
    </row>
    <row r="16" spans="1:11" ht="15" x14ac:dyDescent="0.35">
      <c r="A16" s="69"/>
      <c r="B16" s="49"/>
      <c r="C16" s="49"/>
      <c r="D16" s="49"/>
      <c r="E16" s="49"/>
      <c r="F16" s="49"/>
      <c r="G16" s="50"/>
      <c r="H16" s="47">
        <f>SUM(H12:H15)</f>
        <v>73514</v>
      </c>
      <c r="I16" s="56"/>
      <c r="J16" s="411"/>
      <c r="K16" s="412"/>
    </row>
    <row r="17" spans="1:11" x14ac:dyDescent="0.35">
      <c r="A17" s="25"/>
      <c r="B17" s="368" t="s">
        <v>119</v>
      </c>
      <c r="C17" s="368"/>
      <c r="D17" s="368"/>
      <c r="E17" s="368"/>
      <c r="F17" s="368"/>
      <c r="G17" s="368"/>
      <c r="H17" s="368"/>
      <c r="I17" s="368"/>
      <c r="J17" s="368"/>
      <c r="K17" s="368"/>
    </row>
    <row r="18" spans="1:11" x14ac:dyDescent="0.35">
      <c r="A18" s="48"/>
      <c r="B18" s="1"/>
      <c r="C18" s="1"/>
      <c r="D18" s="1"/>
      <c r="E18" s="1"/>
      <c r="F18" s="1"/>
      <c r="G18" s="1"/>
      <c r="H18" s="1"/>
      <c r="I18" s="1"/>
      <c r="J18" s="1"/>
      <c r="K18" s="1"/>
    </row>
    <row r="19" spans="1:11" x14ac:dyDescent="0.35">
      <c r="A19" s="48"/>
      <c r="B19" s="1"/>
      <c r="C19" s="1"/>
      <c r="D19" s="1"/>
      <c r="E19" s="1"/>
      <c r="F19" s="1"/>
      <c r="G19" s="1"/>
      <c r="H19" s="1"/>
      <c r="I19" s="1"/>
      <c r="J19" s="1"/>
      <c r="K19" s="1"/>
    </row>
    <row r="20" spans="1:11" x14ac:dyDescent="0.35">
      <c r="A20" s="1"/>
      <c r="B20" s="1"/>
      <c r="C20" s="1"/>
      <c r="D20" s="1"/>
      <c r="E20" s="1"/>
      <c r="F20" s="1"/>
      <c r="G20" s="1"/>
      <c r="H20" s="1"/>
      <c r="I20" s="1"/>
      <c r="J20" s="1"/>
      <c r="K20" s="1"/>
    </row>
    <row r="21" spans="1:11" x14ac:dyDescent="0.35">
      <c r="A21" s="48"/>
      <c r="B21" s="1"/>
      <c r="C21" s="1"/>
      <c r="D21" s="1"/>
      <c r="E21" s="1"/>
      <c r="F21" s="1"/>
      <c r="G21" s="20"/>
      <c r="H21" s="1"/>
      <c r="I21" s="1"/>
      <c r="J21" s="1"/>
      <c r="K21" s="1"/>
    </row>
    <row r="22" spans="1:11" x14ac:dyDescent="0.35">
      <c r="A22" s="48"/>
      <c r="B22" s="1"/>
      <c r="C22" s="1"/>
      <c r="D22" s="1"/>
      <c r="E22" s="1"/>
      <c r="F22" s="1"/>
      <c r="G22" s="1"/>
      <c r="H22" s="1"/>
      <c r="I22" s="1"/>
      <c r="J22" s="1"/>
      <c r="K22" s="1"/>
    </row>
    <row r="23" spans="1:11" x14ac:dyDescent="0.35">
      <c r="A23" s="51"/>
      <c r="B23" s="1"/>
      <c r="C23" s="1"/>
      <c r="D23" s="1"/>
      <c r="E23" s="1"/>
      <c r="F23" s="1"/>
      <c r="G23" s="1"/>
      <c r="H23" s="1"/>
      <c r="I23" s="1"/>
      <c r="J23" s="1"/>
      <c r="K23" s="1"/>
    </row>
    <row r="24" spans="1:11" x14ac:dyDescent="0.35">
      <c r="A24" s="14"/>
      <c r="B24" s="24"/>
      <c r="C24" s="24"/>
      <c r="D24" s="1"/>
      <c r="E24" s="24" t="s">
        <v>34</v>
      </c>
      <c r="F24" s="24"/>
      <c r="H24" s="20"/>
      <c r="I24" s="20"/>
      <c r="J24" s="20"/>
      <c r="K24" s="21"/>
    </row>
    <row r="25" spans="1:11" x14ac:dyDescent="0.35">
      <c r="A25" s="54" t="s">
        <v>19</v>
      </c>
      <c r="B25" s="27"/>
      <c r="C25" s="27"/>
      <c r="D25" s="21" t="s">
        <v>36</v>
      </c>
      <c r="E25" s="21" t="s">
        <v>20</v>
      </c>
      <c r="F25" s="21"/>
      <c r="G25" s="46" t="s">
        <v>21</v>
      </c>
      <c r="H25" s="21"/>
      <c r="I25" s="21"/>
      <c r="J25" s="410" t="s">
        <v>22</v>
      </c>
      <c r="K25" s="410"/>
    </row>
    <row r="26" spans="1:11" x14ac:dyDescent="0.35">
      <c r="A26" s="22" t="s">
        <v>82</v>
      </c>
      <c r="B26" s="28"/>
      <c r="C26" s="28"/>
      <c r="D26" s="22" t="s">
        <v>93</v>
      </c>
      <c r="E26" s="22" t="s">
        <v>23</v>
      </c>
      <c r="F26" s="22"/>
      <c r="G26" s="22" t="s">
        <v>24</v>
      </c>
      <c r="H26" s="22"/>
      <c r="I26" s="22"/>
      <c r="J26" s="389" t="s">
        <v>25</v>
      </c>
      <c r="K26" s="389"/>
    </row>
    <row r="27" spans="1:11" x14ac:dyDescent="0.35">
      <c r="A27" s="23" t="s">
        <v>85</v>
      </c>
      <c r="B27" s="26"/>
      <c r="C27" s="26"/>
      <c r="D27" s="23" t="s">
        <v>41</v>
      </c>
      <c r="E27" s="23" t="s">
        <v>41</v>
      </c>
      <c r="F27" s="23"/>
      <c r="G27" s="23" t="s">
        <v>39</v>
      </c>
      <c r="H27" s="23"/>
      <c r="I27" s="23"/>
      <c r="J27" s="390" t="s">
        <v>26</v>
      </c>
      <c r="K27" s="390"/>
    </row>
    <row r="28" spans="1:11" x14ac:dyDescent="0.35">
      <c r="A28" s="23" t="s">
        <v>27</v>
      </c>
      <c r="B28" s="26"/>
      <c r="C28" s="26"/>
      <c r="D28" s="23" t="s">
        <v>40</v>
      </c>
      <c r="E28" s="23" t="s">
        <v>27</v>
      </c>
      <c r="F28" s="23"/>
      <c r="G28" s="23" t="s">
        <v>27</v>
      </c>
      <c r="H28" s="23"/>
      <c r="I28" s="23"/>
      <c r="J28" s="1"/>
      <c r="K28" s="23"/>
    </row>
  </sheetData>
  <mergeCells count="15">
    <mergeCell ref="B6:K6"/>
    <mergeCell ref="A1:K1"/>
    <mergeCell ref="B2:K2"/>
    <mergeCell ref="B3:K3"/>
    <mergeCell ref="B4:K4"/>
    <mergeCell ref="B5:K5"/>
    <mergeCell ref="J25:K25"/>
    <mergeCell ref="J26:K26"/>
    <mergeCell ref="J27:K27"/>
    <mergeCell ref="B7:K7"/>
    <mergeCell ref="B8:K8"/>
    <mergeCell ref="B9:K9"/>
    <mergeCell ref="B10:K10"/>
    <mergeCell ref="J16:K16"/>
    <mergeCell ref="B17:K17"/>
  </mergeCells>
  <pageMargins left="0.25" right="0.25" top="0.75" bottom="0.75" header="0.3" footer="0.3"/>
  <pageSetup scale="79"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FC35-036E-4313-93E8-83D69C0060DB}">
  <sheetPr>
    <pageSetUpPr fitToPage="1"/>
  </sheetPr>
  <dimension ref="A1:K34"/>
  <sheetViews>
    <sheetView topLeftCell="A4" workbookViewId="0">
      <selection activeCell="E14" sqref="E14"/>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2.36328125" customWidth="1"/>
    <col min="9" max="9" width="11.7265625" bestFit="1" customWidth="1"/>
    <col min="10" max="10" width="24.6328125" bestFit="1" customWidth="1"/>
    <col min="11" max="11" width="13.36328125" bestFit="1" customWidth="1"/>
  </cols>
  <sheetData>
    <row r="1" spans="1:11" ht="37"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158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45797</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134745.51999999999</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45797</v>
      </c>
      <c r="C12" s="31">
        <v>1665</v>
      </c>
      <c r="D12" s="29" t="s">
        <v>160</v>
      </c>
      <c r="E12" s="10" t="s">
        <v>47</v>
      </c>
      <c r="F12" s="10">
        <v>45712</v>
      </c>
      <c r="G12" s="11">
        <v>53973.34</v>
      </c>
      <c r="H12" s="30">
        <f t="shared" ref="H12:H13" si="0">G12</f>
        <v>53973.34</v>
      </c>
      <c r="I12" s="57">
        <v>45445</v>
      </c>
      <c r="J12" s="35" t="s">
        <v>32</v>
      </c>
      <c r="K12" s="36" t="s">
        <v>43</v>
      </c>
    </row>
    <row r="13" spans="1:11" ht="15" x14ac:dyDescent="0.35">
      <c r="A13" s="40">
        <v>2</v>
      </c>
      <c r="B13" s="38">
        <v>45797</v>
      </c>
      <c r="C13" s="31">
        <v>1667</v>
      </c>
      <c r="D13" s="29" t="s">
        <v>161</v>
      </c>
      <c r="E13" s="10" t="s">
        <v>47</v>
      </c>
      <c r="F13" s="10">
        <v>45712</v>
      </c>
      <c r="G13" s="11">
        <v>38161.279999999999</v>
      </c>
      <c r="H13" s="70">
        <f t="shared" si="0"/>
        <v>38161.279999999999</v>
      </c>
      <c r="I13" s="57">
        <v>45445</v>
      </c>
      <c r="J13" s="35" t="s">
        <v>32</v>
      </c>
      <c r="K13" s="36" t="s">
        <v>43</v>
      </c>
    </row>
    <row r="14" spans="1:11" ht="15" x14ac:dyDescent="0.35">
      <c r="A14" s="69">
        <v>3</v>
      </c>
      <c r="B14" s="38">
        <v>45797</v>
      </c>
      <c r="C14" s="31">
        <v>1666</v>
      </c>
      <c r="D14" s="29" t="s">
        <v>104</v>
      </c>
      <c r="E14" s="10" t="s">
        <v>47</v>
      </c>
      <c r="F14" s="10">
        <v>45712</v>
      </c>
      <c r="G14" s="74">
        <v>42610.9</v>
      </c>
      <c r="H14" s="71">
        <f>G14</f>
        <v>42610.9</v>
      </c>
      <c r="I14" s="58">
        <v>45445</v>
      </c>
      <c r="J14" s="35" t="s">
        <v>32</v>
      </c>
      <c r="K14" s="36" t="s">
        <v>43</v>
      </c>
    </row>
    <row r="15" spans="1:11" ht="15" x14ac:dyDescent="0.35">
      <c r="A15" s="69"/>
      <c r="B15" s="49"/>
      <c r="C15" s="49"/>
      <c r="D15" s="49"/>
      <c r="E15" s="49"/>
      <c r="F15" s="49"/>
      <c r="G15" s="50"/>
      <c r="H15" s="47">
        <f>SUM(H12:H14)</f>
        <v>134745.51999999999</v>
      </c>
      <c r="I15" s="56"/>
      <c r="J15" s="411"/>
      <c r="K15" s="412"/>
    </row>
    <row r="16" spans="1:11" x14ac:dyDescent="0.35">
      <c r="A16" s="25"/>
      <c r="B16" s="368" t="s">
        <v>162</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1"/>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1"/>
      <c r="B22" s="1"/>
      <c r="C22" s="1"/>
      <c r="D22" s="1"/>
      <c r="E22" s="1"/>
      <c r="F22" s="1"/>
      <c r="G22" s="1"/>
      <c r="H22" s="1"/>
      <c r="I22" s="1"/>
      <c r="J22" s="1"/>
      <c r="K22" s="1"/>
    </row>
    <row r="23" spans="1:11" x14ac:dyDescent="0.35">
      <c r="A23" s="1"/>
      <c r="B23" s="1"/>
      <c r="C23" s="1"/>
      <c r="D23" s="1"/>
      <c r="E23" s="1"/>
      <c r="F23" s="1"/>
      <c r="G23" s="1"/>
      <c r="H23" s="1"/>
      <c r="I23" s="1"/>
      <c r="J23" s="1"/>
      <c r="K23" s="1"/>
    </row>
    <row r="24" spans="1:11" x14ac:dyDescent="0.35">
      <c r="A24" s="1"/>
      <c r="B24" s="1"/>
      <c r="C24" s="1"/>
      <c r="D24" s="1"/>
      <c r="E24" s="1"/>
      <c r="F24" s="1"/>
      <c r="G24" s="1"/>
      <c r="H24" s="1"/>
      <c r="I24" s="1"/>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x14ac:dyDescent="0.35">
      <c r="A27" s="48"/>
      <c r="B27" s="1"/>
      <c r="C27" s="1"/>
      <c r="D27" s="1"/>
      <c r="E27" s="1"/>
      <c r="F27" s="1"/>
      <c r="G27" s="20"/>
      <c r="H27" s="1"/>
      <c r="I27" s="1"/>
      <c r="J27" s="1"/>
      <c r="K27" s="1"/>
    </row>
    <row r="28" spans="1:11" x14ac:dyDescent="0.35">
      <c r="A28" s="48"/>
      <c r="B28" s="1"/>
      <c r="C28" s="1"/>
      <c r="D28" s="1"/>
      <c r="E28" s="1"/>
      <c r="F28" s="1"/>
      <c r="G28" s="1"/>
      <c r="H28" s="1"/>
      <c r="I28" s="1"/>
      <c r="J28" s="1"/>
      <c r="K28" s="1"/>
    </row>
    <row r="29" spans="1:11" x14ac:dyDescent="0.35">
      <c r="A29" s="51"/>
      <c r="B29" s="1"/>
      <c r="C29" s="1"/>
      <c r="D29" s="1"/>
      <c r="E29" s="1"/>
      <c r="F29" s="1"/>
      <c r="G29" s="1"/>
      <c r="H29" s="1"/>
      <c r="I29" s="1"/>
      <c r="J29" s="1"/>
      <c r="K29" s="1"/>
    </row>
    <row r="30" spans="1:11" x14ac:dyDescent="0.35">
      <c r="A30" s="14"/>
      <c r="B30" s="24"/>
      <c r="C30" s="24"/>
      <c r="D30" s="1"/>
      <c r="E30" s="24" t="s">
        <v>34</v>
      </c>
      <c r="F30" s="24"/>
      <c r="H30" s="20"/>
      <c r="I30" s="20"/>
      <c r="J30" s="20"/>
      <c r="K30" s="21"/>
    </row>
    <row r="31" spans="1:11" x14ac:dyDescent="0.35">
      <c r="A31" s="54" t="s">
        <v>19</v>
      </c>
      <c r="B31" s="27"/>
      <c r="C31" s="27"/>
      <c r="D31" s="21" t="s">
        <v>36</v>
      </c>
      <c r="E31" s="21" t="s">
        <v>20</v>
      </c>
      <c r="F31" s="21"/>
      <c r="G31" s="46" t="s">
        <v>21</v>
      </c>
      <c r="H31" s="21"/>
      <c r="I31" s="21"/>
      <c r="J31" s="410" t="s">
        <v>22</v>
      </c>
      <c r="K31" s="410"/>
    </row>
    <row r="32" spans="1:11" x14ac:dyDescent="0.35">
      <c r="A32" s="22" t="s">
        <v>82</v>
      </c>
      <c r="B32" s="28"/>
      <c r="C32" s="28"/>
      <c r="D32" s="22" t="s">
        <v>93</v>
      </c>
      <c r="E32" s="22" t="s">
        <v>23</v>
      </c>
      <c r="F32" s="22"/>
      <c r="G32" s="22" t="s">
        <v>24</v>
      </c>
      <c r="H32" s="22"/>
      <c r="I32" s="22"/>
      <c r="J32" s="389" t="s">
        <v>25</v>
      </c>
      <c r="K32" s="389"/>
    </row>
    <row r="33" spans="1:11" x14ac:dyDescent="0.35">
      <c r="A33" s="23" t="s">
        <v>85</v>
      </c>
      <c r="B33" s="26"/>
      <c r="C33" s="26"/>
      <c r="D33" s="23" t="s">
        <v>41</v>
      </c>
      <c r="E33" s="23" t="s">
        <v>41</v>
      </c>
      <c r="F33" s="23"/>
      <c r="G33" s="23" t="s">
        <v>39</v>
      </c>
      <c r="H33" s="23"/>
      <c r="I33" s="23"/>
      <c r="J33" s="390" t="s">
        <v>26</v>
      </c>
      <c r="K33" s="390"/>
    </row>
    <row r="34" spans="1:11" x14ac:dyDescent="0.35">
      <c r="A34" s="23" t="s">
        <v>27</v>
      </c>
      <c r="B34" s="26"/>
      <c r="C34" s="26"/>
      <c r="D34" s="23" t="s">
        <v>40</v>
      </c>
      <c r="E34" s="23" t="s">
        <v>27</v>
      </c>
      <c r="F34" s="23"/>
      <c r="G34" s="23" t="s">
        <v>27</v>
      </c>
      <c r="H34" s="23"/>
      <c r="I34" s="23"/>
      <c r="J34" s="1"/>
      <c r="K34" s="23"/>
    </row>
  </sheetData>
  <mergeCells count="15">
    <mergeCell ref="J31:K31"/>
    <mergeCell ref="J32:K32"/>
    <mergeCell ref="J33:K33"/>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4982-F5F3-4E3E-AE22-CA37C63069CB}">
  <sheetPr>
    <pageSetUpPr fitToPage="1"/>
  </sheetPr>
  <dimension ref="A1:K25"/>
  <sheetViews>
    <sheetView workbookViewId="0">
      <selection activeCell="D18" sqref="D18"/>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9.7265625" bestFit="1" customWidth="1"/>
    <col min="9" max="9" width="11.726562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125</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45466</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32520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69">
        <v>4</v>
      </c>
      <c r="B12" s="65">
        <v>45466</v>
      </c>
      <c r="C12" s="31">
        <v>1666</v>
      </c>
      <c r="D12" s="29" t="s">
        <v>104</v>
      </c>
      <c r="E12" s="10" t="s">
        <v>47</v>
      </c>
      <c r="F12" s="63">
        <v>45375</v>
      </c>
      <c r="G12" s="64">
        <v>32520</v>
      </c>
      <c r="H12" s="71">
        <f>G12</f>
        <v>32520</v>
      </c>
      <c r="I12" s="58">
        <v>45478</v>
      </c>
      <c r="J12" s="35" t="s">
        <v>32</v>
      </c>
      <c r="K12" s="36" t="s">
        <v>43</v>
      </c>
    </row>
    <row r="13" spans="1:11" ht="15" x14ac:dyDescent="0.35">
      <c r="A13" s="69"/>
      <c r="B13" s="49"/>
      <c r="C13" s="49"/>
      <c r="D13" s="49"/>
      <c r="E13" s="49"/>
      <c r="F13" s="49"/>
      <c r="G13" s="50"/>
      <c r="H13" s="47">
        <f>SUM(H12:H12)</f>
        <v>32520</v>
      </c>
      <c r="I13" s="56"/>
      <c r="J13" s="411"/>
      <c r="K13" s="412"/>
    </row>
    <row r="14" spans="1:11" x14ac:dyDescent="0.35">
      <c r="A14" s="25"/>
      <c r="B14" s="368" t="s">
        <v>124</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24"/>
      <c r="C21" s="24"/>
      <c r="D21" s="1"/>
      <c r="E21" s="24" t="s">
        <v>34</v>
      </c>
      <c r="F21" s="24"/>
      <c r="H21" s="20"/>
      <c r="I21" s="20"/>
      <c r="J21" s="20"/>
      <c r="K21" s="21"/>
    </row>
    <row r="22" spans="1:11" x14ac:dyDescent="0.35">
      <c r="A22" s="54" t="s">
        <v>19</v>
      </c>
      <c r="B22" s="27"/>
      <c r="C22" s="27"/>
      <c r="D22" s="21" t="s">
        <v>36</v>
      </c>
      <c r="E22" s="21" t="s">
        <v>20</v>
      </c>
      <c r="F22" s="21"/>
      <c r="G22" s="46" t="s">
        <v>21</v>
      </c>
      <c r="H22" s="21"/>
      <c r="I22" s="21"/>
      <c r="J22" s="410" t="s">
        <v>22</v>
      </c>
      <c r="K22" s="410"/>
    </row>
    <row r="23" spans="1:11" x14ac:dyDescent="0.35">
      <c r="A23" s="22" t="s">
        <v>82</v>
      </c>
      <c r="B23" s="28"/>
      <c r="C23" s="28"/>
      <c r="D23" s="22" t="s">
        <v>93</v>
      </c>
      <c r="E23" s="22" t="s">
        <v>23</v>
      </c>
      <c r="F23" s="22"/>
      <c r="G23" s="22" t="s">
        <v>24</v>
      </c>
      <c r="H23" s="22"/>
      <c r="I23" s="22"/>
      <c r="J23" s="389" t="s">
        <v>25</v>
      </c>
      <c r="K23" s="389"/>
    </row>
    <row r="24" spans="1:11" x14ac:dyDescent="0.35">
      <c r="A24" s="23" t="s">
        <v>85</v>
      </c>
      <c r="B24" s="26"/>
      <c r="C24" s="26"/>
      <c r="D24" s="23" t="s">
        <v>41</v>
      </c>
      <c r="E24" s="23" t="s">
        <v>41</v>
      </c>
      <c r="F24" s="23"/>
      <c r="G24" s="23" t="s">
        <v>39</v>
      </c>
      <c r="H24" s="23"/>
      <c r="I24" s="23"/>
      <c r="J24" s="390" t="s">
        <v>26</v>
      </c>
      <c r="K24" s="390"/>
    </row>
    <row r="25" spans="1:11" x14ac:dyDescent="0.35">
      <c r="A25" s="23" t="s">
        <v>27</v>
      </c>
      <c r="B25" s="26"/>
      <c r="C25" s="26"/>
      <c r="D25" s="23" t="s">
        <v>40</v>
      </c>
      <c r="E25" s="23" t="s">
        <v>27</v>
      </c>
      <c r="F25" s="23"/>
      <c r="G25" s="23" t="s">
        <v>27</v>
      </c>
      <c r="H25" s="23"/>
      <c r="I25" s="23"/>
      <c r="J25" s="1"/>
      <c r="K25" s="23"/>
    </row>
  </sheetData>
  <mergeCells count="15">
    <mergeCell ref="B6:K6"/>
    <mergeCell ref="A1:K1"/>
    <mergeCell ref="B2:K2"/>
    <mergeCell ref="B3:K3"/>
    <mergeCell ref="B4:K4"/>
    <mergeCell ref="B5:K5"/>
    <mergeCell ref="J22:K22"/>
    <mergeCell ref="J23:K23"/>
    <mergeCell ref="J24:K24"/>
    <mergeCell ref="B7:K7"/>
    <mergeCell ref="B8:K8"/>
    <mergeCell ref="B9:K9"/>
    <mergeCell ref="B10:K10"/>
    <mergeCell ref="J13:K13"/>
    <mergeCell ref="B14:K14"/>
  </mergeCells>
  <pageMargins left="0.25" right="0.25" top="0.75" bottom="0.75" header="0.3" footer="0.3"/>
  <pageSetup scale="7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C650C-41B1-49F6-B718-E8472DB5D6E9}">
  <sheetPr>
    <pageSetUpPr fitToPage="1"/>
  </sheetPr>
  <dimension ref="A1:K25"/>
  <sheetViews>
    <sheetView topLeftCell="B8" workbookViewId="0">
      <selection activeCell="F19" sqref="F19"/>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11.5429687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106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45349</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4258</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3</v>
      </c>
      <c r="B12" s="38">
        <v>45349</v>
      </c>
      <c r="C12" s="31">
        <v>1659</v>
      </c>
      <c r="D12" s="29" t="s">
        <v>107</v>
      </c>
      <c r="E12" s="10" t="s">
        <v>47</v>
      </c>
      <c r="F12" s="10">
        <v>45315</v>
      </c>
      <c r="G12" s="11">
        <v>4258</v>
      </c>
      <c r="H12" s="30">
        <v>4258</v>
      </c>
      <c r="I12" s="58">
        <v>45362</v>
      </c>
      <c r="J12" s="35" t="s">
        <v>32</v>
      </c>
      <c r="K12" s="36" t="s">
        <v>43</v>
      </c>
    </row>
    <row r="13" spans="1:11" ht="15" x14ac:dyDescent="0.35">
      <c r="A13" s="40"/>
      <c r="B13" s="49"/>
      <c r="C13" s="49"/>
      <c r="D13" s="49"/>
      <c r="E13" s="49"/>
      <c r="F13" s="49"/>
      <c r="G13" s="50"/>
      <c r="H13" s="47">
        <f>SUM(H12:H12)</f>
        <v>4258</v>
      </c>
      <c r="I13" s="56"/>
      <c r="J13" s="411"/>
      <c r="K13" s="412"/>
    </row>
    <row r="14" spans="1:11" x14ac:dyDescent="0.35">
      <c r="A14" s="25"/>
      <c r="B14" s="368" t="s">
        <v>108</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24"/>
      <c r="C21" s="24"/>
      <c r="D21" s="1"/>
      <c r="E21" s="24" t="s">
        <v>34</v>
      </c>
      <c r="F21" s="24"/>
      <c r="H21" s="20"/>
      <c r="I21" s="20"/>
      <c r="J21" s="20"/>
      <c r="K21" s="21"/>
    </row>
    <row r="22" spans="1:11" x14ac:dyDescent="0.35">
      <c r="A22" s="54" t="s">
        <v>19</v>
      </c>
      <c r="B22" s="27"/>
      <c r="C22" s="27"/>
      <c r="D22" s="21" t="s">
        <v>36</v>
      </c>
      <c r="E22" s="21" t="s">
        <v>20</v>
      </c>
      <c r="F22" s="21"/>
      <c r="G22" s="46" t="s">
        <v>21</v>
      </c>
      <c r="H22" s="21"/>
      <c r="I22" s="21"/>
      <c r="J22" s="410" t="s">
        <v>22</v>
      </c>
      <c r="K22" s="410"/>
    </row>
    <row r="23" spans="1:11" x14ac:dyDescent="0.35">
      <c r="A23" s="22" t="s">
        <v>82</v>
      </c>
      <c r="B23" s="28"/>
      <c r="C23" s="28"/>
      <c r="D23" s="22" t="s">
        <v>93</v>
      </c>
      <c r="E23" s="22" t="s">
        <v>23</v>
      </c>
      <c r="F23" s="22"/>
      <c r="G23" s="22" t="s">
        <v>24</v>
      </c>
      <c r="H23" s="22"/>
      <c r="I23" s="22"/>
      <c r="J23" s="389" t="s">
        <v>25</v>
      </c>
      <c r="K23" s="389"/>
    </row>
    <row r="24" spans="1:11" x14ac:dyDescent="0.35">
      <c r="A24" s="23" t="s">
        <v>85</v>
      </c>
      <c r="B24" s="26"/>
      <c r="C24" s="26"/>
      <c r="D24" s="23" t="s">
        <v>41</v>
      </c>
      <c r="E24" s="23" t="s">
        <v>41</v>
      </c>
      <c r="F24" s="23"/>
      <c r="G24" s="23" t="s">
        <v>39</v>
      </c>
      <c r="H24" s="23"/>
      <c r="I24" s="23"/>
      <c r="J24" s="390" t="s">
        <v>26</v>
      </c>
      <c r="K24" s="390"/>
    </row>
    <row r="25" spans="1:11" x14ac:dyDescent="0.35">
      <c r="A25" s="23" t="s">
        <v>27</v>
      </c>
      <c r="B25" s="26"/>
      <c r="C25" s="26"/>
      <c r="D25" s="23" t="s">
        <v>40</v>
      </c>
      <c r="E25" s="23" t="s">
        <v>27</v>
      </c>
      <c r="F25" s="23"/>
      <c r="G25" s="23" t="s">
        <v>27</v>
      </c>
      <c r="H25" s="23"/>
      <c r="I25" s="23"/>
      <c r="J25" s="1"/>
      <c r="K25" s="23"/>
    </row>
  </sheetData>
  <mergeCells count="15">
    <mergeCell ref="J22:K22"/>
    <mergeCell ref="J23:K23"/>
    <mergeCell ref="J24:K24"/>
    <mergeCell ref="B7:K7"/>
    <mergeCell ref="B8:K8"/>
    <mergeCell ref="B9:K9"/>
    <mergeCell ref="B10:K10"/>
    <mergeCell ref="J13:K13"/>
    <mergeCell ref="B14:K14"/>
    <mergeCell ref="B6:K6"/>
    <mergeCell ref="A1:K1"/>
    <mergeCell ref="B2:K2"/>
    <mergeCell ref="B3:K3"/>
    <mergeCell ref="B4:K4"/>
    <mergeCell ref="B5:K5"/>
  </mergeCells>
  <pageMargins left="0.25" right="0.25" top="0.75" bottom="0.75" header="0.3" footer="0.3"/>
  <pageSetup scale="79"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5591-FEBC-4AAB-AAA8-A654C9E2B913}">
  <sheetPr>
    <pageSetUpPr fitToPage="1"/>
  </sheetPr>
  <dimension ref="A1:K26"/>
  <sheetViews>
    <sheetView topLeftCell="A8" workbookViewId="0">
      <selection sqref="A1:K27"/>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11.5429687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112</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45354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$H$14</f>
        <v>7521</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45351</v>
      </c>
      <c r="C12" s="31"/>
      <c r="D12" s="29" t="s">
        <v>109</v>
      </c>
      <c r="E12" s="10" t="s">
        <v>47</v>
      </c>
      <c r="F12" s="10">
        <v>45315</v>
      </c>
      <c r="G12" s="11">
        <v>4188</v>
      </c>
      <c r="H12" s="30">
        <v>4188</v>
      </c>
      <c r="I12" s="58">
        <v>45364</v>
      </c>
      <c r="J12" s="35" t="s">
        <v>32</v>
      </c>
      <c r="K12" s="36" t="s">
        <v>43</v>
      </c>
    </row>
    <row r="13" spans="1:11" ht="15" x14ac:dyDescent="0.35">
      <c r="A13" s="25">
        <v>2</v>
      </c>
      <c r="B13" s="38">
        <v>45351</v>
      </c>
      <c r="C13" s="61"/>
      <c r="D13" s="62" t="s">
        <v>110</v>
      </c>
      <c r="E13" s="63" t="s">
        <v>47</v>
      </c>
      <c r="F13" s="10">
        <v>45315</v>
      </c>
      <c r="G13" s="64">
        <v>3333</v>
      </c>
      <c r="H13" s="55">
        <v>3333</v>
      </c>
      <c r="I13" s="58">
        <v>45364</v>
      </c>
      <c r="J13" s="35" t="s">
        <v>32</v>
      </c>
      <c r="K13" s="36" t="s">
        <v>43</v>
      </c>
    </row>
    <row r="14" spans="1:11" ht="15" x14ac:dyDescent="0.35">
      <c r="A14" s="40"/>
      <c r="B14" s="49"/>
      <c r="C14" s="49"/>
      <c r="D14" s="49"/>
      <c r="E14" s="49"/>
      <c r="F14" s="49"/>
      <c r="G14" s="50"/>
      <c r="H14" s="47">
        <f>SUM(H12:H13)</f>
        <v>7521</v>
      </c>
      <c r="I14" s="56"/>
      <c r="J14" s="411"/>
      <c r="K14" s="412"/>
    </row>
    <row r="15" spans="1:11" x14ac:dyDescent="0.35">
      <c r="A15" s="25"/>
      <c r="B15" s="368" t="s">
        <v>111</v>
      </c>
      <c r="C15" s="368"/>
      <c r="D15" s="368"/>
      <c r="E15" s="368"/>
      <c r="F15" s="368"/>
      <c r="G15" s="368"/>
      <c r="H15" s="368"/>
      <c r="I15" s="368"/>
      <c r="J15" s="368"/>
      <c r="K15" s="368"/>
    </row>
    <row r="16" spans="1:11" x14ac:dyDescent="0.35">
      <c r="A16" s="48"/>
      <c r="B16" s="1"/>
      <c r="C16" s="1"/>
      <c r="D16" s="1"/>
      <c r="E16" s="1"/>
      <c r="F16" s="1"/>
      <c r="G16" s="1"/>
      <c r="H16" s="1"/>
      <c r="I16" s="1"/>
      <c r="J16" s="1"/>
      <c r="K16" s="1"/>
    </row>
    <row r="17" spans="1:11" x14ac:dyDescent="0.35">
      <c r="A17" s="48"/>
      <c r="B17" s="1"/>
      <c r="C17" s="1"/>
      <c r="D17" s="1"/>
      <c r="E17" s="1"/>
      <c r="F17" s="1"/>
      <c r="G17" s="1"/>
      <c r="H17" s="1"/>
      <c r="I17" s="1"/>
      <c r="J17" s="1"/>
      <c r="K17" s="1"/>
    </row>
    <row r="18" spans="1:11" x14ac:dyDescent="0.35">
      <c r="A18" s="1"/>
      <c r="B18" s="1"/>
      <c r="C18" s="1"/>
      <c r="D18" s="1"/>
      <c r="E18" s="1"/>
      <c r="F18" s="1"/>
      <c r="G18" s="1"/>
      <c r="H18" s="1"/>
      <c r="I18" s="1"/>
      <c r="J18" s="1"/>
      <c r="K18" s="1"/>
    </row>
    <row r="19" spans="1:11" x14ac:dyDescent="0.35">
      <c r="A19" s="48"/>
      <c r="B19" s="1"/>
      <c r="C19" s="1"/>
      <c r="D19" s="1"/>
      <c r="E19" s="1"/>
      <c r="F19" s="1"/>
      <c r="G19" s="20"/>
      <c r="H19" s="1"/>
      <c r="I19" s="1"/>
      <c r="J19" s="1"/>
      <c r="K19" s="1"/>
    </row>
    <row r="20" spans="1:11" x14ac:dyDescent="0.35">
      <c r="A20" s="48"/>
      <c r="B20" s="1"/>
      <c r="C20" s="1"/>
      <c r="D20" s="1"/>
      <c r="E20" s="1"/>
      <c r="F20" s="1"/>
      <c r="G20" s="1"/>
      <c r="H20" s="1"/>
      <c r="I20" s="1"/>
      <c r="J20" s="1"/>
      <c r="K20" s="1"/>
    </row>
    <row r="21" spans="1:11" x14ac:dyDescent="0.35">
      <c r="A21" s="51"/>
      <c r="B21" s="1"/>
      <c r="C21" s="1"/>
      <c r="D21" s="1"/>
      <c r="E21" s="1"/>
      <c r="F21" s="1"/>
      <c r="G21" s="1"/>
      <c r="H21" s="1"/>
      <c r="I21" s="1"/>
      <c r="J21" s="1"/>
      <c r="K21" s="1"/>
    </row>
    <row r="22" spans="1:11" x14ac:dyDescent="0.35">
      <c r="A22" s="14"/>
      <c r="B22" s="24"/>
      <c r="C22" s="24"/>
      <c r="D22" s="1"/>
      <c r="E22" s="24" t="s">
        <v>34</v>
      </c>
      <c r="F22" s="24"/>
      <c r="H22" s="20"/>
      <c r="I22" s="20"/>
      <c r="J22" s="20"/>
      <c r="K22" s="21"/>
    </row>
    <row r="23" spans="1:11" x14ac:dyDescent="0.35">
      <c r="A23" s="54" t="s">
        <v>19</v>
      </c>
      <c r="B23" s="27"/>
      <c r="C23" s="27"/>
      <c r="D23" s="21" t="s">
        <v>36</v>
      </c>
      <c r="E23" s="21" t="s">
        <v>20</v>
      </c>
      <c r="F23" s="21"/>
      <c r="G23" s="46" t="s">
        <v>21</v>
      </c>
      <c r="H23" s="21"/>
      <c r="I23" s="21"/>
      <c r="J23" s="410" t="s">
        <v>22</v>
      </c>
      <c r="K23" s="410"/>
    </row>
    <row r="24" spans="1:11" x14ac:dyDescent="0.35">
      <c r="A24" s="22" t="s">
        <v>82</v>
      </c>
      <c r="B24" s="28"/>
      <c r="C24" s="28"/>
      <c r="D24" s="22" t="s">
        <v>93</v>
      </c>
      <c r="E24" s="22" t="s">
        <v>23</v>
      </c>
      <c r="F24" s="22"/>
      <c r="G24" s="22" t="s">
        <v>24</v>
      </c>
      <c r="H24" s="22"/>
      <c r="I24" s="22"/>
      <c r="J24" s="389" t="s">
        <v>25</v>
      </c>
      <c r="K24" s="389"/>
    </row>
    <row r="25" spans="1:11" x14ac:dyDescent="0.35">
      <c r="A25" s="23" t="s">
        <v>85</v>
      </c>
      <c r="B25" s="26"/>
      <c r="C25" s="26"/>
      <c r="D25" s="23" t="s">
        <v>41</v>
      </c>
      <c r="E25" s="23" t="s">
        <v>41</v>
      </c>
      <c r="F25" s="23"/>
      <c r="G25" s="23" t="s">
        <v>39</v>
      </c>
      <c r="H25" s="23"/>
      <c r="I25" s="23"/>
      <c r="J25" s="390" t="s">
        <v>26</v>
      </c>
      <c r="K25" s="390"/>
    </row>
    <row r="26" spans="1:11" x14ac:dyDescent="0.35">
      <c r="A26" s="23" t="s">
        <v>27</v>
      </c>
      <c r="B26" s="26"/>
      <c r="C26" s="26"/>
      <c r="D26" s="23" t="s">
        <v>40</v>
      </c>
      <c r="E26" s="23" t="s">
        <v>27</v>
      </c>
      <c r="F26" s="23"/>
      <c r="G26" s="23" t="s">
        <v>27</v>
      </c>
      <c r="H26" s="23"/>
      <c r="I26" s="23"/>
      <c r="J26" s="1"/>
      <c r="K26" s="23"/>
    </row>
  </sheetData>
  <mergeCells count="15">
    <mergeCell ref="B6:K6"/>
    <mergeCell ref="A1:K1"/>
    <mergeCell ref="B2:K2"/>
    <mergeCell ref="B3:K3"/>
    <mergeCell ref="B4:K4"/>
    <mergeCell ref="B5:K5"/>
    <mergeCell ref="J23:K23"/>
    <mergeCell ref="J24:K24"/>
    <mergeCell ref="J25:K25"/>
    <mergeCell ref="B7:K7"/>
    <mergeCell ref="B8:K8"/>
    <mergeCell ref="B9:K9"/>
    <mergeCell ref="B10:K10"/>
    <mergeCell ref="J14:K14"/>
    <mergeCell ref="B15:K15"/>
  </mergeCells>
  <pageMargins left="0.25" right="0.25" top="0.75" bottom="0.75" header="0.3" footer="0.3"/>
  <pageSetup scale="79"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F5E0-573D-4E43-8EBD-8473C6240FA4}">
  <sheetPr>
    <pageSetUpPr fitToPage="1"/>
  </sheetPr>
  <dimension ref="A1:K26"/>
  <sheetViews>
    <sheetView workbookViewId="0">
      <selection activeCell="G19" sqref="G19"/>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9.7265625" bestFit="1" customWidth="1"/>
    <col min="9" max="9" width="11.5429687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122</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45448</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$H$14</f>
        <v>45487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45351</v>
      </c>
      <c r="C12" s="31">
        <v>1661</v>
      </c>
      <c r="D12" s="29" t="s">
        <v>109</v>
      </c>
      <c r="E12" s="10" t="s">
        <v>47</v>
      </c>
      <c r="F12" s="10">
        <v>45406</v>
      </c>
      <c r="G12" s="11">
        <v>22953</v>
      </c>
      <c r="H12" s="30">
        <f>G12</f>
        <v>22953</v>
      </c>
      <c r="I12" s="58">
        <v>45454</v>
      </c>
      <c r="J12" s="35" t="s">
        <v>32</v>
      </c>
      <c r="K12" s="36" t="s">
        <v>43</v>
      </c>
    </row>
    <row r="13" spans="1:11" ht="15" x14ac:dyDescent="0.35">
      <c r="A13" s="25">
        <v>2</v>
      </c>
      <c r="B13" s="38">
        <v>45351</v>
      </c>
      <c r="C13" s="31">
        <v>1662</v>
      </c>
      <c r="D13" s="29" t="s">
        <v>110</v>
      </c>
      <c r="E13" s="10" t="s">
        <v>47</v>
      </c>
      <c r="F13" s="10">
        <v>45406</v>
      </c>
      <c r="G13" s="64">
        <v>22534</v>
      </c>
      <c r="H13" s="55">
        <f>G13</f>
        <v>22534</v>
      </c>
      <c r="I13" s="58">
        <v>45454</v>
      </c>
      <c r="J13" s="35" t="s">
        <v>32</v>
      </c>
      <c r="K13" s="36" t="s">
        <v>43</v>
      </c>
    </row>
    <row r="14" spans="1:11" ht="15" x14ac:dyDescent="0.35">
      <c r="A14" s="40"/>
      <c r="B14" s="49"/>
      <c r="C14" s="49"/>
      <c r="D14" s="49"/>
      <c r="E14" s="49"/>
      <c r="F14" s="49"/>
      <c r="G14" s="50"/>
      <c r="H14" s="47">
        <f>SUM(H12:H13)</f>
        <v>45487</v>
      </c>
      <c r="I14" s="56"/>
      <c r="J14" s="411"/>
      <c r="K14" s="412"/>
    </row>
    <row r="15" spans="1:11" x14ac:dyDescent="0.35">
      <c r="A15" s="25"/>
      <c r="B15" s="368" t="s">
        <v>123</v>
      </c>
      <c r="C15" s="368"/>
      <c r="D15" s="368"/>
      <c r="E15" s="368"/>
      <c r="F15" s="368"/>
      <c r="G15" s="368"/>
      <c r="H15" s="368"/>
      <c r="I15" s="368"/>
      <c r="J15" s="368"/>
      <c r="K15" s="368"/>
    </row>
    <row r="16" spans="1:11" x14ac:dyDescent="0.35">
      <c r="A16" s="48"/>
      <c r="B16" s="1"/>
      <c r="C16" s="1"/>
      <c r="D16" s="1"/>
      <c r="E16" s="1"/>
      <c r="F16" s="1"/>
      <c r="G16" s="1"/>
      <c r="H16" s="1"/>
      <c r="I16" s="1"/>
      <c r="J16" s="1"/>
      <c r="K16" s="1"/>
    </row>
    <row r="17" spans="1:11" x14ac:dyDescent="0.35">
      <c r="A17" s="48"/>
      <c r="B17" s="1"/>
      <c r="C17" s="1"/>
      <c r="D17" s="1"/>
      <c r="E17" s="1"/>
      <c r="F17" s="1"/>
      <c r="G17" s="1"/>
      <c r="H17" s="1"/>
      <c r="I17" s="1"/>
      <c r="J17" s="1"/>
      <c r="K17" s="1"/>
    </row>
    <row r="18" spans="1:11" x14ac:dyDescent="0.35">
      <c r="A18" s="1"/>
      <c r="B18" s="1"/>
      <c r="C18" s="1"/>
      <c r="D18" s="1"/>
      <c r="E18" s="1"/>
      <c r="F18" s="1"/>
      <c r="G18" s="1"/>
      <c r="H18" s="1"/>
      <c r="I18" s="1"/>
      <c r="J18" s="1"/>
      <c r="K18" s="1"/>
    </row>
    <row r="19" spans="1:11" x14ac:dyDescent="0.35">
      <c r="A19" s="48"/>
      <c r="B19" s="1"/>
      <c r="C19" s="1"/>
      <c r="D19" s="1"/>
      <c r="E19" s="1"/>
      <c r="F19" s="1"/>
      <c r="G19" s="20"/>
      <c r="H19" s="1"/>
      <c r="I19" s="1"/>
      <c r="J19" s="1"/>
      <c r="K19" s="1"/>
    </row>
    <row r="20" spans="1:11" x14ac:dyDescent="0.35">
      <c r="A20" s="48"/>
      <c r="B20" s="1"/>
      <c r="C20" s="1"/>
      <c r="D20" s="1"/>
      <c r="E20" s="1"/>
      <c r="F20" s="1"/>
      <c r="G20" s="1"/>
      <c r="H20" s="1"/>
      <c r="I20" s="1"/>
      <c r="J20" s="1"/>
      <c r="K20" s="1"/>
    </row>
    <row r="21" spans="1:11" x14ac:dyDescent="0.35">
      <c r="A21" s="51"/>
      <c r="B21" s="1"/>
      <c r="C21" s="1"/>
      <c r="D21" s="1"/>
      <c r="E21" s="1"/>
      <c r="F21" s="1"/>
      <c r="G21" s="1"/>
      <c r="H21" s="1"/>
      <c r="I21" s="1"/>
      <c r="J21" s="1"/>
      <c r="K21" s="1"/>
    </row>
    <row r="22" spans="1:11" x14ac:dyDescent="0.35">
      <c r="A22" s="14"/>
      <c r="B22" s="24"/>
      <c r="C22" s="24"/>
      <c r="D22" s="1"/>
      <c r="E22" s="24" t="s">
        <v>34</v>
      </c>
      <c r="F22" s="24"/>
      <c r="H22" s="20"/>
      <c r="I22" s="20"/>
      <c r="J22" s="20"/>
      <c r="K22" s="21"/>
    </row>
    <row r="23" spans="1:11" x14ac:dyDescent="0.35">
      <c r="A23" s="54" t="s">
        <v>19</v>
      </c>
      <c r="B23" s="27"/>
      <c r="C23" s="27"/>
      <c r="D23" s="21" t="s">
        <v>36</v>
      </c>
      <c r="E23" s="21" t="s">
        <v>20</v>
      </c>
      <c r="F23" s="21"/>
      <c r="G23" s="46" t="s">
        <v>21</v>
      </c>
      <c r="H23" s="21"/>
      <c r="I23" s="21"/>
      <c r="J23" s="410" t="s">
        <v>22</v>
      </c>
      <c r="K23" s="410"/>
    </row>
    <row r="24" spans="1:11" x14ac:dyDescent="0.35">
      <c r="A24" s="22" t="s">
        <v>82</v>
      </c>
      <c r="B24" s="28"/>
      <c r="C24" s="28"/>
      <c r="D24" s="22" t="s">
        <v>93</v>
      </c>
      <c r="E24" s="22" t="s">
        <v>23</v>
      </c>
      <c r="F24" s="22"/>
      <c r="G24" s="22" t="s">
        <v>24</v>
      </c>
      <c r="H24" s="22"/>
      <c r="I24" s="22"/>
      <c r="J24" s="389" t="s">
        <v>25</v>
      </c>
      <c r="K24" s="389"/>
    </row>
    <row r="25" spans="1:11" x14ac:dyDescent="0.35">
      <c r="A25" s="23" t="s">
        <v>85</v>
      </c>
      <c r="B25" s="26"/>
      <c r="C25" s="26"/>
      <c r="D25" s="23" t="s">
        <v>41</v>
      </c>
      <c r="E25" s="23" t="s">
        <v>41</v>
      </c>
      <c r="F25" s="23"/>
      <c r="G25" s="23" t="s">
        <v>39</v>
      </c>
      <c r="H25" s="23"/>
      <c r="I25" s="23"/>
      <c r="J25" s="390" t="s">
        <v>26</v>
      </c>
      <c r="K25" s="390"/>
    </row>
    <row r="26" spans="1:11" x14ac:dyDescent="0.35">
      <c r="A26" s="23" t="s">
        <v>27</v>
      </c>
      <c r="B26" s="26"/>
      <c r="C26" s="26"/>
      <c r="D26" s="23" t="s">
        <v>40</v>
      </c>
      <c r="E26" s="23" t="s">
        <v>27</v>
      </c>
      <c r="F26" s="23"/>
      <c r="G26" s="23" t="s">
        <v>27</v>
      </c>
      <c r="H26" s="23"/>
      <c r="I26" s="23"/>
      <c r="J26" s="1"/>
      <c r="K26" s="23"/>
    </row>
  </sheetData>
  <mergeCells count="15">
    <mergeCell ref="B6:K6"/>
    <mergeCell ref="A1:K1"/>
    <mergeCell ref="B2:K2"/>
    <mergeCell ref="B3:K3"/>
    <mergeCell ref="B4:K4"/>
    <mergeCell ref="B5:K5"/>
    <mergeCell ref="J23:K23"/>
    <mergeCell ref="J24:K24"/>
    <mergeCell ref="J25:K25"/>
    <mergeCell ref="B7:K7"/>
    <mergeCell ref="B8:K8"/>
    <mergeCell ref="B9:K9"/>
    <mergeCell ref="B10:K10"/>
    <mergeCell ref="J14:K14"/>
    <mergeCell ref="B15:K15"/>
  </mergeCells>
  <pageMargins left="0.25" right="0.25" top="0.75" bottom="0.75" header="0.3" footer="0.3"/>
  <pageSetup scale="79" fitToHeight="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D033-4368-40E5-95AC-6E1791049980}">
  <sheetPr>
    <pageSetUpPr fitToPage="1"/>
  </sheetPr>
  <dimension ref="A1:K28"/>
  <sheetViews>
    <sheetView zoomScaleNormal="100" workbookViewId="0">
      <selection activeCell="A48" sqref="A48"/>
    </sheetView>
  </sheetViews>
  <sheetFormatPr defaultRowHeight="14.5" x14ac:dyDescent="0.35"/>
  <cols>
    <col min="1" max="1" width="13.54296875" customWidth="1"/>
    <col min="2" max="2" width="10.7265625" bestFit="1" customWidth="1"/>
    <col min="4" max="4" width="24.08984375" customWidth="1"/>
    <col min="5" max="5" width="25.81640625" customWidth="1"/>
    <col min="6" max="6" width="9.36328125" bestFit="1" customWidth="1"/>
    <col min="7" max="7" width="25.54296875" customWidth="1"/>
    <col min="8" max="8" width="12.36328125" customWidth="1"/>
    <col min="9" max="9" width="11.179687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98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45316</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4313</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45316</v>
      </c>
      <c r="C12" s="31">
        <v>1659</v>
      </c>
      <c r="D12" s="29" t="s">
        <v>91</v>
      </c>
      <c r="E12" s="10" t="s">
        <v>47</v>
      </c>
      <c r="F12" s="10">
        <v>45283</v>
      </c>
      <c r="G12" s="11">
        <v>4313</v>
      </c>
      <c r="H12" s="30">
        <v>4313</v>
      </c>
      <c r="I12" s="52">
        <v>45328</v>
      </c>
      <c r="J12" s="35" t="s">
        <v>32</v>
      </c>
      <c r="K12" s="36" t="s">
        <v>43</v>
      </c>
    </row>
    <row r="13" spans="1:11" ht="15" x14ac:dyDescent="0.35">
      <c r="A13" s="25"/>
      <c r="B13" s="65"/>
      <c r="C13" s="61"/>
      <c r="D13" s="62"/>
      <c r="E13" s="63"/>
      <c r="F13" s="63"/>
      <c r="G13" s="64"/>
      <c r="H13" s="55"/>
      <c r="I13" s="66"/>
      <c r="J13" s="67"/>
      <c r="K13" s="59"/>
    </row>
    <row r="14" spans="1:11" ht="15" x14ac:dyDescent="0.35">
      <c r="A14" s="25"/>
      <c r="B14" s="65"/>
      <c r="C14" s="61"/>
      <c r="D14" s="62"/>
      <c r="E14" s="63"/>
      <c r="F14" s="63"/>
      <c r="G14" s="64"/>
      <c r="H14" s="55"/>
      <c r="I14" s="66"/>
      <c r="J14" s="67"/>
      <c r="K14" s="59"/>
    </row>
    <row r="15" spans="1:11" ht="15" x14ac:dyDescent="0.35">
      <c r="A15" s="40"/>
      <c r="B15" s="49"/>
      <c r="C15" s="49"/>
      <c r="D15" s="49"/>
      <c r="E15" s="49"/>
      <c r="F15" s="49"/>
      <c r="G15" s="50"/>
      <c r="H15" s="47">
        <f>SUM(H12:H12)</f>
        <v>4313</v>
      </c>
      <c r="I15" s="53"/>
      <c r="J15" s="411"/>
      <c r="K15" s="412"/>
    </row>
    <row r="16" spans="1:11" x14ac:dyDescent="0.35">
      <c r="A16" s="25"/>
      <c r="B16" s="368" t="s">
        <v>99</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44" t="s">
        <v>19</v>
      </c>
      <c r="B24" s="27"/>
      <c r="C24" s="27"/>
      <c r="D24" s="21" t="s">
        <v>36</v>
      </c>
      <c r="E24" s="21" t="s">
        <v>20</v>
      </c>
      <c r="F24" s="21"/>
      <c r="G24" s="46" t="s">
        <v>21</v>
      </c>
      <c r="H24" s="21"/>
      <c r="I24" s="21"/>
      <c r="J24" s="410" t="s">
        <v>22</v>
      </c>
      <c r="K24" s="410"/>
    </row>
    <row r="25" spans="1:11" x14ac:dyDescent="0.35">
      <c r="A25" s="14" t="s">
        <v>82</v>
      </c>
      <c r="B25" s="28"/>
      <c r="C25" s="28"/>
      <c r="D25" s="22" t="s">
        <v>93</v>
      </c>
      <c r="E25" s="22" t="s">
        <v>23</v>
      </c>
      <c r="F25" s="22"/>
      <c r="G25" s="22" t="s">
        <v>24</v>
      </c>
      <c r="H25" s="22"/>
      <c r="I25" s="22"/>
      <c r="J25" s="389" t="s">
        <v>25</v>
      </c>
      <c r="K25" s="389"/>
    </row>
    <row r="26" spans="1:11" x14ac:dyDescent="0.35">
      <c r="A26" s="15" t="s">
        <v>85</v>
      </c>
      <c r="B26" s="26"/>
      <c r="C26" s="26"/>
      <c r="D26" s="23" t="s">
        <v>41</v>
      </c>
      <c r="E26" s="23" t="s">
        <v>41</v>
      </c>
      <c r="F26" s="23"/>
      <c r="G26" s="23" t="s">
        <v>39</v>
      </c>
      <c r="H26" s="23"/>
      <c r="I26" s="23"/>
      <c r="J26" s="390" t="s">
        <v>26</v>
      </c>
      <c r="K26" s="390"/>
    </row>
    <row r="27" spans="1:11" x14ac:dyDescent="0.35">
      <c r="A27" s="15" t="s">
        <v>27</v>
      </c>
      <c r="B27" s="26"/>
      <c r="C27" s="26"/>
      <c r="D27" s="23" t="s">
        <v>40</v>
      </c>
      <c r="E27" s="23" t="s">
        <v>27</v>
      </c>
      <c r="F27" s="23"/>
      <c r="G27" s="23" t="s">
        <v>27</v>
      </c>
      <c r="H27" s="23"/>
      <c r="I27" s="23"/>
      <c r="J27" s="1"/>
      <c r="K27" s="23"/>
    </row>
    <row r="28" spans="1:11" x14ac:dyDescent="0.35">
      <c r="A28" s="1"/>
    </row>
  </sheetData>
  <mergeCells count="15">
    <mergeCell ref="B6:K6"/>
    <mergeCell ref="A1:K1"/>
    <mergeCell ref="B2:K2"/>
    <mergeCell ref="B3:K3"/>
    <mergeCell ref="B4:K4"/>
    <mergeCell ref="B5:K5"/>
    <mergeCell ref="J24:K24"/>
    <mergeCell ref="J25:K25"/>
    <mergeCell ref="J26:K26"/>
    <mergeCell ref="B7:K7"/>
    <mergeCell ref="B8:K8"/>
    <mergeCell ref="B9:K9"/>
    <mergeCell ref="B10:K10"/>
    <mergeCell ref="J15:K15"/>
    <mergeCell ref="B16:K16"/>
  </mergeCells>
  <pageMargins left="0.25" right="0.25" top="0.75" bottom="0.75" header="0.3" footer="0.3"/>
  <pageSetup paperSize="9" scale="79" fitToHeight="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5A716-0169-4B53-A133-94CE7DD100CC}">
  <sheetPr>
    <pageSetUpPr fitToPage="1"/>
  </sheetPr>
  <dimension ref="A1:J37"/>
  <sheetViews>
    <sheetView topLeftCell="A4" workbookViewId="0">
      <selection sqref="A1:J37"/>
    </sheetView>
  </sheetViews>
  <sheetFormatPr defaultRowHeight="14.5" x14ac:dyDescent="0.35"/>
  <cols>
    <col min="1" max="1" width="13.54296875" customWidth="1"/>
    <col min="2" max="2" width="11" bestFit="1" customWidth="1"/>
    <col min="4" max="4" width="24.08984375" customWidth="1"/>
    <col min="5" max="5" width="25.81640625" customWidth="1"/>
    <col min="6" max="6" width="9.36328125" bestFit="1" customWidth="1"/>
    <col min="7" max="7" width="25.54296875" customWidth="1"/>
    <col min="8" max="8" width="12.36328125" customWidth="1"/>
    <col min="9" max="9" width="24.6328125" bestFit="1" customWidth="1"/>
    <col min="10" max="10" width="13.36328125" bestFit="1" customWidth="1"/>
  </cols>
  <sheetData>
    <row r="1" spans="1:10" ht="20" x14ac:dyDescent="0.35">
      <c r="A1" s="363" t="s">
        <v>42</v>
      </c>
      <c r="B1" s="363"/>
      <c r="C1" s="363"/>
      <c r="D1" s="363"/>
      <c r="E1" s="363"/>
      <c r="F1" s="363"/>
      <c r="G1" s="363"/>
      <c r="H1" s="363"/>
      <c r="I1" s="363"/>
      <c r="J1" s="363"/>
    </row>
    <row r="2" spans="1:10" ht="20" x14ac:dyDescent="0.35">
      <c r="A2" s="2" t="s">
        <v>0</v>
      </c>
      <c r="B2" s="364" t="s">
        <v>46</v>
      </c>
      <c r="C2" s="364"/>
      <c r="D2" s="364"/>
      <c r="E2" s="364"/>
      <c r="F2" s="364"/>
      <c r="G2" s="364"/>
      <c r="H2" s="364"/>
      <c r="I2" s="364"/>
      <c r="J2" s="364"/>
    </row>
    <row r="3" spans="1:10" x14ac:dyDescent="0.35">
      <c r="A3" s="2" t="s">
        <v>1</v>
      </c>
      <c r="B3" s="365" t="s">
        <v>113</v>
      </c>
      <c r="C3" s="365"/>
      <c r="D3" s="365"/>
      <c r="E3" s="365"/>
      <c r="F3" s="365"/>
      <c r="G3" s="365"/>
      <c r="H3" s="365"/>
      <c r="I3" s="365"/>
      <c r="J3" s="365"/>
    </row>
    <row r="4" spans="1:10" x14ac:dyDescent="0.35">
      <c r="A4" s="2" t="s">
        <v>2</v>
      </c>
      <c r="B4" s="366" t="s">
        <v>3</v>
      </c>
      <c r="C4" s="366"/>
      <c r="D4" s="366"/>
      <c r="E4" s="366"/>
      <c r="F4" s="366"/>
      <c r="G4" s="366"/>
      <c r="H4" s="366"/>
      <c r="I4" s="366"/>
      <c r="J4" s="366"/>
    </row>
    <row r="5" spans="1:10" x14ac:dyDescent="0.35">
      <c r="A5" s="2" t="s">
        <v>4</v>
      </c>
      <c r="B5" s="367">
        <v>45407</v>
      </c>
      <c r="C5" s="367"/>
      <c r="D5" s="367"/>
      <c r="E5" s="367"/>
      <c r="F5" s="367"/>
      <c r="G5" s="367"/>
      <c r="H5" s="367"/>
      <c r="I5" s="367"/>
      <c r="J5" s="367"/>
    </row>
    <row r="6" spans="1:10" x14ac:dyDescent="0.35">
      <c r="A6" s="2" t="s">
        <v>5</v>
      </c>
      <c r="B6" s="361">
        <v>1703</v>
      </c>
      <c r="C6" s="361"/>
      <c r="D6" s="362"/>
      <c r="E6" s="362"/>
      <c r="F6" s="362"/>
      <c r="G6" s="362"/>
      <c r="H6" s="362"/>
      <c r="I6" s="362"/>
      <c r="J6" s="362"/>
    </row>
    <row r="7" spans="1:10" x14ac:dyDescent="0.35">
      <c r="A7" s="2" t="s">
        <v>6</v>
      </c>
      <c r="B7" s="362" t="s">
        <v>82</v>
      </c>
      <c r="C7" s="362"/>
      <c r="D7" s="362"/>
      <c r="E7" s="362"/>
      <c r="F7" s="362"/>
      <c r="G7" s="362"/>
      <c r="H7" s="362"/>
      <c r="I7" s="362"/>
      <c r="J7" s="362"/>
    </row>
    <row r="8" spans="1:10" x14ac:dyDescent="0.35">
      <c r="A8" s="2" t="s">
        <v>8</v>
      </c>
      <c r="B8" s="366" t="s">
        <v>83</v>
      </c>
      <c r="C8" s="366"/>
      <c r="D8" s="366"/>
      <c r="E8" s="366"/>
      <c r="F8" s="366"/>
      <c r="G8" s="366"/>
      <c r="H8" s="366"/>
      <c r="I8" s="366"/>
      <c r="J8" s="366"/>
    </row>
    <row r="9" spans="1:10" ht="15" x14ac:dyDescent="0.35">
      <c r="A9" s="2" t="s">
        <v>9</v>
      </c>
      <c r="B9" s="372">
        <f>$H$15</f>
        <v>17547</v>
      </c>
      <c r="C9" s="372"/>
      <c r="D9" s="373"/>
      <c r="E9" s="373"/>
      <c r="F9" s="373"/>
      <c r="G9" s="373"/>
      <c r="H9" s="373"/>
      <c r="I9" s="373"/>
      <c r="J9" s="373"/>
    </row>
    <row r="10" spans="1:10" ht="17.5" x14ac:dyDescent="0.35">
      <c r="A10" s="2"/>
      <c r="B10" s="374" t="s">
        <v>10</v>
      </c>
      <c r="C10" s="374"/>
      <c r="D10" s="374"/>
      <c r="E10" s="374"/>
      <c r="F10" s="374"/>
      <c r="G10" s="374"/>
      <c r="H10" s="374"/>
      <c r="I10" s="374"/>
      <c r="J10" s="374"/>
    </row>
    <row r="11" spans="1:10" ht="37.5" x14ac:dyDescent="0.35">
      <c r="A11" s="4" t="s">
        <v>11</v>
      </c>
      <c r="B11" s="5" t="s">
        <v>12</v>
      </c>
      <c r="C11" s="6" t="s">
        <v>56</v>
      </c>
      <c r="D11" s="6" t="s">
        <v>84</v>
      </c>
      <c r="E11" s="6" t="s">
        <v>0</v>
      </c>
      <c r="F11" s="6" t="s">
        <v>14</v>
      </c>
      <c r="G11" s="4" t="s">
        <v>15</v>
      </c>
      <c r="H11" s="5" t="s">
        <v>29</v>
      </c>
      <c r="I11" s="4" t="s">
        <v>31</v>
      </c>
      <c r="J11" s="4" t="s">
        <v>30</v>
      </c>
    </row>
    <row r="12" spans="1:10" ht="15" x14ac:dyDescent="0.35">
      <c r="A12" s="25">
        <v>1</v>
      </c>
      <c r="B12" s="38">
        <v>45379</v>
      </c>
      <c r="C12" s="31">
        <v>1659</v>
      </c>
      <c r="D12" s="29" t="s">
        <v>91</v>
      </c>
      <c r="E12" s="10" t="s">
        <v>47</v>
      </c>
      <c r="F12" s="10">
        <v>45346</v>
      </c>
      <c r="G12" s="11">
        <v>5713</v>
      </c>
      <c r="H12" s="30">
        <f>G12</f>
        <v>5713</v>
      </c>
      <c r="I12" s="38" t="s">
        <v>32</v>
      </c>
      <c r="J12" s="43" t="s">
        <v>43</v>
      </c>
    </row>
    <row r="13" spans="1:10" ht="15" x14ac:dyDescent="0.35">
      <c r="A13" s="25">
        <v>2</v>
      </c>
      <c r="B13" s="38">
        <v>45379</v>
      </c>
      <c r="C13" s="31">
        <v>1661</v>
      </c>
      <c r="D13" s="29" t="s">
        <v>109</v>
      </c>
      <c r="E13" s="10" t="s">
        <v>47</v>
      </c>
      <c r="F13" s="10">
        <v>45346</v>
      </c>
      <c r="G13" s="11">
        <v>4761</v>
      </c>
      <c r="H13" s="30">
        <f t="shared" ref="H13:H14" si="0">G13</f>
        <v>4761</v>
      </c>
      <c r="I13" s="38" t="s">
        <v>32</v>
      </c>
      <c r="J13" s="43"/>
    </row>
    <row r="14" spans="1:10" ht="15" x14ac:dyDescent="0.35">
      <c r="A14" s="25">
        <v>3</v>
      </c>
      <c r="B14" s="38">
        <v>45379</v>
      </c>
      <c r="C14" s="31">
        <v>1662</v>
      </c>
      <c r="D14" s="29" t="s">
        <v>110</v>
      </c>
      <c r="E14" s="10" t="s">
        <v>47</v>
      </c>
      <c r="F14" s="10">
        <v>45346</v>
      </c>
      <c r="G14" s="11">
        <v>7073</v>
      </c>
      <c r="H14" s="30">
        <f t="shared" si="0"/>
        <v>7073</v>
      </c>
      <c r="I14" s="38" t="s">
        <v>32</v>
      </c>
      <c r="J14" s="43"/>
    </row>
    <row r="15" spans="1:10" ht="15" x14ac:dyDescent="0.35">
      <c r="A15" s="40"/>
      <c r="B15" s="49"/>
      <c r="C15" s="49"/>
      <c r="D15" s="49"/>
      <c r="E15" s="68"/>
      <c r="F15" s="68"/>
      <c r="G15" s="68"/>
      <c r="H15" s="47">
        <f>SUM(H12:H14)</f>
        <v>17547</v>
      </c>
      <c r="I15" s="411"/>
      <c r="J15" s="412"/>
    </row>
    <row r="16" spans="1:10" x14ac:dyDescent="0.35">
      <c r="A16" s="25"/>
      <c r="B16" s="368" t="s">
        <v>114</v>
      </c>
      <c r="C16" s="368"/>
      <c r="D16" s="368"/>
      <c r="E16" s="368"/>
      <c r="F16" s="368"/>
      <c r="G16" s="368"/>
      <c r="H16" s="368"/>
      <c r="I16" s="368"/>
      <c r="J16" s="368"/>
    </row>
    <row r="17" spans="1:10" x14ac:dyDescent="0.35">
      <c r="A17" s="48"/>
      <c r="B17" s="1"/>
      <c r="C17" s="1"/>
      <c r="D17" s="1"/>
      <c r="E17" s="1"/>
      <c r="F17" s="1"/>
      <c r="G17" s="1"/>
      <c r="H17" s="1"/>
      <c r="I17" s="1"/>
      <c r="J17" s="1"/>
    </row>
    <row r="18" spans="1:10" x14ac:dyDescent="0.35">
      <c r="A18" s="48"/>
      <c r="B18" s="1"/>
      <c r="C18" s="1"/>
      <c r="D18" s="1"/>
      <c r="E18" s="1"/>
      <c r="F18" s="1"/>
      <c r="G18" s="1"/>
      <c r="H18" s="1"/>
      <c r="I18" s="1"/>
      <c r="J18" s="1"/>
    </row>
    <row r="19" spans="1:10" x14ac:dyDescent="0.35">
      <c r="A19" s="1"/>
      <c r="B19" s="1"/>
      <c r="C19" s="1"/>
      <c r="D19" s="1"/>
      <c r="E19" s="1"/>
      <c r="F19" s="1"/>
      <c r="G19" s="1"/>
      <c r="H19" s="1"/>
      <c r="I19" s="1"/>
      <c r="J19" s="1"/>
    </row>
    <row r="20" spans="1:10" x14ac:dyDescent="0.35">
      <c r="A20" s="48"/>
      <c r="B20" s="1"/>
      <c r="C20" s="1"/>
      <c r="D20" s="1"/>
      <c r="E20" s="1"/>
      <c r="F20" s="1"/>
      <c r="G20" s="20"/>
      <c r="H20" s="1"/>
      <c r="I20" s="1"/>
      <c r="J20" s="1"/>
    </row>
    <row r="21" spans="1:10" x14ac:dyDescent="0.35">
      <c r="A21" s="48"/>
      <c r="B21" s="1"/>
      <c r="C21" s="1"/>
      <c r="D21" s="1"/>
      <c r="E21" s="1"/>
      <c r="F21" s="1"/>
      <c r="G21" s="1"/>
      <c r="H21" s="1"/>
      <c r="I21" s="1"/>
      <c r="J21" s="1"/>
    </row>
    <row r="22" spans="1:10" x14ac:dyDescent="0.35">
      <c r="A22" s="51"/>
      <c r="B22" s="1"/>
      <c r="C22" s="1"/>
      <c r="D22" s="1"/>
      <c r="E22" s="1"/>
      <c r="F22" s="1"/>
      <c r="G22" s="1"/>
      <c r="H22" s="1"/>
      <c r="I22" s="1"/>
      <c r="J22" s="1"/>
    </row>
    <row r="23" spans="1:10" x14ac:dyDescent="0.35">
      <c r="A23" s="14"/>
      <c r="B23" s="24"/>
      <c r="C23" s="24"/>
      <c r="D23" s="1"/>
      <c r="E23" s="24" t="s">
        <v>34</v>
      </c>
      <c r="F23" s="24"/>
      <c r="H23" s="20"/>
      <c r="I23" s="20"/>
      <c r="J23" s="21"/>
    </row>
    <row r="24" spans="1:10" x14ac:dyDescent="0.35">
      <c r="A24" s="44" t="s">
        <v>19</v>
      </c>
      <c r="B24" s="27"/>
      <c r="C24" s="27"/>
      <c r="D24" s="21" t="s">
        <v>36</v>
      </c>
      <c r="E24" s="21" t="s">
        <v>20</v>
      </c>
      <c r="F24" s="21"/>
      <c r="G24" s="46" t="s">
        <v>21</v>
      </c>
      <c r="H24" s="21"/>
      <c r="I24" s="410" t="s">
        <v>22</v>
      </c>
      <c r="J24" s="410"/>
    </row>
    <row r="25" spans="1:10" x14ac:dyDescent="0.35">
      <c r="A25" s="14" t="s">
        <v>82</v>
      </c>
      <c r="B25" s="28"/>
      <c r="C25" s="28"/>
      <c r="D25" s="22" t="s">
        <v>93</v>
      </c>
      <c r="E25" s="22" t="s">
        <v>23</v>
      </c>
      <c r="F25" s="22"/>
      <c r="G25" s="22" t="s">
        <v>24</v>
      </c>
      <c r="H25" s="22"/>
      <c r="I25" s="389" t="s">
        <v>25</v>
      </c>
      <c r="J25" s="389"/>
    </row>
    <row r="26" spans="1:10" x14ac:dyDescent="0.35">
      <c r="A26" s="15" t="s">
        <v>85</v>
      </c>
      <c r="B26" s="26"/>
      <c r="C26" s="26"/>
      <c r="D26" s="23" t="s">
        <v>41</v>
      </c>
      <c r="E26" s="23" t="s">
        <v>41</v>
      </c>
      <c r="F26" s="23"/>
      <c r="G26" s="23" t="s">
        <v>39</v>
      </c>
      <c r="H26" s="23"/>
      <c r="I26" s="390" t="s">
        <v>26</v>
      </c>
      <c r="J26" s="390"/>
    </row>
    <row r="27" spans="1:10" x14ac:dyDescent="0.35">
      <c r="A27" s="15" t="s">
        <v>27</v>
      </c>
      <c r="B27" s="26"/>
      <c r="C27" s="26"/>
      <c r="D27" s="23" t="s">
        <v>40</v>
      </c>
      <c r="E27" s="23" t="s">
        <v>27</v>
      </c>
      <c r="F27" s="23"/>
      <c r="G27" s="23" t="s">
        <v>27</v>
      </c>
      <c r="H27" s="23"/>
      <c r="I27" s="1"/>
      <c r="J27" s="23"/>
    </row>
    <row r="28" spans="1:10" x14ac:dyDescent="0.35">
      <c r="A28" s="1"/>
    </row>
    <row r="33" spans="1:5" ht="14.5" customHeight="1" x14ac:dyDescent="0.35">
      <c r="A33" s="413" t="s">
        <v>115</v>
      </c>
      <c r="B33" s="413"/>
      <c r="C33" s="413"/>
      <c r="D33" s="413"/>
      <c r="E33" s="413"/>
    </row>
    <row r="34" spans="1:5" x14ac:dyDescent="0.35">
      <c r="A34" s="413"/>
      <c r="B34" s="413"/>
      <c r="C34" s="413"/>
      <c r="D34" s="413"/>
      <c r="E34" s="413"/>
    </row>
    <row r="35" spans="1:5" x14ac:dyDescent="0.35">
      <c r="A35" s="413"/>
      <c r="B35" s="413"/>
      <c r="C35" s="413"/>
      <c r="D35" s="413"/>
      <c r="E35" s="413"/>
    </row>
    <row r="36" spans="1:5" x14ac:dyDescent="0.35">
      <c r="A36" s="413"/>
      <c r="B36" s="413"/>
      <c r="C36" s="413"/>
      <c r="D36" s="413"/>
      <c r="E36" s="413"/>
    </row>
    <row r="37" spans="1:5" x14ac:dyDescent="0.35">
      <c r="A37" s="413"/>
      <c r="B37" s="413"/>
      <c r="C37" s="413"/>
      <c r="D37" s="413"/>
      <c r="E37" s="413"/>
    </row>
  </sheetData>
  <mergeCells count="16">
    <mergeCell ref="I24:J24"/>
    <mergeCell ref="I25:J25"/>
    <mergeCell ref="I26:J26"/>
    <mergeCell ref="A33:E37"/>
    <mergeCell ref="B7:J7"/>
    <mergeCell ref="B8:J8"/>
    <mergeCell ref="B9:J9"/>
    <mergeCell ref="B10:J10"/>
    <mergeCell ref="I15:J15"/>
    <mergeCell ref="B16:J16"/>
    <mergeCell ref="B6:J6"/>
    <mergeCell ref="A1:J1"/>
    <mergeCell ref="B2:J2"/>
    <mergeCell ref="B3:J3"/>
    <mergeCell ref="B4:J4"/>
    <mergeCell ref="B5:J5"/>
  </mergeCells>
  <pageMargins left="0.25" right="0.25" top="0.75" bottom="0.75" header="0.3" footer="0.3"/>
  <pageSetup scale="79"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7927-C4E4-454A-B613-7D73C72EDCD7}">
  <dimension ref="A1:J37"/>
  <sheetViews>
    <sheetView workbookViewId="0">
      <selection activeCell="B10" sqref="B10:J10"/>
    </sheetView>
  </sheetViews>
  <sheetFormatPr defaultRowHeight="14.5" x14ac:dyDescent="0.35"/>
  <cols>
    <col min="1" max="1" width="13.54296875" customWidth="1"/>
    <col min="2" max="2" width="11" bestFit="1" customWidth="1"/>
    <col min="4" max="4" width="24.08984375" customWidth="1"/>
    <col min="5" max="5" width="25.81640625" customWidth="1"/>
    <col min="6" max="6" width="9.36328125" bestFit="1" customWidth="1"/>
    <col min="7" max="7" width="25.54296875" customWidth="1"/>
    <col min="8" max="8" width="12.36328125" customWidth="1"/>
    <col min="9" max="9" width="24.6328125" bestFit="1" customWidth="1"/>
    <col min="10" max="10" width="13.36328125" bestFit="1" customWidth="1"/>
  </cols>
  <sheetData>
    <row r="1" spans="1:10" ht="20" x14ac:dyDescent="0.35">
      <c r="A1" s="363" t="s">
        <v>42</v>
      </c>
      <c r="B1" s="363"/>
      <c r="C1" s="363"/>
      <c r="D1" s="363"/>
      <c r="E1" s="363"/>
      <c r="F1" s="363"/>
      <c r="G1" s="363"/>
      <c r="H1" s="363"/>
      <c r="I1" s="363"/>
      <c r="J1" s="363"/>
    </row>
    <row r="2" spans="1:10" ht="20" x14ac:dyDescent="0.35">
      <c r="A2" s="2" t="s">
        <v>0</v>
      </c>
      <c r="B2" s="364" t="s">
        <v>46</v>
      </c>
      <c r="C2" s="364"/>
      <c r="D2" s="364"/>
      <c r="E2" s="364"/>
      <c r="F2" s="364"/>
      <c r="G2" s="364"/>
      <c r="H2" s="364"/>
      <c r="I2" s="364"/>
      <c r="J2" s="364"/>
    </row>
    <row r="3" spans="1:10" x14ac:dyDescent="0.35">
      <c r="A3" s="2" t="s">
        <v>1</v>
      </c>
      <c r="B3" s="365" t="s">
        <v>113</v>
      </c>
      <c r="C3" s="365"/>
      <c r="D3" s="365"/>
      <c r="E3" s="365"/>
      <c r="F3" s="365"/>
      <c r="G3" s="365"/>
      <c r="H3" s="365"/>
      <c r="I3" s="365"/>
      <c r="J3" s="365"/>
    </row>
    <row r="4" spans="1:10" x14ac:dyDescent="0.35">
      <c r="A4" s="2" t="s">
        <v>2</v>
      </c>
      <c r="B4" s="366" t="s">
        <v>3</v>
      </c>
      <c r="C4" s="366"/>
      <c r="D4" s="366"/>
      <c r="E4" s="366"/>
      <c r="F4" s="366"/>
      <c r="G4" s="366"/>
      <c r="H4" s="366"/>
      <c r="I4" s="366"/>
      <c r="J4" s="366"/>
    </row>
    <row r="5" spans="1:10" x14ac:dyDescent="0.35">
      <c r="A5" s="2" t="s">
        <v>4</v>
      </c>
      <c r="B5" s="367">
        <v>45407</v>
      </c>
      <c r="C5" s="367"/>
      <c r="D5" s="367"/>
      <c r="E5" s="367"/>
      <c r="F5" s="367"/>
      <c r="G5" s="367"/>
      <c r="H5" s="367"/>
      <c r="I5" s="367"/>
      <c r="J5" s="367"/>
    </row>
    <row r="6" spans="1:10" x14ac:dyDescent="0.35">
      <c r="A6" s="2" t="s">
        <v>5</v>
      </c>
      <c r="B6" s="361">
        <v>1703</v>
      </c>
      <c r="C6" s="361"/>
      <c r="D6" s="362"/>
      <c r="E6" s="362"/>
      <c r="F6" s="362"/>
      <c r="G6" s="362"/>
      <c r="H6" s="362"/>
      <c r="I6" s="362"/>
      <c r="J6" s="362"/>
    </row>
    <row r="7" spans="1:10" x14ac:dyDescent="0.35">
      <c r="A7" s="2" t="s">
        <v>6</v>
      </c>
      <c r="B7" s="362" t="s">
        <v>82</v>
      </c>
      <c r="C7" s="362"/>
      <c r="D7" s="362"/>
      <c r="E7" s="362"/>
      <c r="F7" s="362"/>
      <c r="G7" s="362"/>
      <c r="H7" s="362"/>
      <c r="I7" s="362"/>
      <c r="J7" s="362"/>
    </row>
    <row r="8" spans="1:10" x14ac:dyDescent="0.35">
      <c r="A8" s="2" t="s">
        <v>8</v>
      </c>
      <c r="B8" s="366" t="s">
        <v>83</v>
      </c>
      <c r="C8" s="366"/>
      <c r="D8" s="366"/>
      <c r="E8" s="366"/>
      <c r="F8" s="366"/>
      <c r="G8" s="366"/>
      <c r="H8" s="366"/>
      <c r="I8" s="366"/>
      <c r="J8" s="366"/>
    </row>
    <row r="9" spans="1:10" ht="15" x14ac:dyDescent="0.35">
      <c r="A9" s="2" t="s">
        <v>9</v>
      </c>
      <c r="B9" s="372">
        <f>$H$15</f>
        <v>17547</v>
      </c>
      <c r="C9" s="372"/>
      <c r="D9" s="373"/>
      <c r="E9" s="373"/>
      <c r="F9" s="373"/>
      <c r="G9" s="373"/>
      <c r="H9" s="373"/>
      <c r="I9" s="373"/>
      <c r="J9" s="373"/>
    </row>
    <row r="10" spans="1:10" ht="17.5" x14ac:dyDescent="0.35">
      <c r="A10" s="2"/>
      <c r="B10" s="374" t="s">
        <v>10</v>
      </c>
      <c r="C10" s="374"/>
      <c r="D10" s="374"/>
      <c r="E10" s="374"/>
      <c r="F10" s="374"/>
      <c r="G10" s="374"/>
      <c r="H10" s="374"/>
      <c r="I10" s="374"/>
      <c r="J10" s="374"/>
    </row>
    <row r="11" spans="1:10" ht="37.5" x14ac:dyDescent="0.35">
      <c r="A11" s="4" t="s">
        <v>11</v>
      </c>
      <c r="B11" s="5" t="s">
        <v>12</v>
      </c>
      <c r="C11" s="6" t="s">
        <v>56</v>
      </c>
      <c r="D11" s="6" t="s">
        <v>84</v>
      </c>
      <c r="E11" s="6" t="s">
        <v>0</v>
      </c>
      <c r="F11" s="6" t="s">
        <v>14</v>
      </c>
      <c r="G11" s="4" t="s">
        <v>15</v>
      </c>
      <c r="H11" s="5" t="s">
        <v>29</v>
      </c>
      <c r="I11" s="4" t="s">
        <v>31</v>
      </c>
      <c r="J11" s="4" t="s">
        <v>30</v>
      </c>
    </row>
    <row r="12" spans="1:10" ht="15" x14ac:dyDescent="0.35">
      <c r="A12" s="25">
        <v>1</v>
      </c>
      <c r="B12" s="38">
        <v>45379</v>
      </c>
      <c r="C12" s="31">
        <v>1659</v>
      </c>
      <c r="D12" s="29" t="s">
        <v>91</v>
      </c>
      <c r="E12" s="10" t="s">
        <v>47</v>
      </c>
      <c r="F12" s="10">
        <v>45346</v>
      </c>
      <c r="G12" s="11">
        <v>5713</v>
      </c>
      <c r="H12" s="30">
        <f>G12</f>
        <v>5713</v>
      </c>
      <c r="I12" s="38" t="s">
        <v>32</v>
      </c>
      <c r="J12" s="43" t="s">
        <v>43</v>
      </c>
    </row>
    <row r="13" spans="1:10" ht="15" x14ac:dyDescent="0.35">
      <c r="A13" s="25">
        <v>2</v>
      </c>
      <c r="B13" s="38">
        <v>45379</v>
      </c>
      <c r="C13" s="31">
        <v>1661</v>
      </c>
      <c r="D13" s="29" t="s">
        <v>109</v>
      </c>
      <c r="E13" s="10" t="s">
        <v>47</v>
      </c>
      <c r="F13" s="10">
        <v>45346</v>
      </c>
      <c r="G13" s="11">
        <v>4761</v>
      </c>
      <c r="H13" s="30">
        <f t="shared" ref="H13:H14" si="0">G13</f>
        <v>4761</v>
      </c>
      <c r="I13" s="38" t="s">
        <v>32</v>
      </c>
      <c r="J13" s="43"/>
    </row>
    <row r="14" spans="1:10" ht="15" x14ac:dyDescent="0.35">
      <c r="A14" s="25">
        <v>3</v>
      </c>
      <c r="B14" s="38">
        <v>45379</v>
      </c>
      <c r="C14" s="31">
        <v>1662</v>
      </c>
      <c r="D14" s="29" t="s">
        <v>110</v>
      </c>
      <c r="E14" s="10" t="s">
        <v>47</v>
      </c>
      <c r="F14" s="10">
        <v>45346</v>
      </c>
      <c r="G14" s="11">
        <v>7073</v>
      </c>
      <c r="H14" s="30">
        <f t="shared" si="0"/>
        <v>7073</v>
      </c>
      <c r="I14" s="38" t="s">
        <v>32</v>
      </c>
      <c r="J14" s="43"/>
    </row>
    <row r="15" spans="1:10" ht="15" x14ac:dyDescent="0.35">
      <c r="A15" s="40"/>
      <c r="B15" s="49"/>
      <c r="C15" s="49"/>
      <c r="D15" s="49"/>
      <c r="E15" s="68"/>
      <c r="F15" s="68"/>
      <c r="G15" s="68"/>
      <c r="H15" s="47">
        <f>SUM(H12:H14)</f>
        <v>17547</v>
      </c>
      <c r="I15" s="411"/>
      <c r="J15" s="412"/>
    </row>
    <row r="16" spans="1:10" x14ac:dyDescent="0.35">
      <c r="A16" s="25"/>
      <c r="B16" s="368" t="s">
        <v>114</v>
      </c>
      <c r="C16" s="368"/>
      <c r="D16" s="368"/>
      <c r="E16" s="368"/>
      <c r="F16" s="368"/>
      <c r="G16" s="368"/>
      <c r="H16" s="368"/>
      <c r="I16" s="368"/>
      <c r="J16" s="368"/>
    </row>
    <row r="17" spans="1:10" x14ac:dyDescent="0.35">
      <c r="A17" s="48"/>
      <c r="B17" s="1"/>
      <c r="C17" s="1"/>
      <c r="D17" s="1"/>
      <c r="E17" s="1"/>
      <c r="F17" s="1"/>
      <c r="G17" s="1"/>
      <c r="H17" s="1"/>
      <c r="I17" s="1"/>
      <c r="J17" s="1"/>
    </row>
    <row r="18" spans="1:10" x14ac:dyDescent="0.35">
      <c r="A18" s="48"/>
      <c r="B18" s="1"/>
      <c r="C18" s="1"/>
      <c r="D18" s="1"/>
      <c r="E18" s="1"/>
      <c r="F18" s="1"/>
      <c r="G18" s="1"/>
      <c r="H18" s="1"/>
      <c r="I18" s="1"/>
      <c r="J18" s="1"/>
    </row>
    <row r="19" spans="1:10" x14ac:dyDescent="0.35">
      <c r="A19" s="1"/>
      <c r="B19" s="1"/>
      <c r="C19" s="1"/>
      <c r="D19" s="1"/>
      <c r="E19" s="1"/>
      <c r="F19" s="1"/>
      <c r="G19" s="1"/>
      <c r="H19" s="1"/>
      <c r="I19" s="1"/>
      <c r="J19" s="1"/>
    </row>
    <row r="20" spans="1:10" x14ac:dyDescent="0.35">
      <c r="A20" s="48"/>
      <c r="B20" s="1"/>
      <c r="C20" s="1"/>
      <c r="D20" s="1"/>
      <c r="E20" s="1"/>
      <c r="F20" s="1"/>
      <c r="G20" s="20"/>
      <c r="H20" s="1"/>
      <c r="I20" s="1"/>
      <c r="J20" s="1"/>
    </row>
    <row r="21" spans="1:10" x14ac:dyDescent="0.35">
      <c r="A21" s="48"/>
      <c r="B21" s="1"/>
      <c r="C21" s="1"/>
      <c r="D21" s="1"/>
      <c r="E21" s="1"/>
      <c r="F21" s="1"/>
      <c r="G21" s="1"/>
      <c r="H21" s="1"/>
      <c r="I21" s="1"/>
      <c r="J21" s="1"/>
    </row>
    <row r="22" spans="1:10" x14ac:dyDescent="0.35">
      <c r="A22" s="51"/>
      <c r="B22" s="1"/>
      <c r="C22" s="1"/>
      <c r="D22" s="1"/>
      <c r="E22" s="1"/>
      <c r="F22" s="1"/>
      <c r="G22" s="1"/>
      <c r="H22" s="1"/>
      <c r="I22" s="1"/>
      <c r="J22" s="1"/>
    </row>
    <row r="23" spans="1:10" x14ac:dyDescent="0.35">
      <c r="A23" s="14"/>
      <c r="B23" s="24"/>
      <c r="C23" s="24"/>
      <c r="D23" s="1"/>
      <c r="E23" s="24" t="s">
        <v>34</v>
      </c>
      <c r="F23" s="24"/>
      <c r="H23" s="20"/>
      <c r="I23" s="20"/>
      <c r="J23" s="21"/>
    </row>
    <row r="24" spans="1:10" x14ac:dyDescent="0.35">
      <c r="A24" s="44" t="s">
        <v>19</v>
      </c>
      <c r="B24" s="27"/>
      <c r="C24" s="27"/>
      <c r="D24" s="21" t="s">
        <v>36</v>
      </c>
      <c r="E24" s="21" t="s">
        <v>20</v>
      </c>
      <c r="F24" s="21"/>
      <c r="G24" s="46" t="s">
        <v>21</v>
      </c>
      <c r="H24" s="21"/>
      <c r="I24" s="410" t="s">
        <v>22</v>
      </c>
      <c r="J24" s="410"/>
    </row>
    <row r="25" spans="1:10" x14ac:dyDescent="0.35">
      <c r="A25" s="14" t="s">
        <v>82</v>
      </c>
      <c r="B25" s="28"/>
      <c r="C25" s="28"/>
      <c r="D25" s="22" t="s">
        <v>93</v>
      </c>
      <c r="E25" s="22" t="s">
        <v>23</v>
      </c>
      <c r="F25" s="22"/>
      <c r="G25" s="22" t="s">
        <v>24</v>
      </c>
      <c r="H25" s="22"/>
      <c r="I25" s="389" t="s">
        <v>25</v>
      </c>
      <c r="J25" s="389"/>
    </row>
    <row r="26" spans="1:10" x14ac:dyDescent="0.35">
      <c r="A26" s="15" t="s">
        <v>85</v>
      </c>
      <c r="B26" s="26"/>
      <c r="C26" s="26"/>
      <c r="D26" s="23" t="s">
        <v>41</v>
      </c>
      <c r="E26" s="23" t="s">
        <v>41</v>
      </c>
      <c r="F26" s="23"/>
      <c r="G26" s="23" t="s">
        <v>39</v>
      </c>
      <c r="H26" s="23"/>
      <c r="I26" s="390" t="s">
        <v>26</v>
      </c>
      <c r="J26" s="390"/>
    </row>
    <row r="27" spans="1:10" x14ac:dyDescent="0.35">
      <c r="A27" s="15" t="s">
        <v>27</v>
      </c>
      <c r="B27" s="26"/>
      <c r="C27" s="26"/>
      <c r="D27" s="23" t="s">
        <v>40</v>
      </c>
      <c r="E27" s="23" t="s">
        <v>27</v>
      </c>
      <c r="F27" s="23"/>
      <c r="G27" s="23" t="s">
        <v>27</v>
      </c>
      <c r="H27" s="23"/>
      <c r="I27" s="1"/>
      <c r="J27" s="23"/>
    </row>
    <row r="28" spans="1:10" x14ac:dyDescent="0.35">
      <c r="A28" s="1"/>
    </row>
    <row r="33" spans="1:5" x14ac:dyDescent="0.35">
      <c r="A33" s="413" t="s">
        <v>115</v>
      </c>
      <c r="B33" s="413"/>
      <c r="C33" s="413"/>
      <c r="D33" s="413"/>
      <c r="E33" s="413"/>
    </row>
    <row r="34" spans="1:5" x14ac:dyDescent="0.35">
      <c r="A34" s="413"/>
      <c r="B34" s="413"/>
      <c r="C34" s="413"/>
      <c r="D34" s="413"/>
      <c r="E34" s="413"/>
    </row>
    <row r="35" spans="1:5" x14ac:dyDescent="0.35">
      <c r="A35" s="413"/>
      <c r="B35" s="413"/>
      <c r="C35" s="413"/>
      <c r="D35" s="413"/>
      <c r="E35" s="413"/>
    </row>
    <row r="36" spans="1:5" x14ac:dyDescent="0.35">
      <c r="A36" s="413"/>
      <c r="B36" s="413"/>
      <c r="C36" s="413"/>
      <c r="D36" s="413"/>
      <c r="E36" s="413"/>
    </row>
    <row r="37" spans="1:5" x14ac:dyDescent="0.35">
      <c r="A37" s="413"/>
      <c r="B37" s="413"/>
      <c r="C37" s="413"/>
      <c r="D37" s="413"/>
      <c r="E37" s="413"/>
    </row>
  </sheetData>
  <mergeCells count="16">
    <mergeCell ref="I24:J24"/>
    <mergeCell ref="I25:J25"/>
    <mergeCell ref="I26:J26"/>
    <mergeCell ref="A33:E37"/>
    <mergeCell ref="B7:J7"/>
    <mergeCell ref="B8:J8"/>
    <mergeCell ref="B9:J9"/>
    <mergeCell ref="B10:J10"/>
    <mergeCell ref="I15:J15"/>
    <mergeCell ref="B16:J16"/>
    <mergeCell ref="B6:J6"/>
    <mergeCell ref="A1:J1"/>
    <mergeCell ref="B2:J2"/>
    <mergeCell ref="B3:J3"/>
    <mergeCell ref="B4:J4"/>
    <mergeCell ref="B5:J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2401-004A-4670-9FFD-CFABF18891E5}">
  <sheetPr>
    <pageSetUpPr fitToPage="1"/>
  </sheetPr>
  <dimension ref="A1:K33"/>
  <sheetViews>
    <sheetView topLeftCell="A10" workbookViewId="0">
      <selection activeCell="C17" sqref="C17:F20"/>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126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45566</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$H$21</f>
        <v>206490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45565</v>
      </c>
      <c r="C12" s="31">
        <v>1666</v>
      </c>
      <c r="D12" s="29" t="s">
        <v>104</v>
      </c>
      <c r="E12" s="10" t="s">
        <v>47</v>
      </c>
      <c r="F12" s="10">
        <v>45467</v>
      </c>
      <c r="G12" s="11">
        <v>36095</v>
      </c>
      <c r="H12" s="30">
        <f>G12</f>
        <v>36095</v>
      </c>
      <c r="I12" s="57">
        <v>45570</v>
      </c>
      <c r="J12" s="35" t="s">
        <v>32</v>
      </c>
      <c r="K12" s="36" t="s">
        <v>43</v>
      </c>
    </row>
    <row r="13" spans="1:11" ht="15" x14ac:dyDescent="0.35">
      <c r="A13" s="25">
        <v>2</v>
      </c>
      <c r="B13" s="38">
        <v>45565</v>
      </c>
      <c r="C13" s="31">
        <v>1660</v>
      </c>
      <c r="D13" s="29" t="s">
        <v>86</v>
      </c>
      <c r="E13" s="10" t="s">
        <v>47</v>
      </c>
      <c r="F13" s="10">
        <v>45528</v>
      </c>
      <c r="G13" s="11">
        <v>47005</v>
      </c>
      <c r="H13" s="30">
        <f t="shared" ref="H13:H20" si="0">G13</f>
        <v>47005</v>
      </c>
      <c r="I13" s="57">
        <v>45579</v>
      </c>
      <c r="J13" s="35" t="s">
        <v>32</v>
      </c>
      <c r="K13" s="36" t="s">
        <v>43</v>
      </c>
    </row>
    <row r="14" spans="1:11" ht="15" x14ac:dyDescent="0.35">
      <c r="A14" s="25">
        <v>3</v>
      </c>
      <c r="B14" s="38">
        <v>45565</v>
      </c>
      <c r="C14" s="32">
        <v>1658</v>
      </c>
      <c r="D14" s="60" t="s">
        <v>88</v>
      </c>
      <c r="E14" s="37" t="s">
        <v>47</v>
      </c>
      <c r="F14" s="10">
        <v>45528</v>
      </c>
      <c r="G14" s="41">
        <v>3194</v>
      </c>
      <c r="H14" s="30">
        <f t="shared" si="0"/>
        <v>3194</v>
      </c>
      <c r="I14" s="57">
        <v>45579</v>
      </c>
      <c r="J14" s="35" t="s">
        <v>32</v>
      </c>
      <c r="K14" s="36" t="s">
        <v>43</v>
      </c>
    </row>
    <row r="15" spans="1:11" ht="15" x14ac:dyDescent="0.35">
      <c r="A15" s="25">
        <v>4</v>
      </c>
      <c r="B15" s="38">
        <v>45565</v>
      </c>
      <c r="C15" s="31">
        <v>1661</v>
      </c>
      <c r="D15" s="29" t="s">
        <v>109</v>
      </c>
      <c r="E15" s="37" t="s">
        <v>47</v>
      </c>
      <c r="F15" s="10">
        <v>45528</v>
      </c>
      <c r="G15" s="11">
        <v>24104</v>
      </c>
      <c r="H15" s="30">
        <f t="shared" si="0"/>
        <v>24104</v>
      </c>
      <c r="I15" s="57">
        <v>45575</v>
      </c>
      <c r="J15" s="35" t="s">
        <v>32</v>
      </c>
      <c r="K15" s="36" t="s">
        <v>43</v>
      </c>
    </row>
    <row r="16" spans="1:11" ht="15" x14ac:dyDescent="0.35">
      <c r="A16" s="25">
        <v>5</v>
      </c>
      <c r="B16" s="38">
        <v>45565</v>
      </c>
      <c r="C16" s="31">
        <v>1662</v>
      </c>
      <c r="D16" s="29" t="s">
        <v>116</v>
      </c>
      <c r="E16" s="37" t="s">
        <v>47</v>
      </c>
      <c r="F16" s="10">
        <v>45528</v>
      </c>
      <c r="G16" s="11">
        <v>22614</v>
      </c>
      <c r="H16" s="30">
        <f t="shared" si="0"/>
        <v>22614</v>
      </c>
      <c r="I16" s="57">
        <v>45575</v>
      </c>
      <c r="J16" s="35" t="s">
        <v>32</v>
      </c>
      <c r="K16" s="36" t="s">
        <v>43</v>
      </c>
    </row>
    <row r="17" spans="1:11" ht="15" x14ac:dyDescent="0.35">
      <c r="A17" s="25">
        <v>6</v>
      </c>
      <c r="B17" s="38">
        <v>45565</v>
      </c>
      <c r="C17" s="31">
        <v>1656</v>
      </c>
      <c r="D17" s="29" t="s">
        <v>87</v>
      </c>
      <c r="E17" s="10" t="s">
        <v>47</v>
      </c>
      <c r="F17" s="10">
        <v>45528</v>
      </c>
      <c r="G17" s="11">
        <v>2653</v>
      </c>
      <c r="H17" s="30">
        <f t="shared" si="0"/>
        <v>2653</v>
      </c>
      <c r="I17" s="57">
        <v>45579</v>
      </c>
      <c r="J17" s="35" t="s">
        <v>32</v>
      </c>
      <c r="K17" s="36" t="s">
        <v>43</v>
      </c>
    </row>
    <row r="18" spans="1:11" ht="15" x14ac:dyDescent="0.35">
      <c r="A18" s="25">
        <v>7</v>
      </c>
      <c r="B18" s="38">
        <v>45565</v>
      </c>
      <c r="C18" s="31">
        <v>1657</v>
      </c>
      <c r="D18" s="29" t="s">
        <v>89</v>
      </c>
      <c r="E18" s="10" t="s">
        <v>47</v>
      </c>
      <c r="F18" s="10">
        <v>45528</v>
      </c>
      <c r="G18" s="11">
        <v>14081</v>
      </c>
      <c r="H18" s="30">
        <f t="shared" si="0"/>
        <v>14081</v>
      </c>
      <c r="I18" s="57">
        <v>45579</v>
      </c>
      <c r="J18" s="35" t="s">
        <v>32</v>
      </c>
      <c r="K18" s="36" t="s">
        <v>43</v>
      </c>
    </row>
    <row r="19" spans="1:11" ht="15" x14ac:dyDescent="0.35">
      <c r="A19" s="25">
        <v>8</v>
      </c>
      <c r="B19" s="38">
        <v>45565</v>
      </c>
      <c r="C19" s="31">
        <v>1670</v>
      </c>
      <c r="D19" s="29" t="s">
        <v>90</v>
      </c>
      <c r="E19" s="10" t="s">
        <v>47</v>
      </c>
      <c r="F19" s="10">
        <v>45528</v>
      </c>
      <c r="G19" s="11">
        <v>45434</v>
      </c>
      <c r="H19" s="30">
        <f t="shared" si="0"/>
        <v>45434</v>
      </c>
      <c r="I19" s="57">
        <v>45579</v>
      </c>
      <c r="J19" s="35" t="s">
        <v>32</v>
      </c>
      <c r="K19" s="36" t="s">
        <v>43</v>
      </c>
    </row>
    <row r="20" spans="1:11" ht="15" x14ac:dyDescent="0.35">
      <c r="A20" s="40">
        <v>9</v>
      </c>
      <c r="B20" s="38">
        <v>45565</v>
      </c>
      <c r="C20" s="31">
        <v>1659</v>
      </c>
      <c r="D20" s="29" t="s">
        <v>91</v>
      </c>
      <c r="E20" s="10" t="s">
        <v>47</v>
      </c>
      <c r="F20" s="10">
        <v>45375</v>
      </c>
      <c r="G20" s="11">
        <v>11310</v>
      </c>
      <c r="H20" s="30">
        <f t="shared" si="0"/>
        <v>11310</v>
      </c>
      <c r="I20" s="58">
        <v>45575</v>
      </c>
      <c r="J20" s="38" t="s">
        <v>32</v>
      </c>
      <c r="K20" s="43" t="s">
        <v>43</v>
      </c>
    </row>
    <row r="21" spans="1:11" ht="15" x14ac:dyDescent="0.35">
      <c r="A21" s="69"/>
      <c r="B21" s="49"/>
      <c r="C21" s="49"/>
      <c r="D21" s="49"/>
      <c r="E21" s="49"/>
      <c r="F21" s="49"/>
      <c r="G21" s="50"/>
      <c r="H21" s="47">
        <f>SUM(H12:H20)</f>
        <v>206490</v>
      </c>
      <c r="I21" s="56"/>
      <c r="J21" s="411"/>
      <c r="K21" s="412"/>
    </row>
    <row r="22" spans="1:11" x14ac:dyDescent="0.35">
      <c r="A22" s="25"/>
      <c r="B22" s="368" t="s">
        <v>127</v>
      </c>
      <c r="C22" s="368"/>
      <c r="D22" s="368"/>
      <c r="E22" s="368"/>
      <c r="F22" s="368"/>
      <c r="G22" s="368"/>
      <c r="H22" s="368"/>
      <c r="I22" s="368"/>
      <c r="J22" s="368"/>
      <c r="K22" s="368"/>
    </row>
    <row r="23" spans="1:11" x14ac:dyDescent="0.35">
      <c r="A23" s="48"/>
      <c r="B23" s="1"/>
      <c r="C23" s="1"/>
      <c r="D23" s="1"/>
      <c r="E23" s="1"/>
      <c r="F23" s="1"/>
      <c r="G23" s="1"/>
      <c r="H23" s="1"/>
      <c r="I23" s="1"/>
      <c r="J23" s="1"/>
      <c r="K23" s="1"/>
    </row>
    <row r="24" spans="1:11" x14ac:dyDescent="0.35">
      <c r="A24" s="48"/>
      <c r="B24" s="1"/>
      <c r="C24" s="1"/>
      <c r="D24" s="1"/>
      <c r="E24" s="1"/>
      <c r="F24" s="1"/>
      <c r="G24" s="1"/>
      <c r="H24" s="1"/>
      <c r="I24" s="1"/>
      <c r="J24" s="1"/>
      <c r="K24" s="1"/>
    </row>
    <row r="25" spans="1:11" x14ac:dyDescent="0.35">
      <c r="A25" s="1"/>
      <c r="B25" s="1"/>
      <c r="C25" s="1"/>
      <c r="D25" s="1"/>
      <c r="E25" s="1"/>
      <c r="F25" s="1"/>
      <c r="G25" s="1"/>
      <c r="H25" s="1"/>
      <c r="I25" s="1"/>
      <c r="J25" s="1"/>
      <c r="K25" s="1"/>
    </row>
    <row r="26" spans="1:11" x14ac:dyDescent="0.35">
      <c r="A26" s="48"/>
      <c r="B26" s="1"/>
      <c r="C26" s="1"/>
      <c r="D26" s="1"/>
      <c r="E26" s="1"/>
      <c r="F26" s="1"/>
      <c r="G26" s="20"/>
      <c r="H26" s="1"/>
      <c r="I26" s="1"/>
      <c r="J26" s="1"/>
      <c r="K26" s="1"/>
    </row>
    <row r="27" spans="1:11" x14ac:dyDescent="0.35">
      <c r="A27" s="48"/>
      <c r="B27" s="1"/>
      <c r="C27" s="1"/>
      <c r="D27" s="1"/>
      <c r="E27" s="1"/>
      <c r="F27" s="1"/>
      <c r="G27" s="1"/>
      <c r="H27" s="1"/>
      <c r="I27" s="1"/>
      <c r="J27" s="1"/>
      <c r="K27" s="1"/>
    </row>
    <row r="28" spans="1:11" x14ac:dyDescent="0.35">
      <c r="A28" s="51"/>
      <c r="B28" s="1"/>
      <c r="C28" s="1"/>
      <c r="D28" s="1"/>
      <c r="E28" s="1"/>
      <c r="F28" s="1"/>
      <c r="G28" s="1"/>
      <c r="H28" s="1"/>
      <c r="I28" s="1"/>
      <c r="J28" s="1"/>
      <c r="K28" s="1"/>
    </row>
    <row r="29" spans="1:11" x14ac:dyDescent="0.35">
      <c r="A29" s="14"/>
      <c r="B29" s="24"/>
      <c r="C29" s="24"/>
      <c r="D29" s="1"/>
      <c r="E29" s="24" t="s">
        <v>34</v>
      </c>
      <c r="F29" s="24"/>
      <c r="H29" s="20"/>
      <c r="I29" s="20"/>
      <c r="J29" s="20"/>
      <c r="K29" s="21"/>
    </row>
    <row r="30" spans="1:11" x14ac:dyDescent="0.35">
      <c r="A30" s="54" t="s">
        <v>19</v>
      </c>
      <c r="B30" s="27"/>
      <c r="C30" s="27"/>
      <c r="D30" s="21" t="s">
        <v>36</v>
      </c>
      <c r="E30" s="21" t="s">
        <v>20</v>
      </c>
      <c r="F30" s="21"/>
      <c r="G30" s="46" t="s">
        <v>21</v>
      </c>
      <c r="H30" s="21"/>
      <c r="I30" s="21"/>
      <c r="J30" s="410" t="s">
        <v>22</v>
      </c>
      <c r="K30" s="410"/>
    </row>
    <row r="31" spans="1:11" x14ac:dyDescent="0.35">
      <c r="A31" s="22" t="s">
        <v>82</v>
      </c>
      <c r="B31" s="28"/>
      <c r="C31" s="28"/>
      <c r="D31" s="28" t="s">
        <v>6</v>
      </c>
      <c r="E31" s="22" t="s">
        <v>23</v>
      </c>
      <c r="F31" s="22"/>
      <c r="G31" s="22" t="s">
        <v>24</v>
      </c>
      <c r="H31" s="22"/>
      <c r="I31" s="22"/>
      <c r="J31" s="389" t="s">
        <v>25</v>
      </c>
      <c r="K31" s="389"/>
    </row>
    <row r="32" spans="1:11" x14ac:dyDescent="0.35">
      <c r="A32" s="23" t="s">
        <v>85</v>
      </c>
      <c r="B32" s="26"/>
      <c r="C32" s="26"/>
      <c r="D32" s="26" t="s">
        <v>128</v>
      </c>
      <c r="E32" s="23" t="s">
        <v>41</v>
      </c>
      <c r="F32" s="23"/>
      <c r="G32" s="23" t="s">
        <v>39</v>
      </c>
      <c r="H32" s="23"/>
      <c r="I32" s="23"/>
      <c r="J32" s="390" t="s">
        <v>26</v>
      </c>
      <c r="K32" s="390"/>
    </row>
    <row r="33" spans="1:11" x14ac:dyDescent="0.35">
      <c r="A33" s="23" t="s">
        <v>27</v>
      </c>
      <c r="B33" s="26"/>
      <c r="C33" s="26"/>
      <c r="D33" s="23" t="s">
        <v>40</v>
      </c>
      <c r="E33" s="23" t="s">
        <v>27</v>
      </c>
      <c r="F33" s="23"/>
      <c r="G33" s="23" t="s">
        <v>27</v>
      </c>
      <c r="H33" s="23"/>
      <c r="I33" s="23"/>
      <c r="J33" s="1"/>
      <c r="K33" s="23"/>
    </row>
  </sheetData>
  <mergeCells count="15">
    <mergeCell ref="J30:K30"/>
    <mergeCell ref="J31:K31"/>
    <mergeCell ref="J32:K32"/>
    <mergeCell ref="B7:K7"/>
    <mergeCell ref="B8:K8"/>
    <mergeCell ref="B9:K9"/>
    <mergeCell ref="B10:K10"/>
    <mergeCell ref="J21:K21"/>
    <mergeCell ref="B22:K22"/>
    <mergeCell ref="B6:K6"/>
    <mergeCell ref="A1:K1"/>
    <mergeCell ref="B2:K2"/>
    <mergeCell ref="B3:K3"/>
    <mergeCell ref="B4:K4"/>
    <mergeCell ref="B5:K5"/>
  </mergeCells>
  <pageMargins left="0.25" right="0.25" top="0.75" bottom="0.75" header="0.3" footer="0.3"/>
  <pageSetup scale="78" fitToHeight="0"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A807-6A89-4A02-827D-B9ED48950E8F}">
  <sheetPr>
    <pageSetUpPr fitToPage="1"/>
  </sheetPr>
  <dimension ref="A1:K33"/>
  <sheetViews>
    <sheetView topLeftCell="A7" workbookViewId="0">
      <selection sqref="A1:K33"/>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126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45594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$H$21</f>
        <v>211937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45594</v>
      </c>
      <c r="C12" s="31">
        <v>1666</v>
      </c>
      <c r="D12" s="29" t="s">
        <v>104</v>
      </c>
      <c r="E12" s="10" t="s">
        <v>47</v>
      </c>
      <c r="F12" s="10">
        <v>45497</v>
      </c>
      <c r="G12" s="11">
        <v>39075</v>
      </c>
      <c r="H12" s="30">
        <f>G12</f>
        <v>39075</v>
      </c>
      <c r="I12" s="57">
        <v>45602</v>
      </c>
      <c r="J12" s="35" t="s">
        <v>32</v>
      </c>
      <c r="K12" s="36" t="s">
        <v>43</v>
      </c>
    </row>
    <row r="13" spans="1:11" ht="15" x14ac:dyDescent="0.35">
      <c r="A13" s="25">
        <v>2</v>
      </c>
      <c r="B13" s="38">
        <v>45594</v>
      </c>
      <c r="C13" s="31">
        <v>1660</v>
      </c>
      <c r="D13" s="29" t="s">
        <v>86</v>
      </c>
      <c r="E13" s="10" t="s">
        <v>47</v>
      </c>
      <c r="F13" s="10">
        <v>45559</v>
      </c>
      <c r="G13" s="11">
        <v>64679</v>
      </c>
      <c r="H13" s="30">
        <f t="shared" ref="H13:H20" si="0">G13</f>
        <v>64679</v>
      </c>
      <c r="I13" s="57">
        <v>45605</v>
      </c>
      <c r="J13" s="35" t="s">
        <v>32</v>
      </c>
      <c r="K13" s="36" t="s">
        <v>43</v>
      </c>
    </row>
    <row r="14" spans="1:11" ht="15" x14ac:dyDescent="0.35">
      <c r="A14" s="25">
        <v>3</v>
      </c>
      <c r="B14" s="38">
        <v>45594</v>
      </c>
      <c r="C14" s="32">
        <v>1658</v>
      </c>
      <c r="D14" s="60" t="s">
        <v>88</v>
      </c>
      <c r="E14" s="37" t="s">
        <v>47</v>
      </c>
      <c r="F14" s="10">
        <v>45559</v>
      </c>
      <c r="G14" s="41">
        <v>3194</v>
      </c>
      <c r="H14" s="30">
        <v>4066</v>
      </c>
      <c r="I14" s="57">
        <v>45605</v>
      </c>
      <c r="J14" s="35" t="s">
        <v>32</v>
      </c>
      <c r="K14" s="36" t="s">
        <v>43</v>
      </c>
    </row>
    <row r="15" spans="1:11" ht="15" x14ac:dyDescent="0.35">
      <c r="A15" s="25">
        <v>4</v>
      </c>
      <c r="B15" s="38">
        <v>45594</v>
      </c>
      <c r="C15" s="31">
        <v>1661</v>
      </c>
      <c r="D15" s="29" t="s">
        <v>109</v>
      </c>
      <c r="E15" s="37" t="s">
        <v>47</v>
      </c>
      <c r="F15" s="10">
        <v>45559</v>
      </c>
      <c r="G15" s="11">
        <v>23488</v>
      </c>
      <c r="H15" s="30">
        <v>23488</v>
      </c>
      <c r="I15" s="57">
        <v>45607</v>
      </c>
      <c r="J15" s="35" t="s">
        <v>32</v>
      </c>
      <c r="K15" s="36" t="s">
        <v>43</v>
      </c>
    </row>
    <row r="16" spans="1:11" ht="15" x14ac:dyDescent="0.35">
      <c r="A16" s="25">
        <v>5</v>
      </c>
      <c r="B16" s="38">
        <v>45594</v>
      </c>
      <c r="C16" s="31">
        <v>1662</v>
      </c>
      <c r="D16" s="29" t="s">
        <v>116</v>
      </c>
      <c r="E16" s="10" t="s">
        <v>47</v>
      </c>
      <c r="F16" s="10">
        <v>45559</v>
      </c>
      <c r="G16" s="11">
        <v>13099</v>
      </c>
      <c r="H16" s="30">
        <f t="shared" si="0"/>
        <v>13099</v>
      </c>
      <c r="I16" s="58">
        <v>45607</v>
      </c>
      <c r="J16" s="38" t="s">
        <v>32</v>
      </c>
      <c r="K16" s="43" t="s">
        <v>43</v>
      </c>
    </row>
    <row r="17" spans="1:11" ht="15" x14ac:dyDescent="0.35">
      <c r="A17" s="25">
        <v>6</v>
      </c>
      <c r="B17" s="38">
        <v>45594</v>
      </c>
      <c r="C17" s="31">
        <v>1656</v>
      </c>
      <c r="D17" s="29" t="s">
        <v>87</v>
      </c>
      <c r="E17" s="10" t="s">
        <v>47</v>
      </c>
      <c r="F17" s="10">
        <v>45559</v>
      </c>
      <c r="G17" s="64">
        <v>2653</v>
      </c>
      <c r="H17" s="30">
        <f t="shared" si="0"/>
        <v>2653</v>
      </c>
      <c r="I17" s="72">
        <v>45610</v>
      </c>
      <c r="J17" s="38" t="s">
        <v>32</v>
      </c>
      <c r="K17" s="43" t="s">
        <v>43</v>
      </c>
    </row>
    <row r="18" spans="1:11" ht="15" x14ac:dyDescent="0.35">
      <c r="A18" s="25">
        <v>7</v>
      </c>
      <c r="B18" s="38">
        <v>45594</v>
      </c>
      <c r="C18" s="31">
        <v>1657</v>
      </c>
      <c r="D18" s="29" t="s">
        <v>89</v>
      </c>
      <c r="E18" s="10" t="s">
        <v>47</v>
      </c>
      <c r="F18" s="10">
        <v>45559</v>
      </c>
      <c r="G18" s="64">
        <v>10644</v>
      </c>
      <c r="H18" s="30">
        <f t="shared" si="0"/>
        <v>10644</v>
      </c>
      <c r="I18" s="72">
        <v>45610</v>
      </c>
      <c r="J18" s="38" t="s">
        <v>32</v>
      </c>
      <c r="K18" s="43" t="s">
        <v>43</v>
      </c>
    </row>
    <row r="19" spans="1:11" ht="15" x14ac:dyDescent="0.35">
      <c r="A19" s="25">
        <v>8</v>
      </c>
      <c r="B19" s="38">
        <v>45594</v>
      </c>
      <c r="C19" s="31">
        <v>1670</v>
      </c>
      <c r="D19" s="29" t="s">
        <v>90</v>
      </c>
      <c r="E19" s="10" t="s">
        <v>47</v>
      </c>
      <c r="F19" s="10">
        <v>45559</v>
      </c>
      <c r="G19" s="64">
        <v>43341</v>
      </c>
      <c r="H19" s="30">
        <f t="shared" si="0"/>
        <v>43341</v>
      </c>
      <c r="I19" s="72">
        <v>45610</v>
      </c>
      <c r="J19" s="38" t="s">
        <v>32</v>
      </c>
      <c r="K19" s="43" t="s">
        <v>43</v>
      </c>
    </row>
    <row r="20" spans="1:11" ht="15" x14ac:dyDescent="0.35">
      <c r="A20" s="40">
        <v>9</v>
      </c>
      <c r="B20" s="38">
        <v>45594</v>
      </c>
      <c r="C20" s="31">
        <v>1659</v>
      </c>
      <c r="D20" s="29" t="s">
        <v>91</v>
      </c>
      <c r="E20" s="10" t="s">
        <v>47</v>
      </c>
      <c r="F20" s="10">
        <v>45559</v>
      </c>
      <c r="G20" s="64">
        <v>10892</v>
      </c>
      <c r="H20" s="30">
        <f t="shared" si="0"/>
        <v>10892</v>
      </c>
      <c r="I20" s="58">
        <v>45607</v>
      </c>
      <c r="J20" s="38" t="s">
        <v>32</v>
      </c>
      <c r="K20" s="43" t="s">
        <v>43</v>
      </c>
    </row>
    <row r="21" spans="1:11" ht="15" x14ac:dyDescent="0.35">
      <c r="A21" s="69"/>
      <c r="B21" s="49"/>
      <c r="C21" s="49"/>
      <c r="D21" s="49"/>
      <c r="E21" s="49"/>
      <c r="F21" s="49"/>
      <c r="G21" s="50"/>
      <c r="H21" s="47">
        <f>SUM(H12:H20)</f>
        <v>211937</v>
      </c>
      <c r="I21" s="56"/>
      <c r="J21" s="411"/>
      <c r="K21" s="412"/>
    </row>
    <row r="22" spans="1:11" x14ac:dyDescent="0.35">
      <c r="A22" s="25"/>
      <c r="B22" s="368" t="s">
        <v>129</v>
      </c>
      <c r="C22" s="368"/>
      <c r="D22" s="368"/>
      <c r="E22" s="368"/>
      <c r="F22" s="368"/>
      <c r="G22" s="368"/>
      <c r="H22" s="368"/>
      <c r="I22" s="368"/>
      <c r="J22" s="368"/>
      <c r="K22" s="368"/>
    </row>
    <row r="23" spans="1:11" x14ac:dyDescent="0.35">
      <c r="A23" s="48"/>
      <c r="B23" s="1"/>
      <c r="C23" s="1"/>
      <c r="D23" s="1"/>
      <c r="E23" s="1"/>
      <c r="F23" s="1"/>
      <c r="G23" s="1"/>
      <c r="H23" s="1"/>
      <c r="I23" s="1"/>
      <c r="J23" s="1"/>
      <c r="K23" s="1"/>
    </row>
    <row r="24" spans="1:11" x14ac:dyDescent="0.35">
      <c r="A24" s="48"/>
      <c r="B24" s="1"/>
      <c r="C24" s="1"/>
      <c r="D24" s="1"/>
      <c r="E24" s="1"/>
      <c r="F24" s="1"/>
      <c r="G24" s="1"/>
      <c r="H24" s="1"/>
      <c r="I24" s="1"/>
      <c r="J24" s="1"/>
      <c r="K24" s="1"/>
    </row>
    <row r="25" spans="1:11" x14ac:dyDescent="0.35">
      <c r="A25" s="1"/>
      <c r="B25" s="1"/>
      <c r="C25" s="1"/>
      <c r="D25" s="1"/>
      <c r="E25" s="1"/>
      <c r="F25" s="1"/>
      <c r="G25" s="1"/>
      <c r="H25" s="1"/>
      <c r="I25" s="1"/>
      <c r="J25" s="1"/>
      <c r="K25" s="1"/>
    </row>
    <row r="26" spans="1:11" x14ac:dyDescent="0.35">
      <c r="A26" s="48"/>
      <c r="B26" s="1"/>
      <c r="C26" s="1"/>
      <c r="D26" s="1"/>
      <c r="E26" s="1"/>
      <c r="F26" s="1"/>
      <c r="G26" s="20"/>
      <c r="H26" s="1"/>
      <c r="I26" s="1"/>
      <c r="J26" s="1"/>
      <c r="K26" s="1"/>
    </row>
    <row r="27" spans="1:11" x14ac:dyDescent="0.35">
      <c r="A27" s="48"/>
      <c r="B27" s="1"/>
      <c r="C27" s="1"/>
      <c r="D27" s="1"/>
      <c r="E27" s="1"/>
      <c r="F27" s="1"/>
      <c r="G27" s="1"/>
      <c r="H27" s="1"/>
      <c r="I27" s="1"/>
      <c r="J27" s="1"/>
      <c r="K27" s="1"/>
    </row>
    <row r="28" spans="1:11" x14ac:dyDescent="0.35">
      <c r="A28" s="51"/>
      <c r="B28" s="1"/>
      <c r="C28" s="1"/>
      <c r="D28" s="1"/>
      <c r="E28" s="1"/>
      <c r="F28" s="1"/>
      <c r="G28" s="1"/>
      <c r="H28" s="1"/>
      <c r="I28" s="1"/>
      <c r="J28" s="1"/>
      <c r="K28" s="1"/>
    </row>
    <row r="29" spans="1:11" x14ac:dyDescent="0.35">
      <c r="A29" s="14"/>
      <c r="B29" s="24"/>
      <c r="C29" s="24"/>
      <c r="D29" s="1"/>
      <c r="E29" s="24" t="s">
        <v>34</v>
      </c>
      <c r="F29" s="24"/>
      <c r="H29" s="20"/>
      <c r="I29" s="20"/>
      <c r="J29" s="20"/>
      <c r="K29" s="21"/>
    </row>
    <row r="30" spans="1:11" x14ac:dyDescent="0.35">
      <c r="A30" s="54" t="s">
        <v>19</v>
      </c>
      <c r="B30" s="27"/>
      <c r="C30" s="27"/>
      <c r="D30" s="21" t="s">
        <v>36</v>
      </c>
      <c r="E30" s="21" t="s">
        <v>20</v>
      </c>
      <c r="F30" s="21"/>
      <c r="G30" s="46" t="s">
        <v>21</v>
      </c>
      <c r="H30" s="21"/>
      <c r="I30" s="21"/>
      <c r="J30" s="410" t="s">
        <v>22</v>
      </c>
      <c r="K30" s="410"/>
    </row>
    <row r="31" spans="1:11" x14ac:dyDescent="0.35">
      <c r="A31" s="22" t="s">
        <v>82</v>
      </c>
      <c r="B31" s="28"/>
      <c r="C31" s="28"/>
      <c r="D31" s="28" t="s">
        <v>6</v>
      </c>
      <c r="E31" s="22" t="s">
        <v>23</v>
      </c>
      <c r="F31" s="22"/>
      <c r="G31" s="22" t="s">
        <v>24</v>
      </c>
      <c r="H31" s="22"/>
      <c r="I31" s="22"/>
      <c r="J31" s="389" t="s">
        <v>25</v>
      </c>
      <c r="K31" s="389"/>
    </row>
    <row r="32" spans="1:11" x14ac:dyDescent="0.35">
      <c r="A32" s="23" t="s">
        <v>85</v>
      </c>
      <c r="B32" s="26"/>
      <c r="C32" s="26"/>
      <c r="D32" s="26" t="s">
        <v>128</v>
      </c>
      <c r="E32" s="23" t="s">
        <v>41</v>
      </c>
      <c r="F32" s="23"/>
      <c r="G32" s="23" t="s">
        <v>39</v>
      </c>
      <c r="H32" s="23"/>
      <c r="I32" s="23"/>
      <c r="J32" s="390" t="s">
        <v>26</v>
      </c>
      <c r="K32" s="390"/>
    </row>
    <row r="33" spans="1:11" x14ac:dyDescent="0.35">
      <c r="A33" s="23" t="s">
        <v>27</v>
      </c>
      <c r="B33" s="26"/>
      <c r="C33" s="26"/>
      <c r="D33" s="23" t="s">
        <v>40</v>
      </c>
      <c r="E33" s="23" t="s">
        <v>27</v>
      </c>
      <c r="F33" s="23"/>
      <c r="G33" s="23" t="s">
        <v>27</v>
      </c>
      <c r="H33" s="23"/>
      <c r="I33" s="23"/>
      <c r="J33" s="1"/>
      <c r="K33" s="23"/>
    </row>
  </sheetData>
  <mergeCells count="15">
    <mergeCell ref="B6:K6"/>
    <mergeCell ref="A1:K1"/>
    <mergeCell ref="B2:K2"/>
    <mergeCell ref="B3:K3"/>
    <mergeCell ref="B4:K4"/>
    <mergeCell ref="B5:K5"/>
    <mergeCell ref="J30:K30"/>
    <mergeCell ref="J31:K31"/>
    <mergeCell ref="J32:K32"/>
    <mergeCell ref="B7:K7"/>
    <mergeCell ref="B8:K8"/>
    <mergeCell ref="B9:K9"/>
    <mergeCell ref="B10:K10"/>
    <mergeCell ref="J21:K21"/>
    <mergeCell ref="B22:K22"/>
  </mergeCells>
  <pageMargins left="0.25" right="0.25" top="0.75" bottom="0.75" header="0.3" footer="0.3"/>
  <pageSetup scale="78"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1F7D-3B62-4428-B5CD-8AE53AD001DC}">
  <sheetPr>
    <pageSetUpPr fitToPage="1"/>
  </sheetPr>
  <dimension ref="A1:K27"/>
  <sheetViews>
    <sheetView topLeftCell="A7" workbookViewId="0">
      <selection sqref="A1:K29"/>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6"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126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45594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53697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45622</v>
      </c>
      <c r="C12" s="31">
        <v>1661</v>
      </c>
      <c r="D12" s="29" t="s">
        <v>109</v>
      </c>
      <c r="E12" s="37" t="s">
        <v>47</v>
      </c>
      <c r="F12" s="10">
        <v>45589</v>
      </c>
      <c r="G12" s="11">
        <v>25117</v>
      </c>
      <c r="H12" s="30">
        <v>25117</v>
      </c>
      <c r="I12" s="57">
        <v>45637</v>
      </c>
      <c r="J12" s="35" t="s">
        <v>32</v>
      </c>
      <c r="K12" s="36" t="s">
        <v>43</v>
      </c>
    </row>
    <row r="13" spans="1:11" ht="15" x14ac:dyDescent="0.35">
      <c r="A13" s="25">
        <v>2</v>
      </c>
      <c r="B13" s="38">
        <v>45622</v>
      </c>
      <c r="C13" s="31">
        <v>1662</v>
      </c>
      <c r="D13" s="29" t="s">
        <v>116</v>
      </c>
      <c r="E13" s="10" t="s">
        <v>47</v>
      </c>
      <c r="F13" s="10">
        <v>45590</v>
      </c>
      <c r="G13" s="11">
        <v>18879</v>
      </c>
      <c r="H13" s="30">
        <f t="shared" ref="H13:H14" si="0">G13</f>
        <v>18879</v>
      </c>
      <c r="I13" s="57">
        <v>45637</v>
      </c>
      <c r="J13" s="38" t="s">
        <v>32</v>
      </c>
      <c r="K13" s="43" t="s">
        <v>43</v>
      </c>
    </row>
    <row r="14" spans="1:11" ht="15" x14ac:dyDescent="0.35">
      <c r="A14" s="25">
        <v>3</v>
      </c>
      <c r="B14" s="38">
        <v>45622</v>
      </c>
      <c r="C14" s="31">
        <v>1659</v>
      </c>
      <c r="D14" s="29" t="s">
        <v>91</v>
      </c>
      <c r="E14" s="10" t="s">
        <v>47</v>
      </c>
      <c r="F14" s="10">
        <v>45591</v>
      </c>
      <c r="G14" s="64">
        <v>9701</v>
      </c>
      <c r="H14" s="30">
        <f t="shared" si="0"/>
        <v>9701</v>
      </c>
      <c r="I14" s="58">
        <v>45637</v>
      </c>
      <c r="J14" s="38" t="s">
        <v>32</v>
      </c>
      <c r="K14" s="43" t="s">
        <v>43</v>
      </c>
    </row>
    <row r="15" spans="1:11" ht="15" x14ac:dyDescent="0.35">
      <c r="A15" s="69"/>
      <c r="B15" s="49"/>
      <c r="C15" s="49"/>
      <c r="D15" s="49"/>
      <c r="E15" s="49"/>
      <c r="F15" s="49"/>
      <c r="G15" s="50"/>
      <c r="H15" s="47">
        <f>SUM(H12:H14)</f>
        <v>53697</v>
      </c>
      <c r="I15" s="56"/>
      <c r="J15" s="411"/>
      <c r="K15" s="412"/>
    </row>
    <row r="16" spans="1:11" x14ac:dyDescent="0.35">
      <c r="A16" s="25"/>
      <c r="B16" s="368" t="s">
        <v>132</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D24" s="21" t="s">
        <v>36</v>
      </c>
      <c r="E24" s="21" t="s">
        <v>20</v>
      </c>
      <c r="F24" s="21"/>
      <c r="G24" s="46" t="s">
        <v>21</v>
      </c>
      <c r="H24" s="21"/>
      <c r="I24" s="21"/>
      <c r="J24" s="410" t="s">
        <v>22</v>
      </c>
      <c r="K24" s="410"/>
    </row>
    <row r="25" spans="1:11" x14ac:dyDescent="0.35">
      <c r="A25" s="22" t="s">
        <v>82</v>
      </c>
      <c r="B25" s="28"/>
      <c r="C25" s="28"/>
      <c r="D25" s="28" t="s">
        <v>6</v>
      </c>
      <c r="E25" s="22" t="s">
        <v>23</v>
      </c>
      <c r="F25" s="22"/>
      <c r="G25" s="22" t="s">
        <v>24</v>
      </c>
      <c r="H25" s="22"/>
      <c r="I25" s="22"/>
      <c r="J25" s="389" t="s">
        <v>25</v>
      </c>
      <c r="K25" s="389"/>
    </row>
    <row r="26" spans="1:11" x14ac:dyDescent="0.35">
      <c r="A26" s="23" t="s">
        <v>85</v>
      </c>
      <c r="B26" s="26"/>
      <c r="C26" s="26"/>
      <c r="D26" s="26" t="s">
        <v>128</v>
      </c>
      <c r="E26" s="23" t="s">
        <v>41</v>
      </c>
      <c r="F26" s="23"/>
      <c r="G26" s="23" t="s">
        <v>39</v>
      </c>
      <c r="H26" s="23"/>
      <c r="I26" s="23"/>
      <c r="J26" s="390" t="s">
        <v>26</v>
      </c>
      <c r="K26" s="390"/>
    </row>
    <row r="27" spans="1:11" x14ac:dyDescent="0.35">
      <c r="A27" s="23" t="s">
        <v>27</v>
      </c>
      <c r="B27" s="26"/>
      <c r="C27" s="26"/>
      <c r="D27" s="23" t="s">
        <v>40</v>
      </c>
      <c r="E27" s="23" t="s">
        <v>27</v>
      </c>
      <c r="F27" s="23"/>
      <c r="G27" s="23" t="s">
        <v>27</v>
      </c>
      <c r="H27" s="23"/>
      <c r="I27" s="23"/>
      <c r="J27" s="1"/>
      <c r="K27" s="23"/>
    </row>
  </sheetData>
  <mergeCells count="15">
    <mergeCell ref="J24:K24"/>
    <mergeCell ref="J25:K25"/>
    <mergeCell ref="J26:K26"/>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8220-9BDD-48C8-BD2B-84B408547A72}">
  <sheetPr>
    <pageSetUpPr fitToPage="1"/>
  </sheetPr>
  <dimension ref="A1:K36"/>
  <sheetViews>
    <sheetView topLeftCell="A2" workbookViewId="0">
      <selection sqref="A1:K36"/>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45685</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36890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45685</v>
      </c>
      <c r="C12" s="31">
        <v>1661</v>
      </c>
      <c r="D12" s="29" t="s">
        <v>109</v>
      </c>
      <c r="E12" s="37" t="s">
        <v>47</v>
      </c>
      <c r="F12" s="10">
        <v>45650</v>
      </c>
      <c r="G12" s="11">
        <v>15760</v>
      </c>
      <c r="H12" s="30">
        <f>G12</f>
        <v>15760</v>
      </c>
      <c r="I12" s="57">
        <v>45695</v>
      </c>
      <c r="J12" s="35" t="s">
        <v>32</v>
      </c>
      <c r="K12" s="36" t="s">
        <v>43</v>
      </c>
    </row>
    <row r="13" spans="1:11" ht="15" x14ac:dyDescent="0.35">
      <c r="A13" s="25">
        <v>2</v>
      </c>
      <c r="B13" s="38">
        <v>45685</v>
      </c>
      <c r="C13" s="31">
        <v>1662</v>
      </c>
      <c r="D13" s="29" t="s">
        <v>116</v>
      </c>
      <c r="E13" s="10" t="s">
        <v>47</v>
      </c>
      <c r="F13" s="10">
        <v>45650</v>
      </c>
      <c r="G13" s="11">
        <v>15224</v>
      </c>
      <c r="H13" s="30">
        <v>15224</v>
      </c>
      <c r="I13" s="57">
        <v>45637</v>
      </c>
      <c r="J13" s="38" t="s">
        <v>32</v>
      </c>
      <c r="K13" s="43" t="s">
        <v>43</v>
      </c>
    </row>
    <row r="14" spans="1:11" ht="15" x14ac:dyDescent="0.35">
      <c r="A14" s="40">
        <v>3</v>
      </c>
      <c r="B14" s="38">
        <v>45685</v>
      </c>
      <c r="C14" s="31">
        <v>1659</v>
      </c>
      <c r="D14" s="29" t="s">
        <v>91</v>
      </c>
      <c r="E14" s="10" t="s">
        <v>47</v>
      </c>
      <c r="F14" s="10">
        <v>45650</v>
      </c>
      <c r="G14" s="64">
        <v>5906</v>
      </c>
      <c r="H14" s="30">
        <f t="shared" ref="H14" si="0">G14</f>
        <v>5906</v>
      </c>
      <c r="I14" s="58">
        <v>45637</v>
      </c>
      <c r="J14" s="38" t="s">
        <v>32</v>
      </c>
      <c r="K14" s="43" t="s">
        <v>43</v>
      </c>
    </row>
    <row r="15" spans="1:11" ht="15" x14ac:dyDescent="0.35">
      <c r="A15" s="69"/>
      <c r="B15" s="49"/>
      <c r="C15" s="49"/>
      <c r="D15" s="49"/>
      <c r="E15" s="49"/>
      <c r="F15" s="49"/>
      <c r="G15" s="50"/>
      <c r="H15" s="47">
        <f>SUM(H12:H14)</f>
        <v>36890</v>
      </c>
      <c r="I15" s="56"/>
      <c r="J15" s="411"/>
      <c r="K15" s="412"/>
    </row>
    <row r="16" spans="1:11" x14ac:dyDescent="0.35">
      <c r="A16" s="25"/>
      <c r="B16" s="368" t="s">
        <v>142</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E24" s="21" t="s">
        <v>20</v>
      </c>
      <c r="F24" s="21"/>
      <c r="G24" s="46" t="s">
        <v>21</v>
      </c>
      <c r="H24" s="21"/>
      <c r="I24" s="21"/>
      <c r="J24" s="410" t="s">
        <v>22</v>
      </c>
      <c r="K24" s="410"/>
    </row>
    <row r="25" spans="1:11" x14ac:dyDescent="0.35">
      <c r="A25" s="22" t="s">
        <v>82</v>
      </c>
      <c r="B25" s="28"/>
      <c r="C25" s="28"/>
      <c r="E25" s="22" t="s">
        <v>23</v>
      </c>
      <c r="F25" s="22"/>
      <c r="G25" s="22" t="s">
        <v>24</v>
      </c>
      <c r="H25" s="22"/>
      <c r="I25" s="22"/>
      <c r="J25" s="389" t="s">
        <v>25</v>
      </c>
      <c r="K25" s="389"/>
    </row>
    <row r="26" spans="1:11" x14ac:dyDescent="0.35">
      <c r="A26" s="23" t="s">
        <v>85</v>
      </c>
      <c r="B26" s="26"/>
      <c r="C26" s="26"/>
      <c r="E26" s="23" t="s">
        <v>41</v>
      </c>
      <c r="F26" s="23"/>
      <c r="G26" s="23" t="s">
        <v>39</v>
      </c>
      <c r="H26" s="23"/>
      <c r="I26" s="23"/>
      <c r="J26" s="390" t="s">
        <v>26</v>
      </c>
      <c r="K26" s="390"/>
    </row>
    <row r="27" spans="1:11" x14ac:dyDescent="0.35">
      <c r="A27" s="23" t="s">
        <v>27</v>
      </c>
      <c r="B27" s="26"/>
      <c r="C27" s="26"/>
      <c r="E27" s="23" t="s">
        <v>27</v>
      </c>
      <c r="F27" s="23"/>
      <c r="G27" s="23" t="s">
        <v>27</v>
      </c>
      <c r="H27" s="23"/>
      <c r="I27" s="23"/>
      <c r="J27" s="1"/>
      <c r="K27" s="23"/>
    </row>
    <row r="33" spans="1:1" x14ac:dyDescent="0.35">
      <c r="A33" s="21" t="s">
        <v>141</v>
      </c>
    </row>
    <row r="34" spans="1:1" x14ac:dyDescent="0.35">
      <c r="A34" s="28" t="s">
        <v>6</v>
      </c>
    </row>
    <row r="35" spans="1:1" x14ac:dyDescent="0.35">
      <c r="A35" s="26" t="s">
        <v>128</v>
      </c>
    </row>
    <row r="36" spans="1:1" x14ac:dyDescent="0.35">
      <c r="A36" s="23" t="s">
        <v>40</v>
      </c>
    </row>
  </sheetData>
  <mergeCells count="15">
    <mergeCell ref="B6:K6"/>
    <mergeCell ref="A1:K1"/>
    <mergeCell ref="B2:K2"/>
    <mergeCell ref="B3:K3"/>
    <mergeCell ref="B4:K4"/>
    <mergeCell ref="B5:K5"/>
    <mergeCell ref="J24:K24"/>
    <mergeCell ref="J25:K25"/>
    <mergeCell ref="J26:K26"/>
    <mergeCell ref="B7:K7"/>
    <mergeCell ref="B8:K8"/>
    <mergeCell ref="B9:K9"/>
    <mergeCell ref="B10:K10"/>
    <mergeCell ref="J15:K15"/>
    <mergeCell ref="B16:K16"/>
  </mergeCells>
  <pageMargins left="0.25" right="0.25" top="0.75" bottom="0.75" header="0.3" footer="0.3"/>
  <pageSetup paperSize="9" scale="83"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D620-026B-4413-8AB7-8B897BE34122}">
  <sheetPr>
    <pageSetUpPr fitToPage="1"/>
  </sheetPr>
  <dimension ref="A1:K26"/>
  <sheetViews>
    <sheetView topLeftCell="A6" workbookViewId="0">
      <selection sqref="A1:K28"/>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45658</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$H$14</f>
        <v>33567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45658</v>
      </c>
      <c r="C12" s="31">
        <v>1661</v>
      </c>
      <c r="D12" s="29" t="s">
        <v>109</v>
      </c>
      <c r="E12" s="37" t="s">
        <v>47</v>
      </c>
      <c r="F12" s="10">
        <v>45620</v>
      </c>
      <c r="G12" s="11">
        <v>18383</v>
      </c>
      <c r="H12" s="30">
        <v>18383</v>
      </c>
      <c r="I12" s="57">
        <v>45298</v>
      </c>
      <c r="J12" s="35" t="s">
        <v>32</v>
      </c>
      <c r="K12" s="36" t="s">
        <v>43</v>
      </c>
    </row>
    <row r="13" spans="1:11" ht="15" x14ac:dyDescent="0.35">
      <c r="A13" s="25">
        <v>2</v>
      </c>
      <c r="B13" s="38">
        <v>45658</v>
      </c>
      <c r="C13" s="31">
        <v>1662</v>
      </c>
      <c r="D13" s="29" t="s">
        <v>116</v>
      </c>
      <c r="E13" s="10" t="s">
        <v>47</v>
      </c>
      <c r="F13" s="10">
        <v>45620</v>
      </c>
      <c r="G13" s="11">
        <v>15184</v>
      </c>
      <c r="H13" s="30">
        <v>15184</v>
      </c>
      <c r="I13" s="58">
        <v>45298</v>
      </c>
      <c r="J13" s="38" t="s">
        <v>32</v>
      </c>
      <c r="K13" s="43" t="s">
        <v>43</v>
      </c>
    </row>
    <row r="14" spans="1:11" ht="15" x14ac:dyDescent="0.35">
      <c r="A14" s="69"/>
      <c r="B14" s="49"/>
      <c r="C14" s="49"/>
      <c r="D14" s="49"/>
      <c r="E14" s="49"/>
      <c r="F14" s="49"/>
      <c r="G14" s="50"/>
      <c r="H14" s="47">
        <f>SUM(H12:H13)</f>
        <v>33567</v>
      </c>
      <c r="I14" s="56"/>
      <c r="J14" s="411"/>
      <c r="K14" s="412"/>
    </row>
    <row r="15" spans="1:11" x14ac:dyDescent="0.35">
      <c r="A15" s="25"/>
      <c r="B15" s="368" t="s">
        <v>137</v>
      </c>
      <c r="C15" s="368"/>
      <c r="D15" s="368"/>
      <c r="E15" s="368"/>
      <c r="F15" s="368"/>
      <c r="G15" s="368"/>
      <c r="H15" s="368"/>
      <c r="I15" s="368"/>
      <c r="J15" s="368"/>
      <c r="K15" s="368"/>
    </row>
    <row r="16" spans="1:11" x14ac:dyDescent="0.35">
      <c r="A16" s="48"/>
      <c r="B16" s="1"/>
      <c r="C16" s="1"/>
      <c r="D16" s="1"/>
      <c r="E16" s="1"/>
      <c r="F16" s="1"/>
      <c r="G16" s="1"/>
      <c r="H16" s="1"/>
      <c r="I16" s="1"/>
      <c r="J16" s="1"/>
      <c r="K16" s="1"/>
    </row>
    <row r="17" spans="1:11" x14ac:dyDescent="0.35">
      <c r="A17" s="48"/>
      <c r="B17" s="1"/>
      <c r="C17" s="1"/>
      <c r="D17" s="1"/>
      <c r="E17" s="1"/>
      <c r="F17" s="1"/>
      <c r="G17" s="1"/>
      <c r="H17" s="1"/>
      <c r="I17" s="1"/>
      <c r="J17" s="1"/>
      <c r="K17" s="1"/>
    </row>
    <row r="18" spans="1:11" x14ac:dyDescent="0.35">
      <c r="A18" s="1"/>
      <c r="B18" s="1"/>
      <c r="C18" s="1"/>
      <c r="D18" s="1"/>
      <c r="E18" s="1"/>
      <c r="F18" s="1"/>
      <c r="G18" s="1"/>
      <c r="H18" s="1"/>
      <c r="I18" s="1"/>
      <c r="J18" s="1"/>
      <c r="K18" s="1"/>
    </row>
    <row r="19" spans="1:11" x14ac:dyDescent="0.35">
      <c r="A19" s="48"/>
      <c r="B19" s="1"/>
      <c r="C19" s="1"/>
      <c r="D19" s="1"/>
      <c r="E19" s="1"/>
      <c r="F19" s="1"/>
      <c r="G19" s="20"/>
      <c r="H19" s="1"/>
      <c r="I19" s="1"/>
      <c r="J19" s="1"/>
      <c r="K19" s="1"/>
    </row>
    <row r="20" spans="1:11" x14ac:dyDescent="0.35">
      <c r="A20" s="48"/>
      <c r="B20" s="1"/>
      <c r="C20" s="1"/>
      <c r="D20" s="1"/>
      <c r="E20" s="1"/>
      <c r="F20" s="1"/>
      <c r="G20" s="1"/>
      <c r="H20" s="1"/>
      <c r="I20" s="1"/>
      <c r="J20" s="1"/>
      <c r="K20" s="1"/>
    </row>
    <row r="21" spans="1:11" x14ac:dyDescent="0.35">
      <c r="A21" s="51"/>
      <c r="B21" s="1"/>
      <c r="C21" s="1"/>
      <c r="D21" s="1"/>
      <c r="E21" s="1"/>
      <c r="F21" s="1"/>
      <c r="G21" s="1"/>
      <c r="H21" s="1"/>
      <c r="I21" s="1"/>
      <c r="J21" s="1"/>
      <c r="K21" s="1"/>
    </row>
    <row r="22" spans="1:11" x14ac:dyDescent="0.35">
      <c r="A22" s="14"/>
      <c r="B22" s="24"/>
      <c r="C22" s="24"/>
      <c r="D22" s="1"/>
      <c r="E22" s="24" t="s">
        <v>34</v>
      </c>
      <c r="F22" s="24"/>
      <c r="H22" s="20"/>
      <c r="I22" s="20"/>
      <c r="J22" s="20"/>
      <c r="K22" s="21"/>
    </row>
    <row r="23" spans="1:11" x14ac:dyDescent="0.35">
      <c r="A23" s="54" t="s">
        <v>19</v>
      </c>
      <c r="B23" s="27"/>
      <c r="C23" s="27"/>
      <c r="D23" s="21" t="s">
        <v>36</v>
      </c>
      <c r="E23" s="21" t="s">
        <v>20</v>
      </c>
      <c r="F23" s="21"/>
      <c r="G23" s="46" t="s">
        <v>21</v>
      </c>
      <c r="H23" s="21"/>
      <c r="I23" s="21"/>
      <c r="J23" s="410" t="s">
        <v>22</v>
      </c>
      <c r="K23" s="410"/>
    </row>
    <row r="24" spans="1:11" x14ac:dyDescent="0.35">
      <c r="A24" s="22" t="s">
        <v>82</v>
      </c>
      <c r="B24" s="28"/>
      <c r="C24" s="28"/>
      <c r="D24" s="28" t="s">
        <v>6</v>
      </c>
      <c r="E24" s="22" t="s">
        <v>23</v>
      </c>
      <c r="F24" s="22"/>
      <c r="G24" s="22" t="s">
        <v>24</v>
      </c>
      <c r="H24" s="22"/>
      <c r="I24" s="22"/>
      <c r="J24" s="389" t="s">
        <v>25</v>
      </c>
      <c r="K24" s="389"/>
    </row>
    <row r="25" spans="1:11" x14ac:dyDescent="0.35">
      <c r="A25" s="23" t="s">
        <v>85</v>
      </c>
      <c r="B25" s="26"/>
      <c r="C25" s="26"/>
      <c r="D25" s="26" t="s">
        <v>128</v>
      </c>
      <c r="E25" s="23" t="s">
        <v>41</v>
      </c>
      <c r="F25" s="23"/>
      <c r="G25" s="23" t="s">
        <v>39</v>
      </c>
      <c r="H25" s="23"/>
      <c r="I25" s="23"/>
      <c r="J25" s="390" t="s">
        <v>26</v>
      </c>
      <c r="K25" s="390"/>
    </row>
    <row r="26" spans="1:11" x14ac:dyDescent="0.35">
      <c r="A26" s="23" t="s">
        <v>27</v>
      </c>
      <c r="B26" s="26"/>
      <c r="C26" s="26"/>
      <c r="D26" s="23" t="s">
        <v>40</v>
      </c>
      <c r="E26" s="23" t="s">
        <v>27</v>
      </c>
      <c r="F26" s="23"/>
      <c r="G26" s="23" t="s">
        <v>27</v>
      </c>
      <c r="H26" s="23"/>
      <c r="I26" s="23"/>
      <c r="J26" s="1"/>
      <c r="K26" s="23"/>
    </row>
  </sheetData>
  <mergeCells count="15">
    <mergeCell ref="J23:K23"/>
    <mergeCell ref="J24:K24"/>
    <mergeCell ref="J25:K25"/>
    <mergeCell ref="B7:K7"/>
    <mergeCell ref="B8:K8"/>
    <mergeCell ref="B9:K9"/>
    <mergeCell ref="B10:K10"/>
    <mergeCell ref="J14:K14"/>
    <mergeCell ref="B15:K15"/>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0329-C44B-4214-A80F-C243BE0126E2}">
  <sheetPr>
    <pageSetUpPr fitToPage="1"/>
  </sheetPr>
  <dimension ref="A1:K25"/>
  <sheetViews>
    <sheetView topLeftCell="A7" workbookViewId="0">
      <selection activeCell="H16" sqref="H16"/>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133</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45650</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5926</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40">
        <v>1</v>
      </c>
      <c r="B12" s="38">
        <v>45650</v>
      </c>
      <c r="C12" s="31">
        <v>1659</v>
      </c>
      <c r="D12" s="29" t="s">
        <v>91</v>
      </c>
      <c r="E12" s="10" t="s">
        <v>47</v>
      </c>
      <c r="F12" s="10">
        <v>45620</v>
      </c>
      <c r="G12" s="64">
        <v>5926</v>
      </c>
      <c r="H12" s="30">
        <f t="shared" ref="H12" si="0">G12</f>
        <v>5926</v>
      </c>
      <c r="I12" s="58">
        <v>45298</v>
      </c>
      <c r="J12" s="38" t="s">
        <v>32</v>
      </c>
      <c r="K12" s="43" t="s">
        <v>43</v>
      </c>
    </row>
    <row r="13" spans="1:11" ht="15" x14ac:dyDescent="0.35">
      <c r="A13" s="69"/>
      <c r="B13" s="49"/>
      <c r="C13" s="49"/>
      <c r="D13" s="49"/>
      <c r="E13" s="49"/>
      <c r="F13" s="49"/>
      <c r="G13" s="50"/>
      <c r="H13" s="47">
        <f>SUM(H12:H12)</f>
        <v>5926</v>
      </c>
      <c r="I13" s="56"/>
      <c r="J13" s="411"/>
      <c r="K13" s="412"/>
    </row>
    <row r="14" spans="1:11" x14ac:dyDescent="0.35">
      <c r="A14" s="25"/>
      <c r="B14" s="368" t="s">
        <v>135</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24"/>
      <c r="C21" s="24"/>
      <c r="D21" s="1"/>
      <c r="E21" s="24" t="s">
        <v>34</v>
      </c>
      <c r="F21" s="24"/>
      <c r="H21" s="20"/>
      <c r="I21" s="20"/>
      <c r="J21" s="20"/>
      <c r="K21" s="21"/>
    </row>
    <row r="22" spans="1:11" x14ac:dyDescent="0.35">
      <c r="A22" s="54" t="s">
        <v>19</v>
      </c>
      <c r="B22" s="27"/>
      <c r="C22" s="27"/>
      <c r="D22" s="21" t="s">
        <v>36</v>
      </c>
      <c r="E22" s="21" t="s">
        <v>20</v>
      </c>
      <c r="F22" s="21"/>
      <c r="G22" s="46" t="s">
        <v>21</v>
      </c>
      <c r="H22" s="21"/>
      <c r="I22" s="21"/>
      <c r="J22" s="410" t="s">
        <v>22</v>
      </c>
      <c r="K22" s="410"/>
    </row>
    <row r="23" spans="1:11" x14ac:dyDescent="0.35">
      <c r="A23" s="22" t="s">
        <v>82</v>
      </c>
      <c r="B23" s="28"/>
      <c r="C23" s="28"/>
      <c r="D23" s="28" t="s">
        <v>6</v>
      </c>
      <c r="E23" s="22" t="s">
        <v>23</v>
      </c>
      <c r="F23" s="22"/>
      <c r="G23" s="22" t="s">
        <v>24</v>
      </c>
      <c r="H23" s="22"/>
      <c r="I23" s="22"/>
      <c r="J23" s="389" t="s">
        <v>25</v>
      </c>
      <c r="K23" s="389"/>
    </row>
    <row r="24" spans="1:11" x14ac:dyDescent="0.35">
      <c r="A24" s="23" t="s">
        <v>85</v>
      </c>
      <c r="B24" s="26"/>
      <c r="C24" s="26"/>
      <c r="D24" s="26" t="s">
        <v>128</v>
      </c>
      <c r="E24" s="23" t="s">
        <v>41</v>
      </c>
      <c r="F24" s="23"/>
      <c r="G24" s="23" t="s">
        <v>39</v>
      </c>
      <c r="H24" s="23"/>
      <c r="I24" s="23"/>
      <c r="J24" s="390" t="s">
        <v>26</v>
      </c>
      <c r="K24" s="390"/>
    </row>
    <row r="25" spans="1:11" x14ac:dyDescent="0.35">
      <c r="A25" s="23" t="s">
        <v>27</v>
      </c>
      <c r="B25" s="26"/>
      <c r="C25" s="26"/>
      <c r="D25" s="23" t="s">
        <v>40</v>
      </c>
      <c r="E25" s="23" t="s">
        <v>27</v>
      </c>
      <c r="F25" s="23"/>
      <c r="G25" s="23" t="s">
        <v>27</v>
      </c>
      <c r="H25" s="23"/>
      <c r="I25" s="23"/>
      <c r="J25" s="1"/>
      <c r="K25" s="23"/>
    </row>
  </sheetData>
  <mergeCells count="15">
    <mergeCell ref="B6:K6"/>
    <mergeCell ref="A1:K1"/>
    <mergeCell ref="B2:K2"/>
    <mergeCell ref="B3:K3"/>
    <mergeCell ref="B4:K4"/>
    <mergeCell ref="B5:K5"/>
    <mergeCell ref="J22:K22"/>
    <mergeCell ref="J23:K23"/>
    <mergeCell ref="J24:K24"/>
    <mergeCell ref="B7:K7"/>
    <mergeCell ref="B8:K8"/>
    <mergeCell ref="B9:K9"/>
    <mergeCell ref="B10:K10"/>
    <mergeCell ref="J13:K13"/>
    <mergeCell ref="B14:K14"/>
  </mergeCells>
  <pageMargins left="0.25" right="0.25" top="0.75" bottom="0.75" header="0.3" footer="0.3"/>
  <pageSetup scale="78"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64F0-045E-4621-89B6-0A7FD6E26969}">
  <sheetPr>
    <pageSetUpPr fitToPage="1"/>
  </sheetPr>
  <dimension ref="A1:K30"/>
  <sheetViews>
    <sheetView topLeftCell="A8" workbookViewId="0">
      <selection sqref="A1:K30"/>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45620</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$H$18</f>
        <v>148972</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45594</v>
      </c>
      <c r="C12" s="31">
        <v>1666</v>
      </c>
      <c r="D12" s="29" t="s">
        <v>104</v>
      </c>
      <c r="E12" s="10" t="s">
        <v>47</v>
      </c>
      <c r="F12" s="10">
        <v>45528</v>
      </c>
      <c r="G12" s="11">
        <v>33116</v>
      </c>
      <c r="H12" s="30">
        <f>G12</f>
        <v>33116</v>
      </c>
      <c r="I12" s="57">
        <v>45630</v>
      </c>
      <c r="J12" s="35" t="s">
        <v>32</v>
      </c>
      <c r="K12" s="36" t="s">
        <v>43</v>
      </c>
    </row>
    <row r="13" spans="1:11" ht="15" x14ac:dyDescent="0.35">
      <c r="A13" s="25">
        <v>2</v>
      </c>
      <c r="B13" s="38">
        <v>45594</v>
      </c>
      <c r="C13" s="31">
        <v>1660</v>
      </c>
      <c r="D13" s="29" t="s">
        <v>86</v>
      </c>
      <c r="E13" s="10" t="s">
        <v>47</v>
      </c>
      <c r="F13" s="10">
        <v>45589</v>
      </c>
      <c r="G13" s="11">
        <v>62341</v>
      </c>
      <c r="H13" s="30">
        <f t="shared" ref="H13:H17" si="0">G13</f>
        <v>62341</v>
      </c>
      <c r="I13" s="57">
        <v>45635</v>
      </c>
      <c r="J13" s="35" t="s">
        <v>32</v>
      </c>
      <c r="K13" s="36" t="s">
        <v>43</v>
      </c>
    </row>
    <row r="14" spans="1:11" ht="15" x14ac:dyDescent="0.35">
      <c r="A14" s="25">
        <v>3</v>
      </c>
      <c r="B14" s="38">
        <v>45594</v>
      </c>
      <c r="C14" s="32">
        <v>1658</v>
      </c>
      <c r="D14" s="60" t="s">
        <v>88</v>
      </c>
      <c r="E14" s="37" t="s">
        <v>47</v>
      </c>
      <c r="F14" s="10">
        <v>45589</v>
      </c>
      <c r="G14" s="41">
        <v>3630</v>
      </c>
      <c r="H14" s="30">
        <f>G14</f>
        <v>3630</v>
      </c>
      <c r="I14" s="57">
        <v>45635</v>
      </c>
      <c r="J14" s="35" t="s">
        <v>32</v>
      </c>
      <c r="K14" s="36" t="s">
        <v>43</v>
      </c>
    </row>
    <row r="15" spans="1:11" ht="15" x14ac:dyDescent="0.35">
      <c r="A15" s="25">
        <v>4</v>
      </c>
      <c r="B15" s="38">
        <v>45594</v>
      </c>
      <c r="C15" s="31">
        <v>1656</v>
      </c>
      <c r="D15" s="29" t="s">
        <v>87</v>
      </c>
      <c r="E15" s="10" t="s">
        <v>47</v>
      </c>
      <c r="F15" s="10">
        <v>45589</v>
      </c>
      <c r="G15" s="64">
        <v>2705</v>
      </c>
      <c r="H15" s="30">
        <f t="shared" si="0"/>
        <v>2705</v>
      </c>
      <c r="I15" s="72">
        <v>45610</v>
      </c>
      <c r="J15" s="38" t="s">
        <v>32</v>
      </c>
      <c r="K15" s="43" t="s">
        <v>43</v>
      </c>
    </row>
    <row r="16" spans="1:11" ht="15" x14ac:dyDescent="0.35">
      <c r="A16" s="40">
        <v>5</v>
      </c>
      <c r="B16" s="38">
        <v>45594</v>
      </c>
      <c r="C16" s="31">
        <v>1657</v>
      </c>
      <c r="D16" s="29" t="s">
        <v>89</v>
      </c>
      <c r="E16" s="10" t="s">
        <v>47</v>
      </c>
      <c r="F16" s="10">
        <v>45589</v>
      </c>
      <c r="G16" s="64">
        <v>8794</v>
      </c>
      <c r="H16" s="30">
        <f t="shared" si="0"/>
        <v>8794</v>
      </c>
      <c r="I16" s="72">
        <v>45610</v>
      </c>
      <c r="J16" s="38" t="s">
        <v>32</v>
      </c>
      <c r="K16" s="43" t="s">
        <v>43</v>
      </c>
    </row>
    <row r="17" spans="1:11" ht="15" x14ac:dyDescent="0.35">
      <c r="A17" s="40">
        <v>6</v>
      </c>
      <c r="B17" s="38">
        <v>45594</v>
      </c>
      <c r="C17" s="31">
        <v>1670</v>
      </c>
      <c r="D17" s="29" t="s">
        <v>90</v>
      </c>
      <c r="E17" s="10" t="s">
        <v>47</v>
      </c>
      <c r="F17" s="10">
        <v>45589</v>
      </c>
      <c r="G17" s="64">
        <v>38386</v>
      </c>
      <c r="H17" s="30">
        <f t="shared" si="0"/>
        <v>38386</v>
      </c>
      <c r="I17" s="72">
        <v>45610</v>
      </c>
      <c r="J17" s="38" t="s">
        <v>32</v>
      </c>
      <c r="K17" s="43" t="s">
        <v>43</v>
      </c>
    </row>
    <row r="18" spans="1:11" ht="15" x14ac:dyDescent="0.35">
      <c r="A18" s="40"/>
      <c r="B18" s="49"/>
      <c r="C18" s="49"/>
      <c r="D18" s="49"/>
      <c r="E18" s="49"/>
      <c r="F18" s="49"/>
      <c r="G18" s="50"/>
      <c r="H18" s="47">
        <f>SUM(H12:H17)</f>
        <v>148972</v>
      </c>
      <c r="I18" s="56"/>
      <c r="J18" s="411"/>
      <c r="K18" s="412"/>
    </row>
    <row r="19" spans="1:11" x14ac:dyDescent="0.35">
      <c r="A19" s="25"/>
      <c r="B19" s="368" t="s">
        <v>130</v>
      </c>
      <c r="C19" s="368"/>
      <c r="D19" s="368"/>
      <c r="E19" s="368"/>
      <c r="F19" s="368"/>
      <c r="G19" s="368"/>
      <c r="H19" s="368"/>
      <c r="I19" s="368"/>
      <c r="J19" s="368"/>
      <c r="K19" s="368"/>
    </row>
    <row r="20" spans="1:11" x14ac:dyDescent="0.35">
      <c r="A20" s="48"/>
      <c r="B20" s="1"/>
      <c r="C20" s="1"/>
      <c r="D20" s="1"/>
      <c r="E20" s="1"/>
      <c r="F20" s="1"/>
      <c r="G20" s="1"/>
      <c r="H20" s="1"/>
      <c r="I20" s="1"/>
      <c r="J20" s="1"/>
      <c r="K20" s="1"/>
    </row>
    <row r="21" spans="1:11" x14ac:dyDescent="0.35">
      <c r="A21" s="48"/>
      <c r="B21" s="1"/>
      <c r="C21" s="1"/>
      <c r="D21" s="1"/>
      <c r="E21" s="1"/>
      <c r="F21" s="1"/>
      <c r="G21" s="1"/>
      <c r="H21" s="1"/>
      <c r="I21" s="1"/>
      <c r="J21" s="1"/>
      <c r="K21" s="1"/>
    </row>
    <row r="22" spans="1:11" x14ac:dyDescent="0.35">
      <c r="A22" s="1"/>
      <c r="B22" s="1"/>
      <c r="C22" s="1"/>
      <c r="D22" s="1"/>
      <c r="E22" s="1"/>
      <c r="F22" s="1"/>
      <c r="G22" s="1"/>
      <c r="H22" s="1"/>
      <c r="I22" s="1"/>
      <c r="J22" s="1"/>
      <c r="K22" s="1"/>
    </row>
    <row r="23" spans="1:11" x14ac:dyDescent="0.35">
      <c r="A23" s="48"/>
      <c r="B23" s="1"/>
      <c r="C23" s="1"/>
      <c r="D23" s="1"/>
      <c r="E23" s="1"/>
      <c r="F23" s="1"/>
      <c r="G23" s="20"/>
      <c r="H23" s="1"/>
      <c r="I23" s="1"/>
      <c r="J23" s="1"/>
      <c r="K23" s="1"/>
    </row>
    <row r="24" spans="1:11" x14ac:dyDescent="0.35">
      <c r="A24" s="48"/>
      <c r="B24" s="1"/>
      <c r="C24" s="1"/>
      <c r="D24" s="1"/>
      <c r="E24" s="1"/>
      <c r="F24" s="1"/>
      <c r="G24" s="1"/>
      <c r="H24" s="1"/>
      <c r="I24" s="1"/>
      <c r="J24" s="1"/>
      <c r="K24" s="1"/>
    </row>
    <row r="25" spans="1:11" x14ac:dyDescent="0.35">
      <c r="A25" s="51"/>
      <c r="B25" s="1"/>
      <c r="C25" s="1"/>
      <c r="D25" s="1"/>
      <c r="E25" s="1"/>
      <c r="F25" s="1"/>
      <c r="G25" s="1"/>
      <c r="H25" s="1"/>
      <c r="I25" s="1"/>
      <c r="J25" s="1"/>
      <c r="K25" s="1"/>
    </row>
    <row r="26" spans="1:11" x14ac:dyDescent="0.35">
      <c r="A26" s="14"/>
      <c r="B26" s="24"/>
      <c r="C26" s="24"/>
      <c r="D26" s="1"/>
      <c r="E26" s="24" t="s">
        <v>34</v>
      </c>
      <c r="F26" s="24"/>
      <c r="H26" s="20"/>
      <c r="I26" s="20"/>
      <c r="J26" s="20"/>
      <c r="K26" s="21"/>
    </row>
    <row r="27" spans="1:11" x14ac:dyDescent="0.35">
      <c r="A27" s="54" t="s">
        <v>19</v>
      </c>
      <c r="B27" s="27"/>
      <c r="C27" s="27"/>
      <c r="D27" s="21" t="s">
        <v>36</v>
      </c>
      <c r="E27" s="21" t="s">
        <v>20</v>
      </c>
      <c r="F27" s="21"/>
      <c r="G27" s="46" t="s">
        <v>21</v>
      </c>
      <c r="H27" s="21"/>
      <c r="I27" s="21"/>
      <c r="J27" s="410" t="s">
        <v>22</v>
      </c>
      <c r="K27" s="410"/>
    </row>
    <row r="28" spans="1:11" x14ac:dyDescent="0.35">
      <c r="A28" s="22" t="s">
        <v>82</v>
      </c>
      <c r="B28" s="28"/>
      <c r="C28" s="28"/>
      <c r="D28" s="28" t="s">
        <v>6</v>
      </c>
      <c r="E28" s="22" t="s">
        <v>23</v>
      </c>
      <c r="F28" s="22"/>
      <c r="G28" s="22" t="s">
        <v>24</v>
      </c>
      <c r="H28" s="22"/>
      <c r="I28" s="22"/>
      <c r="J28" s="389" t="s">
        <v>25</v>
      </c>
      <c r="K28" s="389"/>
    </row>
    <row r="29" spans="1:11" x14ac:dyDescent="0.35">
      <c r="A29" s="23" t="s">
        <v>85</v>
      </c>
      <c r="B29" s="26"/>
      <c r="C29" s="26"/>
      <c r="D29" s="26" t="s">
        <v>128</v>
      </c>
      <c r="E29" s="23" t="s">
        <v>41</v>
      </c>
      <c r="F29" s="23"/>
      <c r="G29" s="23" t="s">
        <v>39</v>
      </c>
      <c r="H29" s="23"/>
      <c r="I29" s="23"/>
      <c r="J29" s="390" t="s">
        <v>26</v>
      </c>
      <c r="K29" s="390"/>
    </row>
    <row r="30" spans="1:11" x14ac:dyDescent="0.35">
      <c r="A30" s="23" t="s">
        <v>27</v>
      </c>
      <c r="B30" s="26"/>
      <c r="C30" s="26"/>
      <c r="D30" s="23" t="s">
        <v>40</v>
      </c>
      <c r="E30" s="23" t="s">
        <v>27</v>
      </c>
      <c r="F30" s="23"/>
      <c r="G30" s="23" t="s">
        <v>27</v>
      </c>
      <c r="H30" s="23"/>
      <c r="I30" s="23"/>
      <c r="J30" s="1"/>
      <c r="K30" s="23"/>
    </row>
  </sheetData>
  <mergeCells count="15">
    <mergeCell ref="B6:K6"/>
    <mergeCell ref="A1:K1"/>
    <mergeCell ref="B2:K2"/>
    <mergeCell ref="B3:K3"/>
    <mergeCell ref="B4:K4"/>
    <mergeCell ref="B5:K5"/>
    <mergeCell ref="J27:K27"/>
    <mergeCell ref="J28:K28"/>
    <mergeCell ref="J29:K29"/>
    <mergeCell ref="B7:K7"/>
    <mergeCell ref="B8:K8"/>
    <mergeCell ref="B9:K9"/>
    <mergeCell ref="B10:K10"/>
    <mergeCell ref="J18:K18"/>
    <mergeCell ref="B19:K19"/>
  </mergeCells>
  <pageMargins left="0.25" right="0.25" top="0.75" bottom="0.75" header="0.3" footer="0.3"/>
  <pageSetup scale="78"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0C4B-FF8D-4B8F-8987-BE1E1739EF26}">
  <sheetPr>
    <pageSetUpPr fitToPage="1"/>
  </sheetPr>
  <dimension ref="A1:K25"/>
  <sheetViews>
    <sheetView topLeftCell="A8" workbookViewId="0">
      <selection sqref="A1:K26"/>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2"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133</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45649</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27752</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45649</v>
      </c>
      <c r="C12" s="31">
        <v>1666</v>
      </c>
      <c r="D12" s="29" t="s">
        <v>104</v>
      </c>
      <c r="E12" s="10" t="s">
        <v>47</v>
      </c>
      <c r="F12" s="10">
        <v>45559</v>
      </c>
      <c r="G12" s="11">
        <v>27752</v>
      </c>
      <c r="H12" s="30">
        <f>G12</f>
        <v>27752</v>
      </c>
      <c r="I12" s="58">
        <v>45663</v>
      </c>
      <c r="J12" s="35" t="s">
        <v>32</v>
      </c>
      <c r="K12" s="36" t="s">
        <v>43</v>
      </c>
    </row>
    <row r="13" spans="1:11" ht="15" x14ac:dyDescent="0.35">
      <c r="A13" s="40"/>
      <c r="B13" s="49"/>
      <c r="C13" s="49"/>
      <c r="D13" s="49"/>
      <c r="E13" s="49"/>
      <c r="F13" s="49"/>
      <c r="G13" s="50"/>
      <c r="H13" s="47">
        <f>SUM(H12:H12)</f>
        <v>27752</v>
      </c>
      <c r="I13" s="12"/>
      <c r="J13" s="411"/>
      <c r="K13" s="412"/>
    </row>
    <row r="14" spans="1:11" x14ac:dyDescent="0.35">
      <c r="A14" s="25"/>
      <c r="B14" s="368" t="s">
        <v>134</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24"/>
      <c r="C21" s="24"/>
      <c r="D21" s="1"/>
      <c r="E21" s="24" t="s">
        <v>34</v>
      </c>
      <c r="F21" s="24"/>
      <c r="H21" s="20"/>
      <c r="I21" s="20"/>
      <c r="J21" s="20"/>
      <c r="K21" s="21"/>
    </row>
    <row r="22" spans="1:11" x14ac:dyDescent="0.35">
      <c r="A22" s="54" t="s">
        <v>19</v>
      </c>
      <c r="B22" s="27"/>
      <c r="C22" s="27"/>
      <c r="D22" s="21" t="s">
        <v>36</v>
      </c>
      <c r="E22" s="21" t="s">
        <v>20</v>
      </c>
      <c r="F22" s="21"/>
      <c r="G22" s="46" t="s">
        <v>21</v>
      </c>
      <c r="H22" s="21"/>
      <c r="I22" s="21"/>
      <c r="J22" s="410" t="s">
        <v>22</v>
      </c>
      <c r="K22" s="410"/>
    </row>
    <row r="23" spans="1:11" x14ac:dyDescent="0.35">
      <c r="A23" s="22" t="s">
        <v>82</v>
      </c>
      <c r="B23" s="28"/>
      <c r="C23" s="28"/>
      <c r="D23" s="28" t="s">
        <v>6</v>
      </c>
      <c r="E23" s="22" t="s">
        <v>23</v>
      </c>
      <c r="F23" s="22"/>
      <c r="G23" s="22" t="s">
        <v>24</v>
      </c>
      <c r="H23" s="22"/>
      <c r="I23" s="22"/>
      <c r="J23" s="389" t="s">
        <v>25</v>
      </c>
      <c r="K23" s="389"/>
    </row>
    <row r="24" spans="1:11" x14ac:dyDescent="0.35">
      <c r="A24" s="23" t="s">
        <v>85</v>
      </c>
      <c r="B24" s="26"/>
      <c r="C24" s="26"/>
      <c r="D24" s="26" t="s">
        <v>128</v>
      </c>
      <c r="E24" s="23" t="s">
        <v>41</v>
      </c>
      <c r="F24" s="23"/>
      <c r="G24" s="23" t="s">
        <v>39</v>
      </c>
      <c r="H24" s="23"/>
      <c r="I24" s="23"/>
      <c r="J24" s="390" t="s">
        <v>26</v>
      </c>
      <c r="K24" s="390"/>
    </row>
    <row r="25" spans="1:11" x14ac:dyDescent="0.35">
      <c r="A25" s="23" t="s">
        <v>27</v>
      </c>
      <c r="B25" s="26"/>
      <c r="C25" s="26"/>
      <c r="D25" s="23" t="s">
        <v>40</v>
      </c>
      <c r="E25" s="23" t="s">
        <v>27</v>
      </c>
      <c r="F25" s="23"/>
      <c r="G25" s="23" t="s">
        <v>27</v>
      </c>
      <c r="H25" s="23"/>
      <c r="I25" s="23"/>
      <c r="J25" s="1"/>
      <c r="K25" s="23"/>
    </row>
  </sheetData>
  <mergeCells count="15">
    <mergeCell ref="J22:K22"/>
    <mergeCell ref="J23:K23"/>
    <mergeCell ref="J24:K24"/>
    <mergeCell ref="B7:K7"/>
    <mergeCell ref="B8:K8"/>
    <mergeCell ref="B9:K9"/>
    <mergeCell ref="B10:K10"/>
    <mergeCell ref="J13:K13"/>
    <mergeCell ref="B14:K14"/>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B23B3-0D5A-44D7-B6D0-55C5BB06A09A}">
  <sheetPr>
    <pageSetUpPr fitToPage="1"/>
  </sheetPr>
  <dimension ref="A1:K33"/>
  <sheetViews>
    <sheetView topLeftCell="A14" workbookViewId="0">
      <selection sqref="A1:K33"/>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45680</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22588</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45680</v>
      </c>
      <c r="C12" s="31">
        <v>1666</v>
      </c>
      <c r="D12" s="29" t="s">
        <v>104</v>
      </c>
      <c r="E12" s="10" t="s">
        <v>47</v>
      </c>
      <c r="F12" s="10">
        <v>45589</v>
      </c>
      <c r="G12" s="11">
        <v>22588</v>
      </c>
      <c r="H12" s="30">
        <f>G12</f>
        <v>22588</v>
      </c>
      <c r="I12" s="58">
        <v>45694</v>
      </c>
      <c r="J12" s="35" t="s">
        <v>32</v>
      </c>
      <c r="K12" s="36" t="s">
        <v>43</v>
      </c>
    </row>
    <row r="13" spans="1:11" ht="15" x14ac:dyDescent="0.35">
      <c r="A13" s="40"/>
      <c r="B13" s="49"/>
      <c r="C13" s="49"/>
      <c r="D13" s="49"/>
      <c r="E13" s="49"/>
      <c r="F13" s="49"/>
      <c r="G13" s="50"/>
      <c r="H13" s="47">
        <f>SUM(H12:H12)</f>
        <v>22588</v>
      </c>
      <c r="I13" s="12"/>
      <c r="J13" s="411"/>
      <c r="K13" s="412"/>
    </row>
    <row r="14" spans="1:11" x14ac:dyDescent="0.35">
      <c r="A14" s="25"/>
      <c r="B14" s="368" t="s">
        <v>140</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24"/>
      <c r="C21" s="24"/>
      <c r="D21" s="1"/>
      <c r="E21" s="24" t="s">
        <v>34</v>
      </c>
      <c r="F21" s="24"/>
      <c r="H21" s="20"/>
      <c r="I21" s="20"/>
      <c r="J21" s="20"/>
      <c r="K21" s="21"/>
    </row>
    <row r="22" spans="1:11" x14ac:dyDescent="0.35">
      <c r="A22" s="54" t="s">
        <v>19</v>
      </c>
      <c r="B22" s="27"/>
      <c r="C22" s="27"/>
      <c r="E22" s="21" t="s">
        <v>20</v>
      </c>
      <c r="F22" s="21"/>
      <c r="G22" s="46" t="s">
        <v>21</v>
      </c>
      <c r="H22" s="21"/>
      <c r="I22" s="21"/>
      <c r="J22" s="410" t="s">
        <v>22</v>
      </c>
      <c r="K22" s="410"/>
    </row>
    <row r="23" spans="1:11" x14ac:dyDescent="0.35">
      <c r="A23" s="22" t="s">
        <v>82</v>
      </c>
      <c r="B23" s="28"/>
      <c r="C23" s="28"/>
      <c r="E23" s="22" t="s">
        <v>23</v>
      </c>
      <c r="F23" s="22"/>
      <c r="G23" s="22" t="s">
        <v>24</v>
      </c>
      <c r="H23" s="22"/>
      <c r="I23" s="22"/>
      <c r="J23" s="389" t="s">
        <v>25</v>
      </c>
      <c r="K23" s="389"/>
    </row>
    <row r="24" spans="1:11" x14ac:dyDescent="0.35">
      <c r="A24" s="23" t="s">
        <v>85</v>
      </c>
      <c r="B24" s="26"/>
      <c r="C24" s="26"/>
      <c r="E24" s="23" t="s">
        <v>41</v>
      </c>
      <c r="F24" s="23"/>
      <c r="G24" s="23" t="s">
        <v>39</v>
      </c>
      <c r="H24" s="23"/>
      <c r="I24" s="23"/>
      <c r="J24" s="390" t="s">
        <v>26</v>
      </c>
      <c r="K24" s="390"/>
    </row>
    <row r="25" spans="1:11" x14ac:dyDescent="0.35">
      <c r="A25" s="23" t="s">
        <v>27</v>
      </c>
      <c r="B25" s="26"/>
      <c r="C25" s="26"/>
      <c r="E25" s="23" t="s">
        <v>27</v>
      </c>
      <c r="F25" s="23"/>
      <c r="G25" s="23" t="s">
        <v>27</v>
      </c>
      <c r="H25" s="23"/>
      <c r="I25" s="23"/>
      <c r="J25" s="1"/>
      <c r="K25" s="23"/>
    </row>
    <row r="30" spans="1:11" x14ac:dyDescent="0.35">
      <c r="A30" s="21" t="s">
        <v>141</v>
      </c>
    </row>
    <row r="31" spans="1:11" x14ac:dyDescent="0.35">
      <c r="A31" s="28" t="s">
        <v>6</v>
      </c>
    </row>
    <row r="32" spans="1:11" x14ac:dyDescent="0.35">
      <c r="A32" s="26" t="s">
        <v>128</v>
      </c>
    </row>
    <row r="33" spans="1:1" x14ac:dyDescent="0.35">
      <c r="A33" s="23" t="s">
        <v>40</v>
      </c>
    </row>
  </sheetData>
  <mergeCells count="15">
    <mergeCell ref="J22:K22"/>
    <mergeCell ref="J23:K23"/>
    <mergeCell ref="J24:K24"/>
    <mergeCell ref="B7:K7"/>
    <mergeCell ref="B8:K8"/>
    <mergeCell ref="B9:K9"/>
    <mergeCell ref="B10:K10"/>
    <mergeCell ref="J13:K13"/>
    <mergeCell ref="B14:K14"/>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C2DA-981B-4092-B51C-800A33310143}">
  <sheetPr>
    <pageSetUpPr fitToPage="1"/>
  </sheetPr>
  <dimension ref="A1:K29"/>
  <sheetViews>
    <sheetView topLeftCell="A2" workbookViewId="0">
      <selection activeCell="B6" sqref="B6:K6"/>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9.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45701</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159259</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45700</v>
      </c>
      <c r="C12" s="31">
        <v>1656</v>
      </c>
      <c r="D12" s="29" t="s">
        <v>87</v>
      </c>
      <c r="E12" s="10" t="s">
        <v>47</v>
      </c>
      <c r="F12" s="10">
        <v>45669</v>
      </c>
      <c r="G12" s="11">
        <v>2520</v>
      </c>
      <c r="H12" s="30">
        <f>G12</f>
        <v>2520</v>
      </c>
      <c r="I12" s="57">
        <v>45725</v>
      </c>
      <c r="J12" s="38" t="s">
        <v>32</v>
      </c>
      <c r="K12" s="43" t="s">
        <v>43</v>
      </c>
    </row>
    <row r="13" spans="1:11" ht="15" x14ac:dyDescent="0.35">
      <c r="A13" s="25">
        <v>2</v>
      </c>
      <c r="B13" s="38">
        <v>45700</v>
      </c>
      <c r="C13" s="31">
        <v>1657</v>
      </c>
      <c r="D13" s="29" t="s">
        <v>89</v>
      </c>
      <c r="E13" s="10" t="s">
        <v>47</v>
      </c>
      <c r="F13" s="10">
        <v>45669</v>
      </c>
      <c r="G13" s="64">
        <v>7784</v>
      </c>
      <c r="H13" s="30">
        <f t="shared" ref="H13:H14" si="0">G13</f>
        <v>7784</v>
      </c>
      <c r="I13" s="57">
        <v>45725</v>
      </c>
      <c r="J13" s="38" t="s">
        <v>32</v>
      </c>
      <c r="K13" s="43" t="s">
        <v>43</v>
      </c>
    </row>
    <row r="14" spans="1:11" ht="15" x14ac:dyDescent="0.35">
      <c r="A14" s="25">
        <v>3</v>
      </c>
      <c r="B14" s="38">
        <v>45700</v>
      </c>
      <c r="C14" s="31">
        <v>1670</v>
      </c>
      <c r="D14" s="29" t="s">
        <v>90</v>
      </c>
      <c r="E14" s="10" t="s">
        <v>47</v>
      </c>
      <c r="F14" s="10">
        <v>45669</v>
      </c>
      <c r="G14" s="64">
        <v>60385</v>
      </c>
      <c r="H14" s="30">
        <f t="shared" si="0"/>
        <v>60385</v>
      </c>
      <c r="I14" s="57">
        <v>45725</v>
      </c>
      <c r="J14" s="38" t="s">
        <v>32</v>
      </c>
      <c r="K14" s="43" t="s">
        <v>43</v>
      </c>
    </row>
    <row r="15" spans="1:11" ht="15" x14ac:dyDescent="0.35">
      <c r="A15" s="25">
        <v>4</v>
      </c>
      <c r="B15" s="38">
        <v>45700</v>
      </c>
      <c r="C15" s="31">
        <v>1660</v>
      </c>
      <c r="D15" s="29" t="s">
        <v>86</v>
      </c>
      <c r="E15" s="10" t="s">
        <v>47</v>
      </c>
      <c r="F15" s="10">
        <v>45669</v>
      </c>
      <c r="G15" s="11">
        <v>82276</v>
      </c>
      <c r="H15" s="30">
        <f>G15</f>
        <v>82276</v>
      </c>
      <c r="I15" s="57">
        <v>45725</v>
      </c>
      <c r="J15" s="35" t="s">
        <v>32</v>
      </c>
      <c r="K15" s="36" t="s">
        <v>43</v>
      </c>
    </row>
    <row r="16" spans="1:11" ht="15" x14ac:dyDescent="0.35">
      <c r="A16" s="25">
        <v>5</v>
      </c>
      <c r="B16" s="38">
        <v>45700</v>
      </c>
      <c r="C16" s="32">
        <v>1658</v>
      </c>
      <c r="D16" s="60" t="s">
        <v>88</v>
      </c>
      <c r="E16" s="37" t="s">
        <v>47</v>
      </c>
      <c r="F16" s="10">
        <v>45669</v>
      </c>
      <c r="G16" s="11">
        <v>6294</v>
      </c>
      <c r="H16" s="30">
        <f>G16</f>
        <v>6294</v>
      </c>
      <c r="I16" s="58">
        <v>45725</v>
      </c>
      <c r="J16" s="35" t="s">
        <v>32</v>
      </c>
      <c r="K16" s="36" t="s">
        <v>43</v>
      </c>
    </row>
    <row r="17" spans="1:11" ht="15" x14ac:dyDescent="0.35">
      <c r="A17" s="40"/>
      <c r="B17" s="49"/>
      <c r="C17" s="49"/>
      <c r="D17" s="49"/>
      <c r="E17" s="49"/>
      <c r="F17" s="49"/>
      <c r="G17" s="50"/>
      <c r="H17" s="47">
        <f>SUM(H12:H16)</f>
        <v>159259</v>
      </c>
      <c r="I17" s="56"/>
      <c r="J17" s="411"/>
      <c r="K17" s="412"/>
    </row>
    <row r="18" spans="1:11" x14ac:dyDescent="0.35">
      <c r="A18" s="40"/>
      <c r="B18" s="368" t="s">
        <v>143</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51"/>
      <c r="B24" s="1"/>
      <c r="C24" s="1"/>
      <c r="D24" s="1"/>
      <c r="E24" s="1"/>
      <c r="F24" s="1"/>
      <c r="G24" s="1"/>
      <c r="H24" s="1"/>
      <c r="I24" s="1"/>
      <c r="J24" s="1"/>
      <c r="K24" s="1"/>
    </row>
    <row r="25" spans="1:11" x14ac:dyDescent="0.35">
      <c r="A25" s="14"/>
      <c r="B25" s="24"/>
      <c r="C25" s="24"/>
      <c r="D25" s="1"/>
      <c r="E25" s="24" t="s">
        <v>34</v>
      </c>
      <c r="F25" s="24"/>
      <c r="H25" s="20"/>
      <c r="I25" s="20"/>
      <c r="J25" s="20"/>
      <c r="K25" s="21"/>
    </row>
    <row r="26" spans="1:11" x14ac:dyDescent="0.35">
      <c r="A26" s="54" t="s">
        <v>19</v>
      </c>
      <c r="B26" s="27"/>
      <c r="C26" s="27"/>
      <c r="D26" s="21" t="s">
        <v>36</v>
      </c>
      <c r="E26" s="21" t="s">
        <v>20</v>
      </c>
      <c r="F26" s="21"/>
      <c r="G26" s="46" t="s">
        <v>21</v>
      </c>
      <c r="H26" s="21"/>
      <c r="I26" s="21"/>
      <c r="J26" s="410" t="s">
        <v>22</v>
      </c>
      <c r="K26" s="410"/>
    </row>
    <row r="27" spans="1:11" x14ac:dyDescent="0.35">
      <c r="A27" s="22" t="s">
        <v>82</v>
      </c>
      <c r="B27" s="28"/>
      <c r="C27" s="28"/>
      <c r="D27" s="28" t="s">
        <v>6</v>
      </c>
      <c r="E27" s="22" t="s">
        <v>23</v>
      </c>
      <c r="F27" s="22"/>
      <c r="G27" s="22" t="s">
        <v>24</v>
      </c>
      <c r="H27" s="22"/>
      <c r="I27" s="22"/>
      <c r="J27" s="389" t="s">
        <v>25</v>
      </c>
      <c r="K27" s="389"/>
    </row>
    <row r="28" spans="1:11" x14ac:dyDescent="0.35">
      <c r="A28" s="23" t="s">
        <v>85</v>
      </c>
      <c r="B28" s="26"/>
      <c r="C28" s="26"/>
      <c r="D28" s="26" t="s">
        <v>128</v>
      </c>
      <c r="E28" s="23" t="s">
        <v>41</v>
      </c>
      <c r="F28" s="23"/>
      <c r="G28" s="23" t="s">
        <v>39</v>
      </c>
      <c r="H28" s="23"/>
      <c r="I28" s="23"/>
      <c r="J28" s="390" t="s">
        <v>26</v>
      </c>
      <c r="K28" s="390"/>
    </row>
    <row r="29" spans="1:11" x14ac:dyDescent="0.35">
      <c r="A29" s="23" t="s">
        <v>27</v>
      </c>
      <c r="B29" s="26"/>
      <c r="C29" s="26"/>
      <c r="D29" s="23" t="s">
        <v>40</v>
      </c>
      <c r="E29" s="23" t="s">
        <v>27</v>
      </c>
      <c r="F29" s="23"/>
      <c r="G29" s="23" t="s">
        <v>27</v>
      </c>
      <c r="H29" s="23"/>
      <c r="I29" s="23"/>
      <c r="J29" s="1"/>
      <c r="K29" s="23"/>
    </row>
  </sheetData>
  <mergeCells count="15">
    <mergeCell ref="B6:K6"/>
    <mergeCell ref="A1:K1"/>
    <mergeCell ref="B2:K2"/>
    <mergeCell ref="B3:K3"/>
    <mergeCell ref="B4:K4"/>
    <mergeCell ref="B5:K5"/>
    <mergeCell ref="J26:K26"/>
    <mergeCell ref="J27:K27"/>
    <mergeCell ref="J28:K28"/>
    <mergeCell ref="B7:K7"/>
    <mergeCell ref="B8:K8"/>
    <mergeCell ref="B9:K9"/>
    <mergeCell ref="B10:K10"/>
    <mergeCell ref="J17:K17"/>
    <mergeCell ref="B18:K18"/>
  </mergeCells>
  <pageMargins left="0.25" right="0.25" top="0.75" bottom="0.75" header="0.3" footer="0.3"/>
  <pageSetup scale="78"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99F6-5953-43D2-A4FE-CB36DDC506F1}">
  <sheetPr>
    <pageSetUpPr fitToPage="1"/>
  </sheetPr>
  <dimension ref="A1:K37"/>
  <sheetViews>
    <sheetView topLeftCell="A6" workbookViewId="0">
      <selection sqref="A1:K37"/>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1"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136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45672</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140130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45672</v>
      </c>
      <c r="C12" s="31">
        <v>1660</v>
      </c>
      <c r="D12" s="29" t="s">
        <v>86</v>
      </c>
      <c r="E12" s="10" t="s">
        <v>47</v>
      </c>
      <c r="F12" s="10">
        <v>45650</v>
      </c>
      <c r="G12" s="11">
        <v>82911</v>
      </c>
      <c r="H12" s="30">
        <f>G12</f>
        <v>82911</v>
      </c>
      <c r="I12" s="57">
        <v>45692</v>
      </c>
      <c r="J12" s="35" t="s">
        <v>32</v>
      </c>
      <c r="K12" s="36" t="s">
        <v>43</v>
      </c>
    </row>
    <row r="13" spans="1:11" ht="15" x14ac:dyDescent="0.35">
      <c r="A13" s="25">
        <v>2</v>
      </c>
      <c r="B13" s="38">
        <v>45672</v>
      </c>
      <c r="C13" s="32">
        <v>1658</v>
      </c>
      <c r="D13" s="60" t="s">
        <v>88</v>
      </c>
      <c r="E13" s="37" t="s">
        <v>47</v>
      </c>
      <c r="F13" s="10">
        <v>45651</v>
      </c>
      <c r="G13" s="11">
        <v>5818</v>
      </c>
      <c r="H13" s="30">
        <f t="shared" ref="H13:H16" si="0">G13</f>
        <v>5818</v>
      </c>
      <c r="I13" s="57">
        <v>45692</v>
      </c>
      <c r="J13" s="35" t="s">
        <v>32</v>
      </c>
      <c r="K13" s="36" t="s">
        <v>43</v>
      </c>
    </row>
    <row r="14" spans="1:11" ht="15" x14ac:dyDescent="0.35">
      <c r="A14" s="25">
        <v>3</v>
      </c>
      <c r="B14" s="38">
        <v>45672</v>
      </c>
      <c r="C14" s="31">
        <v>1656</v>
      </c>
      <c r="D14" s="29" t="s">
        <v>87</v>
      </c>
      <c r="E14" s="10" t="s">
        <v>47</v>
      </c>
      <c r="F14" s="10">
        <v>45652</v>
      </c>
      <c r="G14" s="11">
        <v>2600</v>
      </c>
      <c r="H14" s="30">
        <f t="shared" si="0"/>
        <v>2600</v>
      </c>
      <c r="I14" s="57">
        <v>45692</v>
      </c>
      <c r="J14" s="38" t="s">
        <v>32</v>
      </c>
      <c r="K14" s="43" t="s">
        <v>43</v>
      </c>
    </row>
    <row r="15" spans="1:11" ht="15" x14ac:dyDescent="0.35">
      <c r="A15" s="25">
        <v>4</v>
      </c>
      <c r="B15" s="38">
        <v>45672</v>
      </c>
      <c r="C15" s="31">
        <v>1657</v>
      </c>
      <c r="D15" s="29" t="s">
        <v>89</v>
      </c>
      <c r="E15" s="10" t="s">
        <v>47</v>
      </c>
      <c r="F15" s="10">
        <v>45653</v>
      </c>
      <c r="G15" s="64">
        <v>8241</v>
      </c>
      <c r="H15" s="30">
        <f t="shared" si="0"/>
        <v>8241</v>
      </c>
      <c r="I15" s="57">
        <v>45692</v>
      </c>
      <c r="J15" s="38" t="s">
        <v>32</v>
      </c>
      <c r="K15" s="43" t="s">
        <v>43</v>
      </c>
    </row>
    <row r="16" spans="1:11" ht="15" x14ac:dyDescent="0.35">
      <c r="A16" s="25">
        <v>5</v>
      </c>
      <c r="B16" s="38">
        <v>45672</v>
      </c>
      <c r="C16" s="31">
        <v>1670</v>
      </c>
      <c r="D16" s="29" t="s">
        <v>90</v>
      </c>
      <c r="E16" s="10" t="s">
        <v>47</v>
      </c>
      <c r="F16" s="10">
        <v>45654</v>
      </c>
      <c r="G16" s="64">
        <v>40560</v>
      </c>
      <c r="H16" s="30">
        <f t="shared" si="0"/>
        <v>40560</v>
      </c>
      <c r="I16" s="58">
        <v>45692</v>
      </c>
      <c r="J16" s="38" t="s">
        <v>32</v>
      </c>
      <c r="K16" s="43" t="s">
        <v>43</v>
      </c>
    </row>
    <row r="17" spans="1:11" ht="15" x14ac:dyDescent="0.35">
      <c r="A17" s="40"/>
      <c r="B17" s="49"/>
      <c r="C17" s="49"/>
      <c r="D17" s="49"/>
      <c r="E17" s="49"/>
      <c r="F17" s="49"/>
      <c r="G17" s="50"/>
      <c r="H17" s="47">
        <f>SUM(H12:H16)</f>
        <v>140130</v>
      </c>
      <c r="I17" s="56"/>
      <c r="J17" s="411"/>
      <c r="K17" s="412"/>
    </row>
    <row r="18" spans="1:11" x14ac:dyDescent="0.35">
      <c r="A18" s="25"/>
      <c r="B18" s="368" t="s">
        <v>138</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51"/>
      <c r="B24" s="1"/>
      <c r="C24" s="1"/>
      <c r="D24" s="1"/>
      <c r="E24" s="1"/>
      <c r="F24" s="1"/>
      <c r="G24" s="1"/>
      <c r="H24" s="1"/>
      <c r="I24" s="1"/>
      <c r="J24" s="1"/>
      <c r="K24" s="1"/>
    </row>
    <row r="25" spans="1:11" x14ac:dyDescent="0.35">
      <c r="A25" s="14"/>
      <c r="B25" s="24"/>
      <c r="C25" s="24"/>
      <c r="D25" s="1"/>
      <c r="E25" s="24" t="s">
        <v>34</v>
      </c>
      <c r="F25" s="24"/>
      <c r="H25" s="20"/>
      <c r="I25" s="20"/>
      <c r="J25" s="20"/>
      <c r="K25" s="21"/>
    </row>
    <row r="26" spans="1:11" x14ac:dyDescent="0.35">
      <c r="A26" s="54" t="s">
        <v>19</v>
      </c>
      <c r="B26" s="27"/>
      <c r="C26" s="27"/>
      <c r="E26" s="21" t="s">
        <v>20</v>
      </c>
      <c r="F26" s="21"/>
      <c r="G26" s="46" t="s">
        <v>21</v>
      </c>
      <c r="H26" s="21"/>
      <c r="I26" s="21"/>
      <c r="J26" s="410" t="s">
        <v>22</v>
      </c>
      <c r="K26" s="410"/>
    </row>
    <row r="27" spans="1:11" x14ac:dyDescent="0.35">
      <c r="A27" s="22" t="s">
        <v>82</v>
      </c>
      <c r="B27" s="28"/>
      <c r="C27" s="28"/>
      <c r="E27" s="22" t="s">
        <v>23</v>
      </c>
      <c r="F27" s="22"/>
      <c r="G27" s="22" t="s">
        <v>24</v>
      </c>
      <c r="H27" s="22"/>
      <c r="I27" s="22"/>
      <c r="J27" s="389" t="s">
        <v>25</v>
      </c>
      <c r="K27" s="389"/>
    </row>
    <row r="28" spans="1:11" x14ac:dyDescent="0.35">
      <c r="A28" s="23" t="s">
        <v>85</v>
      </c>
      <c r="B28" s="26"/>
      <c r="C28" s="26"/>
      <c r="E28" s="23" t="s">
        <v>41</v>
      </c>
      <c r="F28" s="23"/>
      <c r="G28" s="23" t="s">
        <v>39</v>
      </c>
      <c r="H28" s="23"/>
      <c r="I28" s="23"/>
      <c r="J28" s="390" t="s">
        <v>26</v>
      </c>
      <c r="K28" s="390"/>
    </row>
    <row r="29" spans="1:11" x14ac:dyDescent="0.35">
      <c r="A29" s="23" t="s">
        <v>27</v>
      </c>
      <c r="B29" s="26"/>
      <c r="C29" s="26"/>
      <c r="E29" s="23" t="s">
        <v>27</v>
      </c>
      <c r="F29" s="23"/>
      <c r="G29" s="23" t="s">
        <v>27</v>
      </c>
      <c r="H29" s="23"/>
      <c r="I29" s="23"/>
      <c r="J29" s="1"/>
      <c r="K29" s="23"/>
    </row>
    <row r="34" spans="1:2" x14ac:dyDescent="0.35">
      <c r="A34" s="371" t="s">
        <v>36</v>
      </c>
      <c r="B34" s="371"/>
    </row>
    <row r="35" spans="1:2" x14ac:dyDescent="0.35">
      <c r="A35" s="28" t="s">
        <v>6</v>
      </c>
    </row>
    <row r="36" spans="1:2" x14ac:dyDescent="0.35">
      <c r="A36" s="26" t="s">
        <v>128</v>
      </c>
    </row>
    <row r="37" spans="1:2" x14ac:dyDescent="0.35">
      <c r="A37" s="390" t="s">
        <v>40</v>
      </c>
      <c r="B37" s="390"/>
    </row>
  </sheetData>
  <mergeCells count="17">
    <mergeCell ref="B18:K18"/>
    <mergeCell ref="A1:K1"/>
    <mergeCell ref="B2:K2"/>
    <mergeCell ref="B3:K3"/>
    <mergeCell ref="B4:K4"/>
    <mergeCell ref="B5:K5"/>
    <mergeCell ref="B6:K6"/>
    <mergeCell ref="B7:K7"/>
    <mergeCell ref="B8:K8"/>
    <mergeCell ref="B9:K9"/>
    <mergeCell ref="B10:K10"/>
    <mergeCell ref="J17:K17"/>
    <mergeCell ref="J26:K26"/>
    <mergeCell ref="J27:K27"/>
    <mergeCell ref="J28:K28"/>
    <mergeCell ref="A34:B34"/>
    <mergeCell ref="A37:B37"/>
  </mergeCells>
  <pageMargins left="0.25" right="0.25" top="0.75" bottom="0.75" header="0.3" footer="0.3"/>
  <pageSetup scale="78"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01EC1-4EB8-4353-811D-FBE05A33D091}">
  <sheetPr>
    <pageSetUpPr fitToPage="1"/>
  </sheetPr>
  <dimension ref="A1:K37"/>
  <sheetViews>
    <sheetView topLeftCell="A8" workbookViewId="0">
      <selection sqref="A1:K37"/>
    </sheetView>
  </sheetViews>
  <sheetFormatPr defaultRowHeight="14.5" x14ac:dyDescent="0.35"/>
  <cols>
    <col min="1" max="1" width="17.1796875" customWidth="1"/>
    <col min="2" max="2" width="11"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1.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149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45733</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127437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45733</v>
      </c>
      <c r="C12" s="31">
        <v>1660</v>
      </c>
      <c r="D12" s="29" t="s">
        <v>86</v>
      </c>
      <c r="E12" s="10" t="s">
        <v>47</v>
      </c>
      <c r="F12" s="10">
        <v>45712</v>
      </c>
      <c r="G12" s="11">
        <v>71847</v>
      </c>
      <c r="H12" s="30">
        <f>G12</f>
        <v>71847</v>
      </c>
      <c r="I12" s="57">
        <v>45756</v>
      </c>
      <c r="J12" s="35" t="s">
        <v>32</v>
      </c>
      <c r="K12" s="36" t="s">
        <v>43</v>
      </c>
    </row>
    <row r="13" spans="1:11" ht="15" x14ac:dyDescent="0.35">
      <c r="A13" s="25">
        <v>2</v>
      </c>
      <c r="B13" s="38">
        <v>45733</v>
      </c>
      <c r="C13" s="32">
        <v>1658</v>
      </c>
      <c r="D13" s="60" t="s">
        <v>88</v>
      </c>
      <c r="E13" s="37" t="s">
        <v>47</v>
      </c>
      <c r="F13" s="10">
        <v>45712</v>
      </c>
      <c r="G13" s="11">
        <v>4308</v>
      </c>
      <c r="H13" s="30">
        <f t="shared" ref="H13:H16" si="0">G13</f>
        <v>4308</v>
      </c>
      <c r="I13" s="57">
        <v>45756</v>
      </c>
      <c r="J13" s="35" t="s">
        <v>32</v>
      </c>
      <c r="K13" s="36" t="s">
        <v>43</v>
      </c>
    </row>
    <row r="14" spans="1:11" ht="15" x14ac:dyDescent="0.35">
      <c r="A14" s="25">
        <v>3</v>
      </c>
      <c r="B14" s="38">
        <v>45733</v>
      </c>
      <c r="C14" s="31">
        <v>1656</v>
      </c>
      <c r="D14" s="29" t="s">
        <v>87</v>
      </c>
      <c r="E14" s="10" t="s">
        <v>47</v>
      </c>
      <c r="F14" s="10">
        <v>45712</v>
      </c>
      <c r="G14" s="11">
        <v>2580</v>
      </c>
      <c r="H14" s="30">
        <f t="shared" si="0"/>
        <v>2580</v>
      </c>
      <c r="I14" s="57">
        <v>45756</v>
      </c>
      <c r="J14" s="38" t="s">
        <v>32</v>
      </c>
      <c r="K14" s="43" t="s">
        <v>43</v>
      </c>
    </row>
    <row r="15" spans="1:11" ht="15" x14ac:dyDescent="0.35">
      <c r="A15" s="25">
        <v>4</v>
      </c>
      <c r="B15" s="38">
        <v>45733</v>
      </c>
      <c r="C15" s="31">
        <v>1657</v>
      </c>
      <c r="D15" s="29" t="s">
        <v>89</v>
      </c>
      <c r="E15" s="10" t="s">
        <v>47</v>
      </c>
      <c r="F15" s="10">
        <v>45712</v>
      </c>
      <c r="G15" s="64">
        <v>8201</v>
      </c>
      <c r="H15" s="30">
        <f t="shared" si="0"/>
        <v>8201</v>
      </c>
      <c r="I15" s="57">
        <v>45756</v>
      </c>
      <c r="J15" s="38" t="s">
        <v>32</v>
      </c>
      <c r="K15" s="43" t="s">
        <v>43</v>
      </c>
    </row>
    <row r="16" spans="1:11" ht="15" x14ac:dyDescent="0.35">
      <c r="A16" s="25">
        <v>5</v>
      </c>
      <c r="B16" s="38">
        <v>45733</v>
      </c>
      <c r="C16" s="31">
        <v>1670</v>
      </c>
      <c r="D16" s="29" t="s">
        <v>90</v>
      </c>
      <c r="E16" s="10" t="s">
        <v>47</v>
      </c>
      <c r="F16" s="10">
        <v>45712</v>
      </c>
      <c r="G16" s="64">
        <v>40501</v>
      </c>
      <c r="H16" s="30">
        <f t="shared" si="0"/>
        <v>40501</v>
      </c>
      <c r="I16" s="57">
        <v>45756</v>
      </c>
      <c r="J16" s="38" t="s">
        <v>32</v>
      </c>
      <c r="K16" s="43" t="s">
        <v>43</v>
      </c>
    </row>
    <row r="17" spans="1:11" ht="15" x14ac:dyDescent="0.35">
      <c r="A17" s="40"/>
      <c r="B17" s="49"/>
      <c r="C17" s="49"/>
      <c r="D17" s="49"/>
      <c r="E17" s="49"/>
      <c r="F17" s="49"/>
      <c r="G17" s="50"/>
      <c r="H17" s="47">
        <f>SUM(H12:H16)</f>
        <v>127437</v>
      </c>
      <c r="I17" s="56"/>
      <c r="J17" s="411"/>
      <c r="K17" s="412"/>
    </row>
    <row r="18" spans="1:11" x14ac:dyDescent="0.35">
      <c r="A18" s="25"/>
      <c r="B18" s="368" t="s">
        <v>150</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51"/>
      <c r="B24" s="1"/>
      <c r="C24" s="1"/>
      <c r="D24" s="1"/>
      <c r="E24" s="1"/>
      <c r="F24" s="1"/>
      <c r="G24" s="1"/>
      <c r="H24" s="1"/>
      <c r="I24" s="1"/>
      <c r="J24" s="1"/>
      <c r="K24" s="1"/>
    </row>
    <row r="25" spans="1:11" x14ac:dyDescent="0.35">
      <c r="A25" s="14"/>
      <c r="B25" s="24"/>
      <c r="C25" s="24"/>
      <c r="D25" s="1"/>
      <c r="E25" s="24" t="s">
        <v>34</v>
      </c>
      <c r="F25" s="24"/>
      <c r="H25" s="20"/>
      <c r="I25" s="20"/>
      <c r="J25" s="20"/>
      <c r="K25" s="21"/>
    </row>
    <row r="26" spans="1:11" x14ac:dyDescent="0.35">
      <c r="A26" s="54" t="s">
        <v>19</v>
      </c>
      <c r="B26" s="27"/>
      <c r="C26" s="27"/>
      <c r="E26" s="21" t="s">
        <v>20</v>
      </c>
      <c r="F26" s="21"/>
      <c r="G26" s="46" t="s">
        <v>21</v>
      </c>
      <c r="H26" s="21"/>
      <c r="I26" s="21"/>
      <c r="J26" s="410" t="s">
        <v>22</v>
      </c>
      <c r="K26" s="410"/>
    </row>
    <row r="27" spans="1:11" x14ac:dyDescent="0.35">
      <c r="A27" s="22" t="s">
        <v>82</v>
      </c>
      <c r="B27" s="28"/>
      <c r="C27" s="28"/>
      <c r="E27" s="22" t="s">
        <v>23</v>
      </c>
      <c r="F27" s="22"/>
      <c r="G27" s="22" t="s">
        <v>24</v>
      </c>
      <c r="H27" s="22"/>
      <c r="I27" s="22"/>
      <c r="J27" s="389" t="s">
        <v>25</v>
      </c>
      <c r="K27" s="389"/>
    </row>
    <row r="28" spans="1:11" x14ac:dyDescent="0.35">
      <c r="A28" s="23" t="s">
        <v>85</v>
      </c>
      <c r="B28" s="26"/>
      <c r="C28" s="26"/>
      <c r="E28" s="23" t="s">
        <v>41</v>
      </c>
      <c r="F28" s="23"/>
      <c r="G28" s="23" t="s">
        <v>39</v>
      </c>
      <c r="H28" s="23"/>
      <c r="I28" s="23"/>
      <c r="J28" s="390" t="s">
        <v>26</v>
      </c>
      <c r="K28" s="390"/>
    </row>
    <row r="29" spans="1:11" x14ac:dyDescent="0.35">
      <c r="A29" s="23" t="s">
        <v>27</v>
      </c>
      <c r="B29" s="26"/>
      <c r="C29" s="26"/>
      <c r="E29" s="23" t="s">
        <v>27</v>
      </c>
      <c r="F29" s="23"/>
      <c r="G29" s="23" t="s">
        <v>27</v>
      </c>
      <c r="H29" s="23"/>
      <c r="I29" s="23"/>
      <c r="J29" s="1"/>
      <c r="K29" s="23"/>
    </row>
    <row r="34" spans="1:2" x14ac:dyDescent="0.35">
      <c r="A34" s="371" t="s">
        <v>36</v>
      </c>
      <c r="B34" s="371"/>
    </row>
    <row r="35" spans="1:2" x14ac:dyDescent="0.35">
      <c r="A35" s="28" t="s">
        <v>6</v>
      </c>
    </row>
    <row r="36" spans="1:2" x14ac:dyDescent="0.35">
      <c r="A36" s="26" t="s">
        <v>128</v>
      </c>
    </row>
    <row r="37" spans="1:2" x14ac:dyDescent="0.35">
      <c r="A37" s="390" t="s">
        <v>40</v>
      </c>
      <c r="B37" s="390"/>
    </row>
  </sheetData>
  <mergeCells count="17">
    <mergeCell ref="J26:K26"/>
    <mergeCell ref="J27:K27"/>
    <mergeCell ref="J28:K28"/>
    <mergeCell ref="A34:B34"/>
    <mergeCell ref="A37:B37"/>
    <mergeCell ref="B18:K18"/>
    <mergeCell ref="A1:K1"/>
    <mergeCell ref="B2:K2"/>
    <mergeCell ref="B3:K3"/>
    <mergeCell ref="B4:K4"/>
    <mergeCell ref="B5:K5"/>
    <mergeCell ref="B6:K6"/>
    <mergeCell ref="B7:K7"/>
    <mergeCell ref="B8:K8"/>
    <mergeCell ref="B9:K9"/>
    <mergeCell ref="B10:K10"/>
    <mergeCell ref="J17:K17"/>
  </mergeCells>
  <pageMargins left="0.25" right="0.25" top="0.75" bottom="0.75" header="0.3" footer="0.3"/>
  <pageSetup scale="78"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17DD9-E923-4D09-A96B-3906973A0EE4}">
  <sheetPr>
    <pageSetUpPr fitToPage="1"/>
  </sheetPr>
  <dimension ref="A1:K45"/>
  <sheetViews>
    <sheetView topLeftCell="A10" workbookViewId="0">
      <selection sqref="A1:K46"/>
    </sheetView>
  </sheetViews>
  <sheetFormatPr defaultRowHeight="14.5" x14ac:dyDescent="0.35"/>
  <cols>
    <col min="1" max="1" width="17.1796875" customWidth="1"/>
    <col min="2" max="2" width="11"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149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45770</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$H$18</f>
        <v>258490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45768</v>
      </c>
      <c r="C12" s="31">
        <v>1660</v>
      </c>
      <c r="D12" s="29" t="s">
        <v>86</v>
      </c>
      <c r="E12" s="10" t="s">
        <v>47</v>
      </c>
      <c r="F12" s="10">
        <v>45740</v>
      </c>
      <c r="G12" s="11">
        <v>81779</v>
      </c>
      <c r="H12" s="30">
        <f>G12</f>
        <v>81779</v>
      </c>
      <c r="I12" s="57">
        <v>45786</v>
      </c>
      <c r="J12" s="35" t="s">
        <v>32</v>
      </c>
      <c r="K12" s="36" t="s">
        <v>43</v>
      </c>
    </row>
    <row r="13" spans="1:11" ht="15" x14ac:dyDescent="0.35">
      <c r="A13" s="25">
        <v>2</v>
      </c>
      <c r="B13" s="38">
        <v>45768</v>
      </c>
      <c r="C13" s="32">
        <v>1658</v>
      </c>
      <c r="D13" s="60" t="s">
        <v>88</v>
      </c>
      <c r="E13" s="37" t="s">
        <v>47</v>
      </c>
      <c r="F13" s="10">
        <v>45740</v>
      </c>
      <c r="G13" s="11">
        <v>22186</v>
      </c>
      <c r="H13" s="30">
        <f t="shared" ref="H13:H17" si="0">G13</f>
        <v>22186</v>
      </c>
      <c r="I13" s="57">
        <v>45786</v>
      </c>
      <c r="J13" s="35" t="s">
        <v>32</v>
      </c>
      <c r="K13" s="36" t="s">
        <v>43</v>
      </c>
    </row>
    <row r="14" spans="1:11" ht="15" x14ac:dyDescent="0.35">
      <c r="A14" s="25">
        <v>3</v>
      </c>
      <c r="B14" s="38">
        <v>45768</v>
      </c>
      <c r="C14" s="31">
        <v>1656</v>
      </c>
      <c r="D14" s="29" t="s">
        <v>87</v>
      </c>
      <c r="E14" s="10" t="s">
        <v>47</v>
      </c>
      <c r="F14" s="10">
        <v>45740</v>
      </c>
      <c r="G14" s="11">
        <v>2639</v>
      </c>
      <c r="H14" s="30">
        <f t="shared" si="0"/>
        <v>2639</v>
      </c>
      <c r="I14" s="57">
        <v>45786</v>
      </c>
      <c r="J14" s="38" t="s">
        <v>32</v>
      </c>
      <c r="K14" s="43" t="s">
        <v>43</v>
      </c>
    </row>
    <row r="15" spans="1:11" ht="15" x14ac:dyDescent="0.35">
      <c r="A15" s="25">
        <v>4</v>
      </c>
      <c r="B15" s="38">
        <v>45768</v>
      </c>
      <c r="C15" s="31">
        <v>1657</v>
      </c>
      <c r="D15" s="29" t="s">
        <v>89</v>
      </c>
      <c r="E15" s="10" t="s">
        <v>47</v>
      </c>
      <c r="F15" s="10">
        <v>45740</v>
      </c>
      <c r="G15" s="64">
        <v>9949</v>
      </c>
      <c r="H15" s="30">
        <f t="shared" si="0"/>
        <v>9949</v>
      </c>
      <c r="I15" s="57">
        <v>45786</v>
      </c>
      <c r="J15" s="38" t="s">
        <v>32</v>
      </c>
      <c r="K15" s="43" t="s">
        <v>43</v>
      </c>
    </row>
    <row r="16" spans="1:11" ht="15" x14ac:dyDescent="0.35">
      <c r="A16" s="25">
        <v>5</v>
      </c>
      <c r="B16" s="38">
        <v>45768</v>
      </c>
      <c r="C16" s="31">
        <v>1670</v>
      </c>
      <c r="D16" s="29" t="s">
        <v>90</v>
      </c>
      <c r="E16" s="10" t="s">
        <v>47</v>
      </c>
      <c r="F16" s="10">
        <v>45740</v>
      </c>
      <c r="G16" s="64">
        <v>72522</v>
      </c>
      <c r="H16" s="30">
        <f t="shared" si="0"/>
        <v>72522</v>
      </c>
      <c r="I16" s="57">
        <v>45786</v>
      </c>
      <c r="J16" s="38" t="s">
        <v>32</v>
      </c>
      <c r="K16" s="43" t="s">
        <v>43</v>
      </c>
    </row>
    <row r="17" spans="1:11" ht="15" x14ac:dyDescent="0.35">
      <c r="A17" s="40">
        <v>6</v>
      </c>
      <c r="B17" s="38">
        <v>45768</v>
      </c>
      <c r="C17" s="31">
        <v>1670</v>
      </c>
      <c r="D17" s="29" t="s">
        <v>90</v>
      </c>
      <c r="E17" s="10" t="s">
        <v>47</v>
      </c>
      <c r="F17" s="10">
        <v>45467</v>
      </c>
      <c r="G17" s="11">
        <v>69415</v>
      </c>
      <c r="H17" s="30">
        <f t="shared" si="0"/>
        <v>69415</v>
      </c>
      <c r="I17" s="58">
        <v>45518</v>
      </c>
      <c r="J17" s="38" t="s">
        <v>32</v>
      </c>
      <c r="K17" s="43" t="s">
        <v>43</v>
      </c>
    </row>
    <row r="18" spans="1:11" ht="15" x14ac:dyDescent="0.35">
      <c r="A18" s="40"/>
      <c r="B18" s="49"/>
      <c r="C18" s="49"/>
      <c r="D18" s="49"/>
      <c r="E18" s="49"/>
      <c r="F18" s="49"/>
      <c r="G18" s="50"/>
      <c r="H18" s="47">
        <f>SUM(H12:H17)</f>
        <v>258490</v>
      </c>
      <c r="I18" s="12"/>
      <c r="J18" s="411"/>
      <c r="K18" s="412"/>
    </row>
    <row r="19" spans="1:11" x14ac:dyDescent="0.35">
      <c r="A19" s="25"/>
      <c r="B19" s="368" t="s">
        <v>151</v>
      </c>
      <c r="C19" s="368"/>
      <c r="D19" s="368"/>
      <c r="E19" s="368"/>
      <c r="F19" s="368"/>
      <c r="G19" s="368"/>
      <c r="H19" s="368"/>
      <c r="I19" s="368"/>
      <c r="J19" s="368"/>
      <c r="K19" s="368"/>
    </row>
    <row r="20" spans="1:11" x14ac:dyDescent="0.35">
      <c r="A20" s="48"/>
      <c r="B20" s="1"/>
      <c r="C20" s="1"/>
      <c r="D20" s="1"/>
      <c r="E20" s="1"/>
      <c r="F20" s="1"/>
      <c r="G20" s="1"/>
      <c r="H20" s="1"/>
      <c r="I20" s="1"/>
      <c r="J20" s="1"/>
      <c r="K20" s="1"/>
    </row>
    <row r="21" spans="1:11" x14ac:dyDescent="0.35">
      <c r="A21" s="48"/>
      <c r="B21" s="1"/>
      <c r="C21" s="1"/>
      <c r="D21" s="1"/>
      <c r="E21" s="1"/>
      <c r="F21" s="1"/>
      <c r="G21" s="1"/>
      <c r="H21" s="1"/>
      <c r="I21" s="1"/>
      <c r="J21" s="1"/>
      <c r="K21" s="1"/>
    </row>
    <row r="22" spans="1:11" x14ac:dyDescent="0.35">
      <c r="A22" s="1"/>
      <c r="B22" s="1"/>
      <c r="C22" s="1"/>
      <c r="D22" s="1"/>
      <c r="E22" s="1"/>
      <c r="F22" s="1"/>
      <c r="G22" s="1"/>
      <c r="H22" s="1"/>
      <c r="I22" s="1"/>
      <c r="J22" s="1"/>
      <c r="K22" s="1"/>
    </row>
    <row r="23" spans="1:11" x14ac:dyDescent="0.35">
      <c r="A23" s="48"/>
      <c r="B23" s="1"/>
      <c r="C23" s="1"/>
      <c r="D23" s="1"/>
      <c r="E23" s="1"/>
      <c r="F23" s="1"/>
      <c r="G23" s="20"/>
      <c r="H23" s="1"/>
      <c r="I23" s="1"/>
      <c r="J23" s="1"/>
      <c r="K23" s="1"/>
    </row>
    <row r="24" spans="1:11" x14ac:dyDescent="0.35">
      <c r="A24" s="48"/>
      <c r="B24" s="1"/>
      <c r="C24" s="1"/>
      <c r="D24" s="1"/>
      <c r="E24" s="1"/>
      <c r="F24" s="1"/>
      <c r="G24" s="1"/>
      <c r="H24" s="1"/>
      <c r="I24" s="1"/>
      <c r="J24" s="1"/>
      <c r="K24" s="1"/>
    </row>
    <row r="25" spans="1:11" x14ac:dyDescent="0.35">
      <c r="A25" s="414" t="s">
        <v>152</v>
      </c>
      <c r="B25" s="414"/>
      <c r="C25" s="414"/>
      <c r="D25" s="414"/>
      <c r="E25" s="414"/>
      <c r="F25" s="414"/>
      <c r="G25" s="414"/>
      <c r="H25" s="1"/>
      <c r="I25" s="1"/>
      <c r="J25" s="1"/>
      <c r="K25" s="1"/>
    </row>
    <row r="26" spans="1:11" x14ac:dyDescent="0.35">
      <c r="A26" s="414"/>
      <c r="B26" s="414"/>
      <c r="C26" s="414"/>
      <c r="D26" s="414"/>
      <c r="E26" s="414"/>
      <c r="F26" s="414"/>
      <c r="G26" s="414"/>
      <c r="H26" s="1"/>
      <c r="I26" s="1"/>
      <c r="J26" s="1"/>
      <c r="K26" s="1"/>
    </row>
    <row r="27" spans="1:11" x14ac:dyDescent="0.35">
      <c r="A27" s="414"/>
      <c r="B27" s="414"/>
      <c r="C27" s="414"/>
      <c r="D27" s="414"/>
      <c r="E27" s="414"/>
      <c r="F27" s="414"/>
      <c r="G27" s="414"/>
      <c r="H27" s="1"/>
      <c r="I27" s="1"/>
      <c r="J27" s="1"/>
      <c r="K27" s="1"/>
    </row>
    <row r="28" spans="1:11" x14ac:dyDescent="0.35">
      <c r="A28" s="414"/>
      <c r="B28" s="414"/>
      <c r="C28" s="414"/>
      <c r="D28" s="414"/>
      <c r="E28" s="414"/>
      <c r="F28" s="414"/>
      <c r="G28" s="414"/>
      <c r="H28" s="1"/>
      <c r="I28" s="1"/>
      <c r="J28" s="1"/>
      <c r="K28" s="1"/>
    </row>
    <row r="29" spans="1:11" x14ac:dyDescent="0.35">
      <c r="A29" s="414"/>
      <c r="B29" s="414"/>
      <c r="C29" s="414"/>
      <c r="D29" s="414"/>
      <c r="E29" s="414"/>
      <c r="F29" s="414"/>
      <c r="G29" s="414"/>
      <c r="H29" s="1"/>
      <c r="I29" s="1"/>
      <c r="J29" s="1"/>
      <c r="K29" s="1"/>
    </row>
    <row r="30" spans="1:11" x14ac:dyDescent="0.35">
      <c r="A30" s="48"/>
      <c r="B30" s="1"/>
      <c r="C30" s="1"/>
      <c r="D30" s="1"/>
      <c r="E30" s="1"/>
      <c r="F30" s="1"/>
      <c r="G30" s="1"/>
      <c r="H30" s="1"/>
      <c r="I30" s="1"/>
      <c r="J30" s="1"/>
      <c r="K30" s="1"/>
    </row>
    <row r="31" spans="1:11" x14ac:dyDescent="0.35">
      <c r="A31" s="48"/>
      <c r="B31" s="1"/>
      <c r="C31" s="1"/>
      <c r="D31" s="1"/>
      <c r="E31" s="1"/>
      <c r="F31" s="1"/>
      <c r="G31" s="1"/>
      <c r="H31" s="1"/>
      <c r="I31" s="1"/>
      <c r="J31" s="1"/>
      <c r="K31" s="1"/>
    </row>
    <row r="32" spans="1:11" x14ac:dyDescent="0.35">
      <c r="A32" s="51"/>
      <c r="B32" s="1"/>
      <c r="C32" s="1"/>
      <c r="D32" s="1"/>
      <c r="E32" s="1"/>
      <c r="F32" s="1"/>
      <c r="G32" s="1"/>
      <c r="H32" s="1"/>
      <c r="I32" s="1"/>
      <c r="J32" s="1"/>
      <c r="K32" s="1"/>
    </row>
    <row r="33" spans="1:11" x14ac:dyDescent="0.35">
      <c r="A33" s="14"/>
      <c r="B33" s="24"/>
      <c r="C33" s="24"/>
      <c r="D33" s="1"/>
      <c r="E33" s="24" t="s">
        <v>34</v>
      </c>
      <c r="F33" s="24"/>
      <c r="H33" s="20"/>
      <c r="I33" s="20"/>
      <c r="J33" s="20"/>
      <c r="K33" s="21"/>
    </row>
    <row r="34" spans="1:11" x14ac:dyDescent="0.35">
      <c r="A34" s="54" t="s">
        <v>19</v>
      </c>
      <c r="B34" s="27"/>
      <c r="C34" s="27"/>
      <c r="E34" s="21" t="s">
        <v>20</v>
      </c>
      <c r="F34" s="21"/>
      <c r="G34" s="46" t="s">
        <v>21</v>
      </c>
      <c r="H34" s="21"/>
      <c r="I34" s="21"/>
      <c r="J34" s="410" t="s">
        <v>22</v>
      </c>
      <c r="K34" s="410"/>
    </row>
    <row r="35" spans="1:11" x14ac:dyDescent="0.35">
      <c r="A35" s="22" t="s">
        <v>82</v>
      </c>
      <c r="B35" s="28"/>
      <c r="C35" s="28"/>
      <c r="E35" s="22" t="s">
        <v>23</v>
      </c>
      <c r="F35" s="22"/>
      <c r="G35" s="22" t="s">
        <v>24</v>
      </c>
      <c r="H35" s="22"/>
      <c r="I35" s="22"/>
      <c r="J35" s="389" t="s">
        <v>25</v>
      </c>
      <c r="K35" s="389"/>
    </row>
    <row r="36" spans="1:11" x14ac:dyDescent="0.35">
      <c r="A36" s="23" t="s">
        <v>85</v>
      </c>
      <c r="B36" s="26"/>
      <c r="C36" s="26"/>
      <c r="E36" s="23" t="s">
        <v>41</v>
      </c>
      <c r="F36" s="23"/>
      <c r="G36" s="23" t="s">
        <v>39</v>
      </c>
      <c r="H36" s="23"/>
      <c r="I36" s="23"/>
      <c r="J36" s="390" t="s">
        <v>26</v>
      </c>
      <c r="K36" s="390"/>
    </row>
    <row r="37" spans="1:11" x14ac:dyDescent="0.35">
      <c r="A37" s="23" t="s">
        <v>27</v>
      </c>
      <c r="B37" s="26"/>
      <c r="C37" s="26"/>
      <c r="E37" s="23" t="s">
        <v>27</v>
      </c>
      <c r="F37" s="23"/>
      <c r="G37" s="23" t="s">
        <v>27</v>
      </c>
      <c r="H37" s="23"/>
      <c r="I37" s="23"/>
      <c r="J37" s="1"/>
      <c r="K37" s="23"/>
    </row>
    <row r="42" spans="1:11" x14ac:dyDescent="0.35">
      <c r="A42" s="371" t="s">
        <v>36</v>
      </c>
      <c r="B42" s="371"/>
    </row>
    <row r="43" spans="1:11" x14ac:dyDescent="0.35">
      <c r="A43" s="28" t="s">
        <v>6</v>
      </c>
    </row>
    <row r="44" spans="1:11" x14ac:dyDescent="0.35">
      <c r="A44" s="26" t="s">
        <v>128</v>
      </c>
    </row>
    <row r="45" spans="1:11" x14ac:dyDescent="0.35">
      <c r="A45" s="390" t="s">
        <v>40</v>
      </c>
      <c r="B45" s="390"/>
    </row>
  </sheetData>
  <mergeCells count="18">
    <mergeCell ref="J34:K34"/>
    <mergeCell ref="J35:K35"/>
    <mergeCell ref="J36:K36"/>
    <mergeCell ref="A42:B42"/>
    <mergeCell ref="A45:B45"/>
    <mergeCell ref="A25:G29"/>
    <mergeCell ref="B7:K7"/>
    <mergeCell ref="B8:K8"/>
    <mergeCell ref="B9:K9"/>
    <mergeCell ref="B10:K10"/>
    <mergeCell ref="J18:K18"/>
    <mergeCell ref="B19:K19"/>
    <mergeCell ref="B6:K6"/>
    <mergeCell ref="A1:K1"/>
    <mergeCell ref="B2:K2"/>
    <mergeCell ref="B3:K3"/>
    <mergeCell ref="B4:K4"/>
    <mergeCell ref="B5:K5"/>
  </mergeCells>
  <pageMargins left="0.25" right="0.25" top="0.75" bottom="0.75" header="0.3" footer="0.3"/>
  <pageSetup scale="71"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BA789-AAC7-4003-B51A-87ED9B809B83}">
  <sheetPr>
    <pageSetUpPr fitToPage="1"/>
  </sheetPr>
  <dimension ref="A1:K44"/>
  <sheetViews>
    <sheetView topLeftCell="A8" workbookViewId="0">
      <selection activeCell="E22" sqref="E22"/>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1"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158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45794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176283</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45794</v>
      </c>
      <c r="C12" s="31">
        <v>1660</v>
      </c>
      <c r="D12" s="29" t="s">
        <v>86</v>
      </c>
      <c r="E12" s="10" t="s">
        <v>47</v>
      </c>
      <c r="F12" s="10">
        <v>45771</v>
      </c>
      <c r="G12" s="11">
        <v>87242</v>
      </c>
      <c r="H12" s="30">
        <f>G12</f>
        <v>87242</v>
      </c>
      <c r="I12" s="57">
        <v>45817</v>
      </c>
      <c r="J12" s="35" t="s">
        <v>32</v>
      </c>
      <c r="K12" s="36" t="s">
        <v>43</v>
      </c>
    </row>
    <row r="13" spans="1:11" ht="15" x14ac:dyDescent="0.35">
      <c r="A13" s="25">
        <v>2</v>
      </c>
      <c r="B13" s="38">
        <v>45794</v>
      </c>
      <c r="C13" s="32">
        <v>1658</v>
      </c>
      <c r="D13" s="60" t="s">
        <v>88</v>
      </c>
      <c r="E13" s="37" t="s">
        <v>47</v>
      </c>
      <c r="F13" s="10">
        <v>45771</v>
      </c>
      <c r="G13" s="11">
        <v>22186</v>
      </c>
      <c r="H13" s="30">
        <f t="shared" ref="H13:H16" si="0">G13</f>
        <v>22186</v>
      </c>
      <c r="I13" s="57">
        <v>45817</v>
      </c>
      <c r="J13" s="35" t="s">
        <v>32</v>
      </c>
      <c r="K13" s="36" t="s">
        <v>43</v>
      </c>
    </row>
    <row r="14" spans="1:11" ht="15" x14ac:dyDescent="0.35">
      <c r="A14" s="25">
        <v>3</v>
      </c>
      <c r="B14" s="38">
        <v>45794</v>
      </c>
      <c r="C14" s="31">
        <v>1656</v>
      </c>
      <c r="D14" s="29" t="s">
        <v>87</v>
      </c>
      <c r="E14" s="10" t="s">
        <v>47</v>
      </c>
      <c r="F14" s="10">
        <v>45771</v>
      </c>
      <c r="G14" s="11">
        <v>2659</v>
      </c>
      <c r="H14" s="30">
        <f t="shared" si="0"/>
        <v>2659</v>
      </c>
      <c r="I14" s="57">
        <v>45817</v>
      </c>
      <c r="J14" s="38" t="s">
        <v>32</v>
      </c>
      <c r="K14" s="43" t="s">
        <v>43</v>
      </c>
    </row>
    <row r="15" spans="1:11" ht="15" x14ac:dyDescent="0.35">
      <c r="A15" s="25">
        <v>4</v>
      </c>
      <c r="B15" s="38">
        <v>45794</v>
      </c>
      <c r="C15" s="31">
        <v>1657</v>
      </c>
      <c r="D15" s="29" t="s">
        <v>89</v>
      </c>
      <c r="E15" s="10" t="s">
        <v>47</v>
      </c>
      <c r="F15" s="10">
        <v>45771</v>
      </c>
      <c r="G15" s="64">
        <v>12273</v>
      </c>
      <c r="H15" s="30">
        <f t="shared" si="0"/>
        <v>12273</v>
      </c>
      <c r="I15" s="57">
        <v>45817</v>
      </c>
      <c r="J15" s="38" t="s">
        <v>32</v>
      </c>
      <c r="K15" s="43" t="s">
        <v>43</v>
      </c>
    </row>
    <row r="16" spans="1:11" ht="15" x14ac:dyDescent="0.35">
      <c r="A16" s="25">
        <v>5</v>
      </c>
      <c r="B16" s="38">
        <v>45794</v>
      </c>
      <c r="C16" s="31">
        <v>1670</v>
      </c>
      <c r="D16" s="29" t="s">
        <v>90</v>
      </c>
      <c r="E16" s="10" t="s">
        <v>47</v>
      </c>
      <c r="F16" s="10">
        <v>45771</v>
      </c>
      <c r="G16" s="64">
        <v>51923</v>
      </c>
      <c r="H16" s="30">
        <f t="shared" si="0"/>
        <v>51923</v>
      </c>
      <c r="I16" s="57">
        <v>45817</v>
      </c>
      <c r="J16" s="38" t="s">
        <v>32</v>
      </c>
      <c r="K16" s="43" t="s">
        <v>43</v>
      </c>
    </row>
    <row r="17" spans="1:11" ht="15" x14ac:dyDescent="0.35">
      <c r="A17" s="40"/>
      <c r="B17" s="49"/>
      <c r="C17" s="49"/>
      <c r="D17" s="49"/>
      <c r="E17" s="49"/>
      <c r="F17" s="49"/>
      <c r="G17" s="50"/>
      <c r="H17" s="47">
        <f>SUM(H12:H16)</f>
        <v>176283</v>
      </c>
      <c r="I17" s="12"/>
      <c r="J17" s="411"/>
      <c r="K17" s="412"/>
    </row>
    <row r="18" spans="1:11" x14ac:dyDescent="0.35">
      <c r="A18" s="25"/>
      <c r="B18" s="368" t="s">
        <v>159</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24"/>
      <c r="C32" s="24"/>
      <c r="D32" s="1"/>
      <c r="E32" s="24" t="s">
        <v>34</v>
      </c>
      <c r="F32" s="24"/>
      <c r="H32" s="20"/>
      <c r="I32" s="20"/>
      <c r="J32" s="20"/>
      <c r="K32" s="21"/>
    </row>
    <row r="33" spans="1:11" x14ac:dyDescent="0.35">
      <c r="A33" s="54" t="s">
        <v>19</v>
      </c>
      <c r="B33" s="27"/>
      <c r="C33" s="27"/>
      <c r="E33" s="21" t="s">
        <v>20</v>
      </c>
      <c r="F33" s="21"/>
      <c r="G33" s="46" t="s">
        <v>21</v>
      </c>
      <c r="H33" s="21"/>
      <c r="I33" s="21"/>
      <c r="J33" s="410" t="s">
        <v>22</v>
      </c>
      <c r="K33" s="410"/>
    </row>
    <row r="34" spans="1:11" x14ac:dyDescent="0.35">
      <c r="A34" s="22" t="s">
        <v>82</v>
      </c>
      <c r="B34" s="28"/>
      <c r="C34" s="28"/>
      <c r="E34" s="22" t="s">
        <v>23</v>
      </c>
      <c r="F34" s="22"/>
      <c r="G34" s="22" t="s">
        <v>24</v>
      </c>
      <c r="H34" s="22"/>
      <c r="I34" s="22"/>
      <c r="J34" s="389" t="s">
        <v>25</v>
      </c>
      <c r="K34" s="389"/>
    </row>
    <row r="35" spans="1:11" x14ac:dyDescent="0.35">
      <c r="A35" s="23" t="s">
        <v>85</v>
      </c>
      <c r="B35" s="26"/>
      <c r="C35" s="26"/>
      <c r="E35" s="23" t="s">
        <v>41</v>
      </c>
      <c r="F35" s="23"/>
      <c r="G35" s="23" t="s">
        <v>39</v>
      </c>
      <c r="H35" s="23"/>
      <c r="I35" s="23"/>
      <c r="J35" s="390" t="s">
        <v>26</v>
      </c>
      <c r="K35" s="390"/>
    </row>
    <row r="36" spans="1:11" x14ac:dyDescent="0.35">
      <c r="A36" s="23" t="s">
        <v>27</v>
      </c>
      <c r="B36" s="26"/>
      <c r="C36" s="26"/>
      <c r="E36" s="23" t="s">
        <v>27</v>
      </c>
      <c r="F36" s="23"/>
      <c r="G36" s="23" t="s">
        <v>27</v>
      </c>
      <c r="H36" s="23"/>
      <c r="I36" s="23"/>
      <c r="J36" s="1"/>
      <c r="K36" s="23"/>
    </row>
    <row r="41" spans="1:11" x14ac:dyDescent="0.35">
      <c r="A41" s="371" t="s">
        <v>36</v>
      </c>
      <c r="B41" s="371"/>
    </row>
    <row r="42" spans="1:11" x14ac:dyDescent="0.35">
      <c r="A42" s="28" t="s">
        <v>6</v>
      </c>
    </row>
    <row r="43" spans="1:11" x14ac:dyDescent="0.35">
      <c r="A43" s="26" t="s">
        <v>128</v>
      </c>
    </row>
    <row r="44" spans="1:11" x14ac:dyDescent="0.35">
      <c r="A44" s="390" t="s">
        <v>40</v>
      </c>
      <c r="B44" s="390"/>
    </row>
  </sheetData>
  <mergeCells count="17">
    <mergeCell ref="J33:K33"/>
    <mergeCell ref="J34:K34"/>
    <mergeCell ref="J35:K35"/>
    <mergeCell ref="A41:B41"/>
    <mergeCell ref="A44:B44"/>
    <mergeCell ref="B18:K18"/>
    <mergeCell ref="A1:K1"/>
    <mergeCell ref="B2:K2"/>
    <mergeCell ref="B3:K3"/>
    <mergeCell ref="B4:K4"/>
    <mergeCell ref="B5:K5"/>
    <mergeCell ref="B6:K6"/>
    <mergeCell ref="B7:K7"/>
    <mergeCell ref="B8:K8"/>
    <mergeCell ref="B9:K9"/>
    <mergeCell ref="B10:K10"/>
    <mergeCell ref="J17:K17"/>
  </mergeCells>
  <pageMargins left="0.25" right="0.25" top="0.75" bottom="0.75" header="0.3" footer="0.3"/>
  <pageSetup scale="73"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A82C-2D92-4B41-8B34-0ED1652B05F5}">
  <sheetPr>
    <pageSetUpPr fitToPage="1"/>
  </sheetPr>
  <dimension ref="A1:K36"/>
  <sheetViews>
    <sheetView topLeftCell="A11" workbookViewId="0">
      <selection sqref="A1:K3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2.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164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45832</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167324</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45832</v>
      </c>
      <c r="C12" s="31">
        <v>1660</v>
      </c>
      <c r="D12" s="29" t="s">
        <v>86</v>
      </c>
      <c r="E12" s="10" t="s">
        <v>47</v>
      </c>
      <c r="F12" s="10">
        <v>45801</v>
      </c>
      <c r="G12" s="11">
        <v>89129</v>
      </c>
      <c r="H12" s="30">
        <f>G12</f>
        <v>89129</v>
      </c>
      <c r="I12" s="57">
        <v>45852</v>
      </c>
      <c r="J12" s="35" t="s">
        <v>32</v>
      </c>
      <c r="K12" s="36" t="s">
        <v>43</v>
      </c>
    </row>
    <row r="13" spans="1:11" ht="15" x14ac:dyDescent="0.35">
      <c r="A13" s="25">
        <v>2</v>
      </c>
      <c r="B13" s="38">
        <v>45832</v>
      </c>
      <c r="C13" s="32">
        <v>1658</v>
      </c>
      <c r="D13" s="60" t="s">
        <v>88</v>
      </c>
      <c r="E13" s="37" t="s">
        <v>47</v>
      </c>
      <c r="F13" s="10">
        <v>45802</v>
      </c>
      <c r="G13" s="11">
        <v>14240</v>
      </c>
      <c r="H13" s="30">
        <f t="shared" ref="H13:H16" si="0">G13</f>
        <v>14240</v>
      </c>
      <c r="I13" s="57">
        <v>45852</v>
      </c>
      <c r="J13" s="35" t="s">
        <v>32</v>
      </c>
      <c r="K13" s="36" t="s">
        <v>43</v>
      </c>
    </row>
    <row r="14" spans="1:11" ht="15" x14ac:dyDescent="0.35">
      <c r="A14" s="25">
        <v>3</v>
      </c>
      <c r="B14" s="38">
        <v>45832</v>
      </c>
      <c r="C14" s="31">
        <v>1656</v>
      </c>
      <c r="D14" s="29" t="s">
        <v>87</v>
      </c>
      <c r="E14" s="10" t="s">
        <v>47</v>
      </c>
      <c r="F14" s="10">
        <v>45803</v>
      </c>
      <c r="G14" s="11">
        <v>2739</v>
      </c>
      <c r="H14" s="30">
        <f t="shared" si="0"/>
        <v>2739</v>
      </c>
      <c r="I14" s="57">
        <v>45852</v>
      </c>
      <c r="J14" s="38" t="s">
        <v>32</v>
      </c>
      <c r="K14" s="43" t="s">
        <v>43</v>
      </c>
    </row>
    <row r="15" spans="1:11" ht="15" x14ac:dyDescent="0.35">
      <c r="A15" s="25">
        <v>4</v>
      </c>
      <c r="B15" s="38">
        <v>45832</v>
      </c>
      <c r="C15" s="31">
        <v>1657</v>
      </c>
      <c r="D15" s="29" t="s">
        <v>89</v>
      </c>
      <c r="E15" s="10" t="s">
        <v>47</v>
      </c>
      <c r="F15" s="10">
        <v>45804</v>
      </c>
      <c r="G15" s="64">
        <v>12889</v>
      </c>
      <c r="H15" s="30">
        <f t="shared" si="0"/>
        <v>12889</v>
      </c>
      <c r="I15" s="57">
        <v>45852</v>
      </c>
      <c r="J15" s="38" t="s">
        <v>32</v>
      </c>
      <c r="K15" s="43" t="s">
        <v>43</v>
      </c>
    </row>
    <row r="16" spans="1:11" ht="15" x14ac:dyDescent="0.35">
      <c r="A16" s="25">
        <v>5</v>
      </c>
      <c r="B16" s="38">
        <v>45832</v>
      </c>
      <c r="C16" s="31">
        <v>1670</v>
      </c>
      <c r="D16" s="29" t="s">
        <v>90</v>
      </c>
      <c r="E16" s="10" t="s">
        <v>47</v>
      </c>
      <c r="F16" s="10">
        <v>45805</v>
      </c>
      <c r="G16" s="64">
        <v>48327</v>
      </c>
      <c r="H16" s="30">
        <f t="shared" si="0"/>
        <v>48327</v>
      </c>
      <c r="I16" s="57">
        <v>45852</v>
      </c>
      <c r="J16" s="38" t="s">
        <v>32</v>
      </c>
      <c r="K16" s="43" t="s">
        <v>43</v>
      </c>
    </row>
    <row r="17" spans="1:11" ht="15" x14ac:dyDescent="0.35">
      <c r="A17" s="40"/>
      <c r="B17" s="49"/>
      <c r="C17" s="49"/>
      <c r="D17" s="49"/>
      <c r="E17" s="49"/>
      <c r="F17" s="49"/>
      <c r="G17" s="50"/>
      <c r="H17" s="47">
        <f>SUM(H12:H16)</f>
        <v>167324</v>
      </c>
      <c r="I17" s="12"/>
      <c r="J17" s="411"/>
      <c r="K17" s="412"/>
    </row>
    <row r="18" spans="1:11" x14ac:dyDescent="0.35">
      <c r="A18" s="25"/>
      <c r="B18" s="368" t="s">
        <v>165</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24"/>
      <c r="C32" s="24"/>
      <c r="D32" s="1"/>
      <c r="E32" s="24" t="s">
        <v>34</v>
      </c>
      <c r="F32" s="24"/>
      <c r="H32" s="20"/>
      <c r="I32" s="20"/>
      <c r="J32" s="20"/>
      <c r="K32" s="21"/>
    </row>
    <row r="33" spans="1:11" x14ac:dyDescent="0.35">
      <c r="A33" s="54" t="s">
        <v>19</v>
      </c>
      <c r="B33" s="27"/>
      <c r="C33" s="27"/>
      <c r="E33" s="21" t="s">
        <v>20</v>
      </c>
      <c r="F33" s="21"/>
      <c r="G33" s="46" t="s">
        <v>21</v>
      </c>
      <c r="H33" s="21"/>
      <c r="I33" s="21"/>
      <c r="J33" s="410" t="s">
        <v>22</v>
      </c>
      <c r="K33" s="410"/>
    </row>
    <row r="34" spans="1:11" x14ac:dyDescent="0.35">
      <c r="A34" s="22" t="s">
        <v>82</v>
      </c>
      <c r="B34" s="28"/>
      <c r="C34" s="28"/>
      <c r="E34" s="22" t="s">
        <v>23</v>
      </c>
      <c r="F34" s="22"/>
      <c r="G34" s="22" t="s">
        <v>24</v>
      </c>
      <c r="H34" s="22"/>
      <c r="I34" s="22"/>
      <c r="J34" s="389" t="s">
        <v>25</v>
      </c>
      <c r="K34" s="389"/>
    </row>
    <row r="35" spans="1:11" x14ac:dyDescent="0.35">
      <c r="A35" s="23" t="s">
        <v>85</v>
      </c>
      <c r="B35" s="26"/>
      <c r="C35" s="26"/>
      <c r="E35" s="23" t="s">
        <v>41</v>
      </c>
      <c r="F35" s="23"/>
      <c r="G35" s="23" t="s">
        <v>166</v>
      </c>
      <c r="H35" s="23"/>
      <c r="I35" s="23"/>
      <c r="J35" s="390" t="s">
        <v>26</v>
      </c>
      <c r="K35" s="390"/>
    </row>
    <row r="36" spans="1:11" x14ac:dyDescent="0.35">
      <c r="A36" s="23" t="s">
        <v>27</v>
      </c>
      <c r="B36" s="26"/>
      <c r="C36" s="26"/>
      <c r="E36" s="23" t="s">
        <v>27</v>
      </c>
      <c r="F36" s="23"/>
      <c r="G36" s="23" t="s">
        <v>27</v>
      </c>
      <c r="H36" s="23"/>
      <c r="I36" s="23"/>
      <c r="J36" s="1"/>
      <c r="K36" s="23"/>
    </row>
  </sheetData>
  <mergeCells count="15">
    <mergeCell ref="J33:K33"/>
    <mergeCell ref="J34:K34"/>
    <mergeCell ref="J35:K35"/>
    <mergeCell ref="B7:K7"/>
    <mergeCell ref="B8:K8"/>
    <mergeCell ref="B9:K9"/>
    <mergeCell ref="B10:K10"/>
    <mergeCell ref="J17:K17"/>
    <mergeCell ref="B18:K18"/>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CB90-CD67-4660-96CB-37B6B3B02141}">
  <sheetPr>
    <pageSetUpPr fitToPage="1"/>
  </sheetPr>
  <dimension ref="A1:K36"/>
  <sheetViews>
    <sheetView workbookViewId="0">
      <selection sqref="A1:K36"/>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144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45715</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37388</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45715</v>
      </c>
      <c r="C12" s="31">
        <v>1661</v>
      </c>
      <c r="D12" s="29" t="s">
        <v>109</v>
      </c>
      <c r="E12" s="37" t="s">
        <v>47</v>
      </c>
      <c r="F12" s="10">
        <v>45681</v>
      </c>
      <c r="G12" s="11">
        <v>16198</v>
      </c>
      <c r="H12" s="30">
        <f>G12</f>
        <v>16198</v>
      </c>
      <c r="I12" s="57">
        <v>45726</v>
      </c>
      <c r="J12" s="35" t="s">
        <v>32</v>
      </c>
      <c r="K12" s="36" t="s">
        <v>43</v>
      </c>
    </row>
    <row r="13" spans="1:11" ht="15" x14ac:dyDescent="0.35">
      <c r="A13" s="25">
        <v>2</v>
      </c>
      <c r="B13" s="38">
        <v>45715</v>
      </c>
      <c r="C13" s="31">
        <v>1662</v>
      </c>
      <c r="D13" s="29" t="s">
        <v>116</v>
      </c>
      <c r="E13" s="10" t="s">
        <v>47</v>
      </c>
      <c r="F13" s="10">
        <v>45682</v>
      </c>
      <c r="G13" s="11">
        <v>16495</v>
      </c>
      <c r="H13" s="30">
        <f>G13</f>
        <v>16495</v>
      </c>
      <c r="I13" s="57">
        <v>45726</v>
      </c>
      <c r="J13" s="38" t="s">
        <v>32</v>
      </c>
      <c r="K13" s="43" t="s">
        <v>43</v>
      </c>
    </row>
    <row r="14" spans="1:11" ht="15" x14ac:dyDescent="0.35">
      <c r="A14" s="40">
        <v>3</v>
      </c>
      <c r="B14" s="38">
        <v>45715</v>
      </c>
      <c r="C14" s="31">
        <v>1659</v>
      </c>
      <c r="D14" s="29" t="s">
        <v>91</v>
      </c>
      <c r="E14" s="10" t="s">
        <v>47</v>
      </c>
      <c r="F14" s="10">
        <v>45683</v>
      </c>
      <c r="G14" s="64">
        <v>4695</v>
      </c>
      <c r="H14" s="30">
        <f>G14</f>
        <v>4695</v>
      </c>
      <c r="I14" s="58">
        <v>45726</v>
      </c>
      <c r="J14" s="38" t="s">
        <v>32</v>
      </c>
      <c r="K14" s="43" t="s">
        <v>43</v>
      </c>
    </row>
    <row r="15" spans="1:11" ht="15" x14ac:dyDescent="0.35">
      <c r="A15" s="69"/>
      <c r="B15" s="49"/>
      <c r="C15" s="49"/>
      <c r="D15" s="49"/>
      <c r="E15" s="49"/>
      <c r="F15" s="49"/>
      <c r="G15" s="50"/>
      <c r="H15" s="47">
        <f>SUM(H12:H14)</f>
        <v>37388</v>
      </c>
      <c r="I15" s="56"/>
      <c r="J15" s="411"/>
      <c r="K15" s="412"/>
    </row>
    <row r="16" spans="1:11" x14ac:dyDescent="0.35">
      <c r="A16" s="25"/>
      <c r="B16" s="368" t="s">
        <v>145</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E24" s="21" t="s">
        <v>20</v>
      </c>
      <c r="F24" s="21"/>
      <c r="G24" s="46" t="s">
        <v>21</v>
      </c>
      <c r="H24" s="21"/>
      <c r="I24" s="21"/>
      <c r="J24" s="410" t="s">
        <v>22</v>
      </c>
      <c r="K24" s="410"/>
    </row>
    <row r="25" spans="1:11" x14ac:dyDescent="0.35">
      <c r="A25" s="22" t="s">
        <v>82</v>
      </c>
      <c r="B25" s="28"/>
      <c r="C25" s="28"/>
      <c r="E25" s="22" t="s">
        <v>23</v>
      </c>
      <c r="F25" s="22"/>
      <c r="G25" s="22" t="s">
        <v>24</v>
      </c>
      <c r="H25" s="22"/>
      <c r="I25" s="22"/>
      <c r="J25" s="389" t="s">
        <v>25</v>
      </c>
      <c r="K25" s="389"/>
    </row>
    <row r="26" spans="1:11" x14ac:dyDescent="0.35">
      <c r="A26" s="23" t="s">
        <v>85</v>
      </c>
      <c r="B26" s="26"/>
      <c r="C26" s="26"/>
      <c r="E26" s="23" t="s">
        <v>41</v>
      </c>
      <c r="F26" s="23"/>
      <c r="G26" s="23" t="s">
        <v>39</v>
      </c>
      <c r="H26" s="23"/>
      <c r="I26" s="23"/>
      <c r="J26" s="390" t="s">
        <v>26</v>
      </c>
      <c r="K26" s="390"/>
    </row>
    <row r="27" spans="1:11" x14ac:dyDescent="0.35">
      <c r="A27" s="23" t="s">
        <v>27</v>
      </c>
      <c r="B27" s="26"/>
      <c r="C27" s="26"/>
      <c r="E27" s="23" t="s">
        <v>27</v>
      </c>
      <c r="F27" s="23"/>
      <c r="G27" s="23" t="s">
        <v>27</v>
      </c>
      <c r="H27" s="23"/>
      <c r="I27" s="23"/>
      <c r="J27" s="1"/>
      <c r="K27" s="23"/>
    </row>
    <row r="33" spans="1:1" x14ac:dyDescent="0.35">
      <c r="A33" s="21" t="s">
        <v>141</v>
      </c>
    </row>
    <row r="34" spans="1:1" x14ac:dyDescent="0.35">
      <c r="A34" s="28" t="s">
        <v>6</v>
      </c>
    </row>
    <row r="35" spans="1:1" x14ac:dyDescent="0.35">
      <c r="A35" s="26" t="s">
        <v>128</v>
      </c>
    </row>
    <row r="36" spans="1:1" x14ac:dyDescent="0.35">
      <c r="A36" s="23" t="s">
        <v>40</v>
      </c>
    </row>
  </sheetData>
  <mergeCells count="15">
    <mergeCell ref="B6:K6"/>
    <mergeCell ref="A1:K1"/>
    <mergeCell ref="B2:K2"/>
    <mergeCell ref="B3:K3"/>
    <mergeCell ref="B4:K4"/>
    <mergeCell ref="B5:K5"/>
    <mergeCell ref="J24:K24"/>
    <mergeCell ref="J25:K25"/>
    <mergeCell ref="J26:K26"/>
    <mergeCell ref="B7:K7"/>
    <mergeCell ref="B8:K8"/>
    <mergeCell ref="B9:K9"/>
    <mergeCell ref="B10:K10"/>
    <mergeCell ref="J15:K15"/>
    <mergeCell ref="B16:K16"/>
  </mergeCells>
  <pageMargins left="0.25" right="0.25" top="0.75" bottom="0.75" header="0.3" footer="0.3"/>
  <pageSetup scale="78"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5179-6FAB-40AE-84C4-A235516F8A14}">
  <sheetPr>
    <pageSetUpPr fitToPage="1"/>
  </sheetPr>
  <dimension ref="A1:K41"/>
  <sheetViews>
    <sheetView workbookViewId="0">
      <selection sqref="A1:K41"/>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3.5" customHeight="1" x14ac:dyDescent="0.35">
      <c r="A1" s="363" t="s">
        <v>155</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144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45770</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40863</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45756</v>
      </c>
      <c r="C12" s="31">
        <v>1661</v>
      </c>
      <c r="D12" s="29" t="s">
        <v>109</v>
      </c>
      <c r="E12" s="37" t="s">
        <v>47</v>
      </c>
      <c r="F12" s="10">
        <v>45712</v>
      </c>
      <c r="G12" s="11">
        <v>18947</v>
      </c>
      <c r="H12" s="30">
        <f>G12</f>
        <v>18947</v>
      </c>
      <c r="I12" s="57">
        <v>45766</v>
      </c>
      <c r="J12" s="35" t="s">
        <v>32</v>
      </c>
      <c r="K12" s="36" t="s">
        <v>43</v>
      </c>
    </row>
    <row r="13" spans="1:11" ht="15" x14ac:dyDescent="0.35">
      <c r="A13" s="25">
        <v>2</v>
      </c>
      <c r="B13" s="38">
        <v>45756</v>
      </c>
      <c r="C13" s="31">
        <v>1662</v>
      </c>
      <c r="D13" s="29" t="s">
        <v>116</v>
      </c>
      <c r="E13" s="10" t="s">
        <v>47</v>
      </c>
      <c r="F13" s="10">
        <v>45713</v>
      </c>
      <c r="G13" s="11">
        <v>16799</v>
      </c>
      <c r="H13" s="30">
        <f>G13</f>
        <v>16799</v>
      </c>
      <c r="I13" s="57">
        <v>45769</v>
      </c>
      <c r="J13" s="38" t="s">
        <v>32</v>
      </c>
      <c r="K13" s="43" t="s">
        <v>43</v>
      </c>
    </row>
    <row r="14" spans="1:11" ht="15" x14ac:dyDescent="0.35">
      <c r="A14" s="40">
        <v>3</v>
      </c>
      <c r="B14" s="38">
        <v>45756</v>
      </c>
      <c r="C14" s="31">
        <v>1659</v>
      </c>
      <c r="D14" s="29" t="s">
        <v>91</v>
      </c>
      <c r="E14" s="10" t="s">
        <v>47</v>
      </c>
      <c r="F14" s="10">
        <v>45714</v>
      </c>
      <c r="G14" s="64">
        <v>5117</v>
      </c>
      <c r="H14" s="30">
        <f>G14</f>
        <v>5117</v>
      </c>
      <c r="I14" s="58">
        <v>45772</v>
      </c>
      <c r="J14" s="38" t="s">
        <v>32</v>
      </c>
      <c r="K14" s="43" t="s">
        <v>43</v>
      </c>
    </row>
    <row r="15" spans="1:11" ht="15" x14ac:dyDescent="0.35">
      <c r="A15" s="69"/>
      <c r="B15" s="49"/>
      <c r="C15" s="49"/>
      <c r="D15" s="49"/>
      <c r="E15" s="49"/>
      <c r="F15" s="49"/>
      <c r="G15" s="50"/>
      <c r="H15" s="47">
        <f>SUM(H12:H14)</f>
        <v>40863</v>
      </c>
      <c r="I15" s="56"/>
      <c r="J15" s="411"/>
      <c r="K15" s="412"/>
    </row>
    <row r="16" spans="1:11" x14ac:dyDescent="0.35">
      <c r="A16" s="25"/>
      <c r="B16" s="368" t="s">
        <v>153</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15" t="s">
        <v>154</v>
      </c>
      <c r="B20" s="415"/>
      <c r="C20" s="415"/>
      <c r="D20" s="415"/>
      <c r="E20" s="415"/>
      <c r="F20" s="1"/>
      <c r="G20" s="1"/>
      <c r="H20" s="1"/>
      <c r="I20" s="1"/>
      <c r="J20" s="1"/>
      <c r="K20" s="1"/>
    </row>
    <row r="21" spans="1:11" x14ac:dyDescent="0.35">
      <c r="A21" s="415"/>
      <c r="B21" s="415"/>
      <c r="C21" s="415"/>
      <c r="D21" s="415"/>
      <c r="E21" s="415"/>
      <c r="F21" s="1"/>
      <c r="G21" s="1"/>
      <c r="H21" s="1"/>
      <c r="I21" s="1"/>
      <c r="J21" s="1"/>
      <c r="K21" s="1"/>
    </row>
    <row r="22" spans="1:11" x14ac:dyDescent="0.35">
      <c r="A22" s="415"/>
      <c r="B22" s="415"/>
      <c r="C22" s="415"/>
      <c r="D22" s="415"/>
      <c r="E22" s="415"/>
      <c r="F22" s="1"/>
      <c r="G22" s="1"/>
      <c r="H22" s="1"/>
      <c r="I22" s="1"/>
      <c r="J22" s="1"/>
      <c r="K22" s="1"/>
    </row>
    <row r="23" spans="1:11" x14ac:dyDescent="0.35">
      <c r="A23" s="1"/>
      <c r="B23" s="1"/>
      <c r="C23" s="1"/>
      <c r="D23" s="1"/>
      <c r="E23" s="1"/>
      <c r="F23" s="1"/>
      <c r="G23" s="1"/>
      <c r="H23" s="1"/>
      <c r="I23" s="1"/>
      <c r="J23" s="1"/>
      <c r="K23" s="1"/>
    </row>
    <row r="24" spans="1:11" x14ac:dyDescent="0.35">
      <c r="A24" s="1"/>
      <c r="B24" s="1"/>
      <c r="C24" s="1"/>
      <c r="D24" s="1"/>
      <c r="E24" s="1"/>
      <c r="F24" s="1"/>
      <c r="G24" s="1"/>
      <c r="H24" s="1"/>
      <c r="I24" s="1"/>
      <c r="J24" s="1"/>
      <c r="K24" s="1"/>
    </row>
    <row r="25" spans="1:11" x14ac:dyDescent="0.35">
      <c r="A25" s="48"/>
      <c r="B25" s="1"/>
      <c r="C25" s="1"/>
      <c r="D25" s="1"/>
      <c r="E25" s="1"/>
      <c r="F25" s="1"/>
      <c r="G25" s="20"/>
      <c r="H25" s="1"/>
      <c r="I25" s="1"/>
      <c r="J25" s="1"/>
      <c r="K25" s="1"/>
    </row>
    <row r="26" spans="1:11" x14ac:dyDescent="0.35">
      <c r="A26" s="48"/>
      <c r="B26" s="1"/>
      <c r="C26" s="1"/>
      <c r="D26" s="1"/>
      <c r="E26" s="1"/>
      <c r="F26" s="1"/>
      <c r="G26" s="1"/>
      <c r="H26" s="1"/>
      <c r="I26" s="1"/>
      <c r="J26" s="1"/>
      <c r="K26" s="1"/>
    </row>
    <row r="27" spans="1:11" x14ac:dyDescent="0.35">
      <c r="A27" s="51"/>
      <c r="B27" s="1"/>
      <c r="C27" s="1"/>
      <c r="D27" s="1"/>
      <c r="E27" s="1"/>
      <c r="F27" s="1"/>
      <c r="G27" s="1"/>
      <c r="H27" s="1"/>
      <c r="I27" s="1"/>
      <c r="J27" s="1"/>
      <c r="K27" s="1"/>
    </row>
    <row r="28" spans="1:11" x14ac:dyDescent="0.35">
      <c r="A28" s="14"/>
      <c r="B28" s="24"/>
      <c r="C28" s="24"/>
      <c r="D28" s="1"/>
      <c r="E28" s="24" t="s">
        <v>34</v>
      </c>
      <c r="F28" s="24"/>
      <c r="H28" s="20"/>
      <c r="I28" s="20"/>
      <c r="J28" s="20"/>
      <c r="K28" s="21"/>
    </row>
    <row r="29" spans="1:11" x14ac:dyDescent="0.35">
      <c r="A29" s="54" t="s">
        <v>19</v>
      </c>
      <c r="B29" s="27"/>
      <c r="C29" s="27"/>
      <c r="E29" s="21" t="s">
        <v>20</v>
      </c>
      <c r="F29" s="21"/>
      <c r="G29" s="46" t="s">
        <v>21</v>
      </c>
      <c r="H29" s="21"/>
      <c r="I29" s="21"/>
      <c r="J29" s="410" t="s">
        <v>22</v>
      </c>
      <c r="K29" s="410"/>
    </row>
    <row r="30" spans="1:11" x14ac:dyDescent="0.35">
      <c r="A30" s="22" t="s">
        <v>82</v>
      </c>
      <c r="B30" s="28"/>
      <c r="C30" s="28"/>
      <c r="E30" s="22" t="s">
        <v>23</v>
      </c>
      <c r="F30" s="22"/>
      <c r="G30" s="22" t="s">
        <v>24</v>
      </c>
      <c r="H30" s="22"/>
      <c r="I30" s="22"/>
      <c r="J30" s="389" t="s">
        <v>25</v>
      </c>
      <c r="K30" s="389"/>
    </row>
    <row r="31" spans="1:11" x14ac:dyDescent="0.35">
      <c r="A31" s="23" t="s">
        <v>85</v>
      </c>
      <c r="B31" s="26"/>
      <c r="C31" s="26"/>
      <c r="E31" s="23" t="s">
        <v>41</v>
      </c>
      <c r="F31" s="23"/>
      <c r="G31" s="23" t="s">
        <v>39</v>
      </c>
      <c r="H31" s="23"/>
      <c r="I31" s="23"/>
      <c r="J31" s="390" t="s">
        <v>26</v>
      </c>
      <c r="K31" s="390"/>
    </row>
    <row r="32" spans="1:11" x14ac:dyDescent="0.35">
      <c r="A32" s="23" t="s">
        <v>27</v>
      </c>
      <c r="B32" s="26"/>
      <c r="C32" s="26"/>
      <c r="E32" s="23" t="s">
        <v>27</v>
      </c>
      <c r="F32" s="23"/>
      <c r="G32" s="23" t="s">
        <v>27</v>
      </c>
      <c r="H32" s="23"/>
      <c r="I32" s="23"/>
      <c r="J32" s="1"/>
      <c r="K32" s="23"/>
    </row>
    <row r="38" spans="1:1" x14ac:dyDescent="0.35">
      <c r="A38" s="21" t="s">
        <v>141</v>
      </c>
    </row>
    <row r="39" spans="1:1" x14ac:dyDescent="0.35">
      <c r="A39" s="28" t="s">
        <v>6</v>
      </c>
    </row>
    <row r="40" spans="1:1" x14ac:dyDescent="0.35">
      <c r="A40" s="26" t="s">
        <v>128</v>
      </c>
    </row>
    <row r="41" spans="1:1" x14ac:dyDescent="0.35">
      <c r="A41" s="23" t="s">
        <v>40</v>
      </c>
    </row>
  </sheetData>
  <mergeCells count="16">
    <mergeCell ref="J29:K29"/>
    <mergeCell ref="J30:K30"/>
    <mergeCell ref="J31:K31"/>
    <mergeCell ref="B7:K7"/>
    <mergeCell ref="B8:K8"/>
    <mergeCell ref="B9:K9"/>
    <mergeCell ref="B10:K10"/>
    <mergeCell ref="J15:K15"/>
    <mergeCell ref="B16:K16"/>
    <mergeCell ref="A20:E22"/>
    <mergeCell ref="B6:K6"/>
    <mergeCell ref="A1:K1"/>
    <mergeCell ref="B2:K2"/>
    <mergeCell ref="B3:K3"/>
    <mergeCell ref="B4:K4"/>
    <mergeCell ref="B5:K5"/>
  </mergeCells>
  <pageMargins left="0.25" right="0.25" top="0.75" bottom="0.75" header="0.3" footer="0.3"/>
  <pageSetup paperSize="9" scale="74"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2CA8-F766-41EB-B837-C7572449F22E}">
  <sheetPr>
    <pageSetUpPr fitToPage="1"/>
  </sheetPr>
  <dimension ref="A1:K38"/>
  <sheetViews>
    <sheetView topLeftCell="A4" workbookViewId="0">
      <selection activeCell="E17" sqref="E17"/>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7.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144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45727</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1870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146</v>
      </c>
      <c r="H11" s="5" t="s">
        <v>29</v>
      </c>
      <c r="I11" s="5" t="s">
        <v>92</v>
      </c>
      <c r="J11" s="4" t="s">
        <v>31</v>
      </c>
      <c r="K11" s="4" t="s">
        <v>30</v>
      </c>
    </row>
    <row r="12" spans="1:11" ht="15" x14ac:dyDescent="0.35">
      <c r="A12" s="25">
        <v>1</v>
      </c>
      <c r="B12" s="38">
        <v>45715</v>
      </c>
      <c r="C12" s="31">
        <v>1661</v>
      </c>
      <c r="D12" s="29" t="s">
        <v>109</v>
      </c>
      <c r="E12" s="37" t="s">
        <v>47</v>
      </c>
      <c r="F12" s="10">
        <v>45681</v>
      </c>
      <c r="G12" s="11">
        <v>810</v>
      </c>
      <c r="H12" s="30">
        <f>G12</f>
        <v>810</v>
      </c>
      <c r="I12" s="57">
        <v>45726</v>
      </c>
      <c r="J12" s="35" t="s">
        <v>32</v>
      </c>
      <c r="K12" s="36" t="s">
        <v>43</v>
      </c>
    </row>
    <row r="13" spans="1:11" ht="15" x14ac:dyDescent="0.35">
      <c r="A13" s="25">
        <v>2</v>
      </c>
      <c r="B13" s="38">
        <v>45715</v>
      </c>
      <c r="C13" s="31">
        <v>1662</v>
      </c>
      <c r="D13" s="29" t="s">
        <v>116</v>
      </c>
      <c r="E13" s="10" t="s">
        <v>47</v>
      </c>
      <c r="F13" s="10">
        <v>45682</v>
      </c>
      <c r="G13" s="11">
        <v>825</v>
      </c>
      <c r="H13" s="30">
        <f>G13</f>
        <v>825</v>
      </c>
      <c r="I13" s="57">
        <v>45726</v>
      </c>
      <c r="J13" s="38" t="s">
        <v>32</v>
      </c>
      <c r="K13" s="43" t="s">
        <v>43</v>
      </c>
    </row>
    <row r="14" spans="1:11" ht="15" x14ac:dyDescent="0.35">
      <c r="A14" s="40">
        <v>3</v>
      </c>
      <c r="B14" s="38">
        <v>45715</v>
      </c>
      <c r="C14" s="31">
        <v>1659</v>
      </c>
      <c r="D14" s="29" t="s">
        <v>91</v>
      </c>
      <c r="E14" s="10" t="s">
        <v>47</v>
      </c>
      <c r="F14" s="10">
        <v>45683</v>
      </c>
      <c r="G14" s="64">
        <v>235</v>
      </c>
      <c r="H14" s="30">
        <f>G14</f>
        <v>235</v>
      </c>
      <c r="I14" s="58">
        <v>45726</v>
      </c>
      <c r="J14" s="38" t="s">
        <v>32</v>
      </c>
      <c r="K14" s="43" t="s">
        <v>43</v>
      </c>
    </row>
    <row r="15" spans="1:11" ht="15" x14ac:dyDescent="0.35">
      <c r="A15" s="69"/>
      <c r="B15" s="49"/>
      <c r="C15" s="49"/>
      <c r="D15" s="49"/>
      <c r="E15" s="49"/>
      <c r="F15" s="49"/>
      <c r="G15" s="50"/>
      <c r="H15" s="47">
        <f>SUM(H12:H14)</f>
        <v>1870</v>
      </c>
      <c r="I15" s="56"/>
      <c r="J15" s="411"/>
      <c r="K15" s="412"/>
    </row>
    <row r="16" spans="1:11" x14ac:dyDescent="0.35">
      <c r="A16" s="25"/>
      <c r="B16" s="368" t="s">
        <v>147</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ht="15" thickBot="1" x14ac:dyDescent="0.4">
      <c r="A18" s="48"/>
      <c r="B18" s="1"/>
      <c r="C18" s="1"/>
      <c r="D18" s="1"/>
      <c r="E18" s="1"/>
      <c r="F18" s="1"/>
      <c r="G18" s="1"/>
      <c r="H18" s="1"/>
      <c r="I18" s="1"/>
      <c r="J18" s="1"/>
      <c r="K18" s="1"/>
    </row>
    <row r="19" spans="1:11" ht="15" thickTop="1" x14ac:dyDescent="0.35">
      <c r="A19" s="416" t="s">
        <v>148</v>
      </c>
      <c r="B19" s="416"/>
      <c r="C19" s="416"/>
      <c r="D19" s="416"/>
      <c r="E19" s="416"/>
      <c r="F19" s="416"/>
      <c r="G19" s="416"/>
      <c r="H19" s="417"/>
      <c r="I19" s="1"/>
      <c r="J19" s="1"/>
      <c r="K19" s="1"/>
    </row>
    <row r="20" spans="1:11" ht="15" thickBot="1" x14ac:dyDescent="0.4">
      <c r="A20" s="418"/>
      <c r="B20" s="418"/>
      <c r="C20" s="418"/>
      <c r="D20" s="418"/>
      <c r="E20" s="418"/>
      <c r="F20" s="418"/>
      <c r="G20" s="418"/>
      <c r="H20" s="419"/>
      <c r="I20" s="1"/>
      <c r="J20" s="1"/>
      <c r="K20" s="1"/>
    </row>
    <row r="21" spans="1:11" ht="15" thickTop="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51"/>
      <c r="B23" s="1"/>
      <c r="C23" s="1"/>
      <c r="D23" s="1"/>
      <c r="E23" s="1"/>
      <c r="F23" s="1"/>
      <c r="G23" s="1"/>
      <c r="H23" s="1"/>
      <c r="I23" s="1"/>
      <c r="J23" s="1"/>
      <c r="K23" s="1"/>
    </row>
    <row r="24" spans="1:11" x14ac:dyDescent="0.35">
      <c r="A24" s="51"/>
      <c r="B24" s="1"/>
      <c r="C24" s="1"/>
      <c r="D24" s="1"/>
      <c r="E24" s="1"/>
      <c r="F24" s="1"/>
      <c r="G24" s="1"/>
      <c r="H24" s="1"/>
      <c r="I24" s="1"/>
      <c r="J24" s="1"/>
      <c r="K24" s="1"/>
    </row>
    <row r="25" spans="1:11" x14ac:dyDescent="0.35">
      <c r="A25" s="14"/>
      <c r="B25" s="24"/>
      <c r="C25" s="24"/>
      <c r="D25" s="1"/>
      <c r="E25" s="24" t="s">
        <v>34</v>
      </c>
      <c r="F25" s="24"/>
      <c r="H25" s="20"/>
      <c r="I25" s="20"/>
      <c r="J25" s="20"/>
      <c r="K25" s="21"/>
    </row>
    <row r="26" spans="1:11" x14ac:dyDescent="0.35">
      <c r="A26" s="54" t="s">
        <v>19</v>
      </c>
      <c r="B26" s="27"/>
      <c r="C26" s="27"/>
      <c r="E26" s="21" t="s">
        <v>20</v>
      </c>
      <c r="F26" s="21"/>
      <c r="G26" s="46" t="s">
        <v>21</v>
      </c>
      <c r="H26" s="21"/>
      <c r="I26" s="21"/>
      <c r="J26" s="410" t="s">
        <v>22</v>
      </c>
      <c r="K26" s="410"/>
    </row>
    <row r="27" spans="1:11" x14ac:dyDescent="0.35">
      <c r="A27" s="22" t="s">
        <v>82</v>
      </c>
      <c r="B27" s="28"/>
      <c r="C27" s="28"/>
      <c r="E27" s="22" t="s">
        <v>23</v>
      </c>
      <c r="F27" s="22"/>
      <c r="G27" s="22" t="s">
        <v>24</v>
      </c>
      <c r="H27" s="22"/>
      <c r="I27" s="22"/>
      <c r="J27" s="389" t="s">
        <v>25</v>
      </c>
      <c r="K27" s="389"/>
    </row>
    <row r="28" spans="1:11" x14ac:dyDescent="0.35">
      <c r="A28" s="23" t="s">
        <v>85</v>
      </c>
      <c r="B28" s="26"/>
      <c r="C28" s="26"/>
      <c r="E28" s="23" t="s">
        <v>41</v>
      </c>
      <c r="F28" s="23"/>
      <c r="G28" s="23" t="s">
        <v>39</v>
      </c>
      <c r="H28" s="23"/>
      <c r="I28" s="23"/>
      <c r="J28" s="390" t="s">
        <v>26</v>
      </c>
      <c r="K28" s="390"/>
    </row>
    <row r="29" spans="1:11" x14ac:dyDescent="0.35">
      <c r="A29" s="23" t="s">
        <v>27</v>
      </c>
      <c r="B29" s="26"/>
      <c r="C29" s="26"/>
      <c r="E29" s="23" t="s">
        <v>27</v>
      </c>
      <c r="F29" s="23"/>
      <c r="G29" s="23" t="s">
        <v>27</v>
      </c>
      <c r="H29" s="23"/>
      <c r="I29" s="23"/>
      <c r="J29" s="1"/>
      <c r="K29" s="23"/>
    </row>
    <row r="35" spans="1:1" x14ac:dyDescent="0.35">
      <c r="A35" s="21" t="s">
        <v>141</v>
      </c>
    </row>
    <row r="36" spans="1:1" x14ac:dyDescent="0.35">
      <c r="A36" s="28" t="s">
        <v>6</v>
      </c>
    </row>
    <row r="37" spans="1:1" x14ac:dyDescent="0.35">
      <c r="A37" s="26" t="s">
        <v>128</v>
      </c>
    </row>
    <row r="38" spans="1:1" x14ac:dyDescent="0.35">
      <c r="A38" s="23" t="s">
        <v>40</v>
      </c>
    </row>
  </sheetData>
  <mergeCells count="16">
    <mergeCell ref="B6:K6"/>
    <mergeCell ref="A1:K1"/>
    <mergeCell ref="B2:K2"/>
    <mergeCell ref="B3:K3"/>
    <mergeCell ref="B4:K4"/>
    <mergeCell ref="B5:K5"/>
    <mergeCell ref="J26:K26"/>
    <mergeCell ref="J27:K27"/>
    <mergeCell ref="J28:K28"/>
    <mergeCell ref="A19:H20"/>
    <mergeCell ref="B7:K7"/>
    <mergeCell ref="B8:K8"/>
    <mergeCell ref="B9:K9"/>
    <mergeCell ref="B10:K10"/>
    <mergeCell ref="J15:K15"/>
    <mergeCell ref="B16:K16"/>
  </mergeCells>
  <pageMargins left="0.25" right="0.25" top="0.75" bottom="0.75" header="0.3" footer="0.3"/>
  <pageSetup paperSize="9" scale="81"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8EECB-8D7D-4C14-818C-F8EA94FA446D}">
  <sheetPr>
    <pageSetUpPr fitToPage="1"/>
  </sheetPr>
  <dimension ref="A1:K36"/>
  <sheetViews>
    <sheetView topLeftCell="A2" workbookViewId="0">
      <selection sqref="A1:K37"/>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0"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156</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45777</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59039</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45777</v>
      </c>
      <c r="C12" s="31">
        <v>1661</v>
      </c>
      <c r="D12" s="29" t="s">
        <v>109</v>
      </c>
      <c r="E12" s="37" t="s">
        <v>47</v>
      </c>
      <c r="F12" s="10">
        <v>45740</v>
      </c>
      <c r="G12" s="11">
        <v>23964</v>
      </c>
      <c r="H12" s="30">
        <f>G12</f>
        <v>23964</v>
      </c>
      <c r="I12" s="57">
        <v>45726</v>
      </c>
      <c r="J12" s="35" t="s">
        <v>32</v>
      </c>
      <c r="K12" s="36" t="s">
        <v>43</v>
      </c>
    </row>
    <row r="13" spans="1:11" ht="15" x14ac:dyDescent="0.35">
      <c r="A13" s="25">
        <v>2</v>
      </c>
      <c r="B13" s="38">
        <v>45777</v>
      </c>
      <c r="C13" s="31">
        <v>1662</v>
      </c>
      <c r="D13" s="29" t="s">
        <v>116</v>
      </c>
      <c r="E13" s="10" t="s">
        <v>47</v>
      </c>
      <c r="F13" s="10">
        <v>45740</v>
      </c>
      <c r="G13" s="11">
        <v>24461</v>
      </c>
      <c r="H13" s="30">
        <f>G13</f>
        <v>24461</v>
      </c>
      <c r="I13" s="57">
        <v>45726</v>
      </c>
      <c r="J13" s="38" t="s">
        <v>32</v>
      </c>
      <c r="K13" s="43" t="s">
        <v>43</v>
      </c>
    </row>
    <row r="14" spans="1:11" ht="15" x14ac:dyDescent="0.35">
      <c r="A14" s="40">
        <v>3</v>
      </c>
      <c r="B14" s="38">
        <v>45777</v>
      </c>
      <c r="C14" s="31">
        <v>1659</v>
      </c>
      <c r="D14" s="29" t="s">
        <v>91</v>
      </c>
      <c r="E14" s="10" t="s">
        <v>47</v>
      </c>
      <c r="F14" s="10">
        <v>45740</v>
      </c>
      <c r="G14" s="64">
        <v>10614</v>
      </c>
      <c r="H14" s="30">
        <f>G14</f>
        <v>10614</v>
      </c>
      <c r="I14" s="58">
        <v>45726</v>
      </c>
      <c r="J14" s="38" t="s">
        <v>32</v>
      </c>
      <c r="K14" s="43" t="s">
        <v>43</v>
      </c>
    </row>
    <row r="15" spans="1:11" ht="15" x14ac:dyDescent="0.35">
      <c r="A15" s="69"/>
      <c r="B15" s="49"/>
      <c r="C15" s="49"/>
      <c r="D15" s="49"/>
      <c r="E15" s="49"/>
      <c r="F15" s="49"/>
      <c r="G15" s="50"/>
      <c r="H15" s="47">
        <f>SUM(H12:H14)</f>
        <v>59039</v>
      </c>
      <c r="I15" s="56"/>
      <c r="J15" s="411"/>
      <c r="K15" s="412"/>
    </row>
    <row r="16" spans="1:11" x14ac:dyDescent="0.35">
      <c r="A16" s="25"/>
      <c r="B16" s="368" t="s">
        <v>157</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E24" s="21" t="s">
        <v>20</v>
      </c>
      <c r="F24" s="21"/>
      <c r="G24" s="46" t="s">
        <v>21</v>
      </c>
      <c r="H24" s="21"/>
      <c r="I24" s="21"/>
      <c r="J24" s="410" t="s">
        <v>22</v>
      </c>
      <c r="K24" s="410"/>
    </row>
    <row r="25" spans="1:11" x14ac:dyDescent="0.35">
      <c r="A25" s="22" t="s">
        <v>82</v>
      </c>
      <c r="B25" s="28"/>
      <c r="C25" s="28"/>
      <c r="E25" s="22" t="s">
        <v>23</v>
      </c>
      <c r="F25" s="22"/>
      <c r="G25" s="22" t="s">
        <v>24</v>
      </c>
      <c r="H25" s="22"/>
      <c r="I25" s="22"/>
      <c r="J25" s="389" t="s">
        <v>25</v>
      </c>
      <c r="K25" s="389"/>
    </row>
    <row r="26" spans="1:11" x14ac:dyDescent="0.35">
      <c r="A26" s="23" t="s">
        <v>85</v>
      </c>
      <c r="B26" s="26"/>
      <c r="C26" s="26"/>
      <c r="E26" s="23" t="s">
        <v>41</v>
      </c>
      <c r="F26" s="23"/>
      <c r="G26" s="23" t="s">
        <v>39</v>
      </c>
      <c r="H26" s="23"/>
      <c r="I26" s="23"/>
      <c r="J26" s="390" t="s">
        <v>26</v>
      </c>
      <c r="K26" s="390"/>
    </row>
    <row r="27" spans="1:11" x14ac:dyDescent="0.35">
      <c r="A27" s="23" t="s">
        <v>27</v>
      </c>
      <c r="B27" s="26"/>
      <c r="C27" s="26"/>
      <c r="E27" s="23" t="s">
        <v>27</v>
      </c>
      <c r="F27" s="23"/>
      <c r="G27" s="23" t="s">
        <v>27</v>
      </c>
      <c r="H27" s="23"/>
      <c r="I27" s="23"/>
      <c r="J27" s="1"/>
      <c r="K27" s="23"/>
    </row>
    <row r="33" spans="1:1" x14ac:dyDescent="0.35">
      <c r="A33" s="21" t="s">
        <v>141</v>
      </c>
    </row>
    <row r="34" spans="1:1" x14ac:dyDescent="0.35">
      <c r="A34" s="28" t="s">
        <v>6</v>
      </c>
    </row>
    <row r="35" spans="1:1" x14ac:dyDescent="0.35">
      <c r="A35" s="26" t="s">
        <v>128</v>
      </c>
    </row>
    <row r="36" spans="1:1" x14ac:dyDescent="0.35">
      <c r="A36" s="23" t="s">
        <v>40</v>
      </c>
    </row>
  </sheetData>
  <mergeCells count="15">
    <mergeCell ref="B6:K6"/>
    <mergeCell ref="A1:K1"/>
    <mergeCell ref="B2:K2"/>
    <mergeCell ref="B3:K3"/>
    <mergeCell ref="B4:K4"/>
    <mergeCell ref="B5:K5"/>
    <mergeCell ref="J24:K24"/>
    <mergeCell ref="J25:K25"/>
    <mergeCell ref="J26:K26"/>
    <mergeCell ref="B7:K7"/>
    <mergeCell ref="B8:K8"/>
    <mergeCell ref="B9:K9"/>
    <mergeCell ref="B10:K10"/>
    <mergeCell ref="J15:K15"/>
    <mergeCell ref="B16:K16"/>
  </mergeCells>
  <pageMargins left="0.25" right="0.25" top="0.75" bottom="0.75" header="0.3" footer="0.3"/>
  <pageSetup scale="78"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90B54-6D0B-4892-B3AF-3E61CDB95E0F}">
  <sheetPr>
    <pageSetUpPr fitToPage="1"/>
  </sheetPr>
  <dimension ref="A1:K36"/>
  <sheetViews>
    <sheetView workbookViewId="0">
      <selection sqref="A1:K3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6"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158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45804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65298</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45804</v>
      </c>
      <c r="C12" s="31">
        <v>1661</v>
      </c>
      <c r="D12" s="29" t="s">
        <v>109</v>
      </c>
      <c r="E12" s="37" t="s">
        <v>47</v>
      </c>
      <c r="F12" s="10">
        <v>45771</v>
      </c>
      <c r="G12" s="11">
        <v>27878</v>
      </c>
      <c r="H12" s="30">
        <f>G12</f>
        <v>27878</v>
      </c>
      <c r="I12" s="57">
        <v>45817</v>
      </c>
      <c r="J12" s="35" t="s">
        <v>32</v>
      </c>
      <c r="K12" s="36" t="s">
        <v>43</v>
      </c>
    </row>
    <row r="13" spans="1:11" ht="15" x14ac:dyDescent="0.35">
      <c r="A13" s="25">
        <v>2</v>
      </c>
      <c r="B13" s="38">
        <v>45804</v>
      </c>
      <c r="C13" s="31">
        <v>1662</v>
      </c>
      <c r="D13" s="29" t="s">
        <v>116</v>
      </c>
      <c r="E13" s="10" t="s">
        <v>47</v>
      </c>
      <c r="F13" s="10">
        <v>45771</v>
      </c>
      <c r="G13" s="11">
        <v>24958</v>
      </c>
      <c r="H13" s="30">
        <f>G13</f>
        <v>24958</v>
      </c>
      <c r="I13" s="57">
        <v>45817</v>
      </c>
      <c r="J13" s="38" t="s">
        <v>32</v>
      </c>
      <c r="K13" s="43" t="s">
        <v>43</v>
      </c>
    </row>
    <row r="14" spans="1:11" ht="15" x14ac:dyDescent="0.35">
      <c r="A14" s="40">
        <v>3</v>
      </c>
      <c r="B14" s="38">
        <v>45804</v>
      </c>
      <c r="C14" s="31">
        <v>1659</v>
      </c>
      <c r="D14" s="29" t="s">
        <v>91</v>
      </c>
      <c r="E14" s="10" t="s">
        <v>47</v>
      </c>
      <c r="F14" s="10">
        <v>45771</v>
      </c>
      <c r="G14" s="64">
        <v>12462</v>
      </c>
      <c r="H14" s="30">
        <f>G14</f>
        <v>12462</v>
      </c>
      <c r="I14" s="57">
        <v>45817</v>
      </c>
      <c r="J14" s="38" t="s">
        <v>32</v>
      </c>
      <c r="K14" s="43" t="s">
        <v>43</v>
      </c>
    </row>
    <row r="15" spans="1:11" ht="15" x14ac:dyDescent="0.35">
      <c r="A15" s="69"/>
      <c r="B15" s="49"/>
      <c r="C15" s="49"/>
      <c r="D15" s="49"/>
      <c r="E15" s="49"/>
      <c r="F15" s="49"/>
      <c r="G15" s="50"/>
      <c r="H15" s="47">
        <f>SUM(H12:H14)</f>
        <v>65298</v>
      </c>
      <c r="I15" s="56"/>
      <c r="J15" s="411"/>
      <c r="K15" s="412"/>
    </row>
    <row r="16" spans="1:11" x14ac:dyDescent="0.35">
      <c r="A16" s="25"/>
      <c r="B16" s="368" t="s">
        <v>163</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E24" s="21" t="s">
        <v>20</v>
      </c>
      <c r="F24" s="21"/>
      <c r="G24" s="46" t="s">
        <v>21</v>
      </c>
      <c r="H24" s="21"/>
      <c r="I24" s="21"/>
      <c r="J24" s="410" t="s">
        <v>22</v>
      </c>
      <c r="K24" s="410"/>
    </row>
    <row r="25" spans="1:11" x14ac:dyDescent="0.35">
      <c r="A25" s="22" t="s">
        <v>82</v>
      </c>
      <c r="B25" s="28"/>
      <c r="C25" s="28"/>
      <c r="E25" s="22" t="s">
        <v>23</v>
      </c>
      <c r="F25" s="22"/>
      <c r="G25" s="22" t="s">
        <v>24</v>
      </c>
      <c r="H25" s="22"/>
      <c r="I25" s="22"/>
      <c r="J25" s="389" t="s">
        <v>25</v>
      </c>
      <c r="K25" s="389"/>
    </row>
    <row r="26" spans="1:11" x14ac:dyDescent="0.35">
      <c r="A26" s="23" t="s">
        <v>85</v>
      </c>
      <c r="B26" s="26"/>
      <c r="C26" s="26"/>
      <c r="E26" s="23" t="s">
        <v>41</v>
      </c>
      <c r="F26" s="23"/>
      <c r="G26" s="23" t="s">
        <v>39</v>
      </c>
      <c r="H26" s="23"/>
      <c r="I26" s="23"/>
      <c r="J26" s="390" t="s">
        <v>26</v>
      </c>
      <c r="K26" s="390"/>
    </row>
    <row r="27" spans="1:11" x14ac:dyDescent="0.35">
      <c r="A27" s="23" t="s">
        <v>27</v>
      </c>
      <c r="B27" s="26"/>
      <c r="C27" s="26"/>
      <c r="E27" s="23" t="s">
        <v>27</v>
      </c>
      <c r="F27" s="23"/>
      <c r="G27" s="23" t="s">
        <v>27</v>
      </c>
      <c r="H27" s="23"/>
      <c r="I27" s="23"/>
      <c r="J27" s="1"/>
      <c r="K27" s="23"/>
    </row>
    <row r="33" spans="1:1" x14ac:dyDescent="0.35">
      <c r="A33" s="21" t="s">
        <v>141</v>
      </c>
    </row>
    <row r="34" spans="1:1" x14ac:dyDescent="0.35">
      <c r="A34" s="28" t="s">
        <v>6</v>
      </c>
    </row>
    <row r="35" spans="1:1" x14ac:dyDescent="0.35">
      <c r="A35" s="26" t="s">
        <v>128</v>
      </c>
    </row>
    <row r="36" spans="1:1" x14ac:dyDescent="0.35">
      <c r="A36" s="23" t="s">
        <v>40</v>
      </c>
    </row>
  </sheetData>
  <mergeCells count="15">
    <mergeCell ref="B6:K6"/>
    <mergeCell ref="A1:K1"/>
    <mergeCell ref="B2:K2"/>
    <mergeCell ref="B3:K3"/>
    <mergeCell ref="B4:K4"/>
    <mergeCell ref="B5:K5"/>
    <mergeCell ref="J24:K24"/>
    <mergeCell ref="J25:K25"/>
    <mergeCell ref="J26:K26"/>
    <mergeCell ref="B7:K7"/>
    <mergeCell ref="B8:K8"/>
    <mergeCell ref="B9:K9"/>
    <mergeCell ref="B10:K10"/>
    <mergeCell ref="J15:K15"/>
    <mergeCell ref="B16:K16"/>
  </mergeCells>
  <pageMargins left="0.25" right="0.25" top="0.75" bottom="0.75" header="0.3" footer="0.3"/>
  <pageSetup scale="78"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E5F8-3F94-419B-ACBE-FFD0D8DDE092}">
  <sheetPr>
    <pageSetUpPr fitToPage="1"/>
  </sheetPr>
  <dimension ref="A1:K36"/>
  <sheetViews>
    <sheetView topLeftCell="A7" workbookViewId="0">
      <selection sqref="A1:K3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1"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164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45838</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69231</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45838</v>
      </c>
      <c r="C12" s="31">
        <v>1661</v>
      </c>
      <c r="D12" s="29" t="s">
        <v>109</v>
      </c>
      <c r="E12" s="37" t="s">
        <v>47</v>
      </c>
      <c r="F12" s="10">
        <v>45802</v>
      </c>
      <c r="G12" s="11">
        <v>30798</v>
      </c>
      <c r="H12" s="30">
        <f>G12</f>
        <v>30798</v>
      </c>
      <c r="I12" s="57">
        <v>45852</v>
      </c>
      <c r="J12" s="35" t="s">
        <v>32</v>
      </c>
      <c r="K12" s="36" t="s">
        <v>43</v>
      </c>
    </row>
    <row r="13" spans="1:11" ht="15" x14ac:dyDescent="0.35">
      <c r="A13" s="25">
        <v>2</v>
      </c>
      <c r="B13" s="38">
        <v>45838</v>
      </c>
      <c r="C13" s="31">
        <v>1662</v>
      </c>
      <c r="D13" s="29" t="s">
        <v>116</v>
      </c>
      <c r="E13" s="10" t="s">
        <v>47</v>
      </c>
      <c r="F13" s="10">
        <v>45802</v>
      </c>
      <c r="G13" s="11">
        <v>25832</v>
      </c>
      <c r="H13" s="30">
        <f>G13</f>
        <v>25832</v>
      </c>
      <c r="I13" s="57">
        <v>45852</v>
      </c>
      <c r="J13" s="38" t="s">
        <v>32</v>
      </c>
      <c r="K13" s="43" t="s">
        <v>43</v>
      </c>
    </row>
    <row r="14" spans="1:11" ht="15" x14ac:dyDescent="0.35">
      <c r="A14" s="40">
        <v>3</v>
      </c>
      <c r="B14" s="38">
        <v>45838</v>
      </c>
      <c r="C14" s="31">
        <v>1659</v>
      </c>
      <c r="D14" s="29" t="s">
        <v>91</v>
      </c>
      <c r="E14" s="10" t="s">
        <v>47</v>
      </c>
      <c r="F14" s="10">
        <v>45802</v>
      </c>
      <c r="G14" s="64">
        <v>12601</v>
      </c>
      <c r="H14" s="30">
        <f>G14</f>
        <v>12601</v>
      </c>
      <c r="I14" s="57">
        <v>45852</v>
      </c>
      <c r="J14" s="38" t="s">
        <v>32</v>
      </c>
      <c r="K14" s="43" t="s">
        <v>43</v>
      </c>
    </row>
    <row r="15" spans="1:11" ht="15" x14ac:dyDescent="0.35">
      <c r="A15" s="69"/>
      <c r="B15" s="49"/>
      <c r="C15" s="49"/>
      <c r="D15" s="49"/>
      <c r="E15" s="49"/>
      <c r="F15" s="49"/>
      <c r="G15" s="50"/>
      <c r="H15" s="47">
        <f>SUM(H12:H14)</f>
        <v>69231</v>
      </c>
      <c r="I15" s="56"/>
      <c r="J15" s="411"/>
      <c r="K15" s="412"/>
    </row>
    <row r="16" spans="1:11" x14ac:dyDescent="0.35">
      <c r="A16" s="25"/>
      <c r="B16" s="368" t="s">
        <v>167</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E24" s="21" t="s">
        <v>20</v>
      </c>
      <c r="F24" s="21"/>
      <c r="G24" s="46" t="s">
        <v>21</v>
      </c>
      <c r="H24" s="21"/>
      <c r="I24" s="21"/>
      <c r="J24" s="410" t="s">
        <v>22</v>
      </c>
      <c r="K24" s="410"/>
    </row>
    <row r="25" spans="1:11" x14ac:dyDescent="0.35">
      <c r="A25" s="22" t="s">
        <v>82</v>
      </c>
      <c r="B25" s="28"/>
      <c r="C25" s="28"/>
      <c r="E25" s="22" t="s">
        <v>23</v>
      </c>
      <c r="F25" s="22"/>
      <c r="G25" s="22" t="s">
        <v>24</v>
      </c>
      <c r="H25" s="22"/>
      <c r="I25" s="22"/>
      <c r="J25" s="389" t="s">
        <v>25</v>
      </c>
      <c r="K25" s="389"/>
    </row>
    <row r="26" spans="1:11" x14ac:dyDescent="0.35">
      <c r="A26" s="23" t="s">
        <v>85</v>
      </c>
      <c r="B26" s="26"/>
      <c r="C26" s="26"/>
      <c r="E26" s="23" t="s">
        <v>41</v>
      </c>
      <c r="F26" s="23"/>
      <c r="G26" s="23" t="s">
        <v>166</v>
      </c>
      <c r="H26" s="23"/>
      <c r="I26" s="23"/>
      <c r="J26" s="390" t="s">
        <v>26</v>
      </c>
      <c r="K26" s="390"/>
    </row>
    <row r="27" spans="1:11" x14ac:dyDescent="0.35">
      <c r="A27" s="23" t="s">
        <v>27</v>
      </c>
      <c r="B27" s="26"/>
      <c r="C27" s="26"/>
      <c r="E27" s="23" t="s">
        <v>27</v>
      </c>
      <c r="F27" s="23"/>
      <c r="G27" s="23" t="s">
        <v>27</v>
      </c>
      <c r="H27" s="23"/>
      <c r="I27" s="23"/>
      <c r="J27" s="1"/>
      <c r="K27" s="23"/>
    </row>
    <row r="33" spans="1:1" x14ac:dyDescent="0.35">
      <c r="A33" s="21" t="s">
        <v>141</v>
      </c>
    </row>
    <row r="34" spans="1:1" x14ac:dyDescent="0.35">
      <c r="A34" s="28" t="s">
        <v>6</v>
      </c>
    </row>
    <row r="35" spans="1:1" x14ac:dyDescent="0.35">
      <c r="A35" s="26" t="s">
        <v>128</v>
      </c>
    </row>
    <row r="36" spans="1:1" x14ac:dyDescent="0.35">
      <c r="A36" s="23" t="s">
        <v>40</v>
      </c>
    </row>
  </sheetData>
  <mergeCells count="15">
    <mergeCell ref="B6:K6"/>
    <mergeCell ref="A1:K1"/>
    <mergeCell ref="B2:K2"/>
    <mergeCell ref="B3:K3"/>
    <mergeCell ref="B4:K4"/>
    <mergeCell ref="B5:K5"/>
    <mergeCell ref="J24:K24"/>
    <mergeCell ref="J25:K25"/>
    <mergeCell ref="J26:K26"/>
    <mergeCell ref="B7:K7"/>
    <mergeCell ref="B8:K8"/>
    <mergeCell ref="B9:K9"/>
    <mergeCell ref="B10:K10"/>
    <mergeCell ref="J15:K15"/>
    <mergeCell ref="B16:K16"/>
  </mergeCells>
  <pageMargins left="0.25" right="0.25" top="0.75" bottom="0.75" header="0.3" footer="0.3"/>
  <pageSetup scale="78"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731B8-D386-4933-934E-9D48C2829345}">
  <sheetPr>
    <pageSetUpPr fitToPage="1"/>
  </sheetPr>
  <dimension ref="A1:K36"/>
  <sheetViews>
    <sheetView topLeftCell="A3" workbookViewId="0">
      <selection activeCell="H12" sqref="H12:H1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4.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168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45853</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133892</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45853</v>
      </c>
      <c r="C12" s="31">
        <v>1660</v>
      </c>
      <c r="D12" s="29" t="s">
        <v>86</v>
      </c>
      <c r="E12" s="10" t="s">
        <v>47</v>
      </c>
      <c r="F12" s="10">
        <v>45832</v>
      </c>
      <c r="G12" s="11">
        <v>43540</v>
      </c>
      <c r="H12" s="30">
        <f>G12</f>
        <v>43540</v>
      </c>
      <c r="I12" s="57">
        <v>45878</v>
      </c>
      <c r="J12" s="35" t="s">
        <v>32</v>
      </c>
      <c r="K12" s="36" t="s">
        <v>43</v>
      </c>
    </row>
    <row r="13" spans="1:11" ht="15" x14ac:dyDescent="0.35">
      <c r="A13" s="25">
        <v>2</v>
      </c>
      <c r="B13" s="38">
        <v>45853</v>
      </c>
      <c r="C13" s="32">
        <v>1658</v>
      </c>
      <c r="D13" s="60" t="s">
        <v>88</v>
      </c>
      <c r="E13" s="37" t="s">
        <v>47</v>
      </c>
      <c r="F13" s="10">
        <v>45832</v>
      </c>
      <c r="G13" s="11">
        <v>10267</v>
      </c>
      <c r="H13" s="30">
        <f t="shared" ref="H13:H16" si="0">G13</f>
        <v>10267</v>
      </c>
      <c r="I13" s="57">
        <v>45878</v>
      </c>
      <c r="J13" s="35" t="s">
        <v>32</v>
      </c>
      <c r="K13" s="36" t="s">
        <v>43</v>
      </c>
    </row>
    <row r="14" spans="1:11" ht="15" x14ac:dyDescent="0.35">
      <c r="A14" s="25">
        <v>3</v>
      </c>
      <c r="B14" s="38">
        <v>45853</v>
      </c>
      <c r="C14" s="31">
        <v>1656</v>
      </c>
      <c r="D14" s="29" t="s">
        <v>87</v>
      </c>
      <c r="E14" s="10" t="s">
        <v>47</v>
      </c>
      <c r="F14" s="10">
        <v>45832</v>
      </c>
      <c r="G14" s="11">
        <v>2719</v>
      </c>
      <c r="H14" s="30">
        <f t="shared" si="0"/>
        <v>2719</v>
      </c>
      <c r="I14" s="57">
        <v>45878</v>
      </c>
      <c r="J14" s="38" t="s">
        <v>32</v>
      </c>
      <c r="K14" s="43" t="s">
        <v>43</v>
      </c>
    </row>
    <row r="15" spans="1:11" ht="15" x14ac:dyDescent="0.35">
      <c r="A15" s="25">
        <v>4</v>
      </c>
      <c r="B15" s="38">
        <v>45853</v>
      </c>
      <c r="C15" s="31">
        <v>1657</v>
      </c>
      <c r="D15" s="29" t="s">
        <v>89</v>
      </c>
      <c r="E15" s="10" t="s">
        <v>47</v>
      </c>
      <c r="F15" s="10">
        <v>45832</v>
      </c>
      <c r="G15" s="64">
        <v>16127</v>
      </c>
      <c r="H15" s="30">
        <f t="shared" si="0"/>
        <v>16127</v>
      </c>
      <c r="I15" s="57">
        <v>45878</v>
      </c>
      <c r="J15" s="38" t="s">
        <v>32</v>
      </c>
      <c r="K15" s="43" t="s">
        <v>43</v>
      </c>
    </row>
    <row r="16" spans="1:11" ht="15" x14ac:dyDescent="0.35">
      <c r="A16" s="25">
        <v>5</v>
      </c>
      <c r="B16" s="38">
        <v>45853</v>
      </c>
      <c r="C16" s="31">
        <v>1670</v>
      </c>
      <c r="D16" s="29" t="s">
        <v>90</v>
      </c>
      <c r="E16" s="10" t="s">
        <v>47</v>
      </c>
      <c r="F16" s="10">
        <v>45832</v>
      </c>
      <c r="G16" s="64">
        <v>61239</v>
      </c>
      <c r="H16" s="30">
        <f t="shared" si="0"/>
        <v>61239</v>
      </c>
      <c r="I16" s="57">
        <v>45878</v>
      </c>
      <c r="J16" s="38" t="s">
        <v>32</v>
      </c>
      <c r="K16" s="43" t="s">
        <v>43</v>
      </c>
    </row>
    <row r="17" spans="1:11" ht="15" x14ac:dyDescent="0.35">
      <c r="A17" s="40"/>
      <c r="B17" s="49"/>
      <c r="C17" s="49"/>
      <c r="D17" s="49"/>
      <c r="E17" s="49"/>
      <c r="F17" s="49"/>
      <c r="G17" s="50"/>
      <c r="H17" s="47">
        <f>SUM(H12:H16)</f>
        <v>133892</v>
      </c>
      <c r="I17" s="12"/>
      <c r="J17" s="411"/>
      <c r="K17" s="412"/>
    </row>
    <row r="18" spans="1:11" x14ac:dyDescent="0.35">
      <c r="A18" s="25"/>
      <c r="B18" s="368" t="s">
        <v>169</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24"/>
      <c r="C32" s="24"/>
      <c r="D32" s="1"/>
      <c r="E32" s="24" t="s">
        <v>34</v>
      </c>
      <c r="F32" s="24"/>
      <c r="H32" s="20"/>
      <c r="I32" s="20"/>
      <c r="J32" s="20"/>
      <c r="K32" s="21"/>
    </row>
    <row r="33" spans="1:11" x14ac:dyDescent="0.35">
      <c r="A33" s="54" t="s">
        <v>19</v>
      </c>
      <c r="B33" s="27"/>
      <c r="C33" s="27"/>
      <c r="E33" s="21" t="s">
        <v>20</v>
      </c>
      <c r="F33" s="21"/>
      <c r="G33" s="46" t="s">
        <v>21</v>
      </c>
      <c r="H33" s="21"/>
      <c r="I33" s="21"/>
      <c r="J33" s="410" t="s">
        <v>22</v>
      </c>
      <c r="K33" s="410"/>
    </row>
    <row r="34" spans="1:11" x14ac:dyDescent="0.35">
      <c r="A34" s="22" t="s">
        <v>82</v>
      </c>
      <c r="B34" s="28"/>
      <c r="C34" s="28"/>
      <c r="E34" s="22" t="s">
        <v>23</v>
      </c>
      <c r="F34" s="22"/>
      <c r="G34" s="22" t="s">
        <v>24</v>
      </c>
      <c r="H34" s="22"/>
      <c r="I34" s="22"/>
      <c r="J34" s="389" t="s">
        <v>25</v>
      </c>
      <c r="K34" s="389"/>
    </row>
    <row r="35" spans="1:11" x14ac:dyDescent="0.35">
      <c r="A35" s="23" t="s">
        <v>85</v>
      </c>
      <c r="B35" s="26"/>
      <c r="C35" s="26"/>
      <c r="E35" s="23" t="s">
        <v>41</v>
      </c>
      <c r="F35" s="23"/>
      <c r="G35" s="23" t="s">
        <v>166</v>
      </c>
      <c r="H35" s="23"/>
      <c r="I35" s="23"/>
      <c r="J35" s="390" t="s">
        <v>26</v>
      </c>
      <c r="K35" s="390"/>
    </row>
    <row r="36" spans="1:11" x14ac:dyDescent="0.35">
      <c r="A36" s="23" t="s">
        <v>27</v>
      </c>
      <c r="B36" s="26"/>
      <c r="C36" s="26"/>
      <c r="E36" s="23" t="s">
        <v>27</v>
      </c>
      <c r="F36" s="23"/>
      <c r="G36" s="23" t="s">
        <v>27</v>
      </c>
      <c r="H36" s="23"/>
      <c r="I36" s="23"/>
      <c r="J36" s="1"/>
      <c r="K36" s="23"/>
    </row>
  </sheetData>
  <mergeCells count="15">
    <mergeCell ref="B6:K6"/>
    <mergeCell ref="A1:K1"/>
    <mergeCell ref="B2:K2"/>
    <mergeCell ref="B3:K3"/>
    <mergeCell ref="B4:K4"/>
    <mergeCell ref="B5:K5"/>
    <mergeCell ref="J33:K33"/>
    <mergeCell ref="J34:K34"/>
    <mergeCell ref="J35:K35"/>
    <mergeCell ref="B7:K7"/>
    <mergeCell ref="B8:K8"/>
    <mergeCell ref="B9:K9"/>
    <mergeCell ref="B10:K10"/>
    <mergeCell ref="J17:K17"/>
    <mergeCell ref="B18:K18"/>
  </mergeCells>
  <pageMargins left="0.25" right="0.25" top="0.75" bottom="0.75" header="0.3" footer="0.3"/>
  <pageSetup scale="78"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BFC5B-D3A2-4ACA-B4B4-98321CB7F4D2}">
  <sheetPr>
    <pageSetUpPr fitToPage="1"/>
  </sheetPr>
  <dimension ref="A1:K36"/>
  <sheetViews>
    <sheetView topLeftCell="A8" workbookViewId="0">
      <selection activeCell="H12" sqref="H12:H14"/>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3"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164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45879</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66290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45879</v>
      </c>
      <c r="C12" s="31">
        <v>1661</v>
      </c>
      <c r="D12" s="29" t="s">
        <v>109</v>
      </c>
      <c r="E12" s="37" t="s">
        <v>47</v>
      </c>
      <c r="F12" s="10">
        <v>45833</v>
      </c>
      <c r="G12" s="11">
        <v>31791</v>
      </c>
      <c r="H12" s="30">
        <f>G12</f>
        <v>31791</v>
      </c>
      <c r="I12" s="57">
        <v>45884</v>
      </c>
      <c r="J12" s="35" t="s">
        <v>32</v>
      </c>
      <c r="K12" s="36" t="s">
        <v>43</v>
      </c>
    </row>
    <row r="13" spans="1:11" ht="15" x14ac:dyDescent="0.35">
      <c r="A13" s="25">
        <v>2</v>
      </c>
      <c r="B13" s="38">
        <v>45879</v>
      </c>
      <c r="C13" s="31">
        <v>1662</v>
      </c>
      <c r="D13" s="29" t="s">
        <v>116</v>
      </c>
      <c r="E13" s="10" t="s">
        <v>47</v>
      </c>
      <c r="F13" s="10">
        <v>45833</v>
      </c>
      <c r="G13" s="11">
        <v>25494</v>
      </c>
      <c r="H13" s="30">
        <f>G13</f>
        <v>25494</v>
      </c>
      <c r="I13" s="57">
        <v>45884</v>
      </c>
      <c r="J13" s="38" t="s">
        <v>32</v>
      </c>
      <c r="K13" s="43" t="s">
        <v>43</v>
      </c>
    </row>
    <row r="14" spans="1:11" ht="15" x14ac:dyDescent="0.35">
      <c r="A14" s="40">
        <v>3</v>
      </c>
      <c r="B14" s="38">
        <v>45879</v>
      </c>
      <c r="C14" s="31">
        <v>1659</v>
      </c>
      <c r="D14" s="29" t="s">
        <v>91</v>
      </c>
      <c r="E14" s="10" t="s">
        <v>47</v>
      </c>
      <c r="F14" s="10">
        <v>45833</v>
      </c>
      <c r="G14" s="64">
        <v>9005</v>
      </c>
      <c r="H14" s="30">
        <f>G14</f>
        <v>9005</v>
      </c>
      <c r="I14" s="57">
        <v>45884</v>
      </c>
      <c r="J14" s="38" t="s">
        <v>32</v>
      </c>
      <c r="K14" s="43" t="s">
        <v>43</v>
      </c>
    </row>
    <row r="15" spans="1:11" ht="15" x14ac:dyDescent="0.35">
      <c r="A15" s="69"/>
      <c r="B15" s="49"/>
      <c r="C15" s="49"/>
      <c r="D15" s="49"/>
      <c r="E15" s="49"/>
      <c r="F15" s="49"/>
      <c r="G15" s="50"/>
      <c r="H15" s="47">
        <f>SUM(H12:H14)</f>
        <v>66290</v>
      </c>
      <c r="I15" s="56"/>
      <c r="J15" s="411"/>
      <c r="K15" s="412"/>
    </row>
    <row r="16" spans="1:11" x14ac:dyDescent="0.35">
      <c r="A16" s="25"/>
      <c r="B16" s="368" t="s">
        <v>170</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E24" s="21" t="s">
        <v>20</v>
      </c>
      <c r="F24" s="21"/>
      <c r="G24" s="46" t="s">
        <v>21</v>
      </c>
      <c r="H24" s="21"/>
      <c r="I24" s="21"/>
      <c r="J24" s="410" t="s">
        <v>22</v>
      </c>
      <c r="K24" s="410"/>
    </row>
    <row r="25" spans="1:11" x14ac:dyDescent="0.35">
      <c r="A25" s="22" t="s">
        <v>82</v>
      </c>
      <c r="B25" s="28"/>
      <c r="C25" s="28"/>
      <c r="E25" s="22" t="s">
        <v>23</v>
      </c>
      <c r="F25" s="22"/>
      <c r="G25" s="22" t="s">
        <v>24</v>
      </c>
      <c r="H25" s="22"/>
      <c r="I25" s="22"/>
      <c r="J25" s="389" t="s">
        <v>25</v>
      </c>
      <c r="K25" s="389"/>
    </row>
    <row r="26" spans="1:11" x14ac:dyDescent="0.35">
      <c r="A26" s="23" t="s">
        <v>85</v>
      </c>
      <c r="B26" s="26"/>
      <c r="C26" s="26"/>
      <c r="E26" s="23" t="s">
        <v>41</v>
      </c>
      <c r="F26" s="23"/>
      <c r="G26" s="23" t="s">
        <v>166</v>
      </c>
      <c r="H26" s="23"/>
      <c r="I26" s="23"/>
      <c r="J26" s="390" t="s">
        <v>26</v>
      </c>
      <c r="K26" s="390"/>
    </row>
    <row r="27" spans="1:11" x14ac:dyDescent="0.35">
      <c r="A27" s="23" t="s">
        <v>27</v>
      </c>
      <c r="B27" s="26"/>
      <c r="C27" s="26"/>
      <c r="E27" s="23" t="s">
        <v>27</v>
      </c>
      <c r="F27" s="23"/>
      <c r="G27" s="23" t="s">
        <v>27</v>
      </c>
      <c r="H27" s="23"/>
      <c r="I27" s="23"/>
      <c r="J27" s="1"/>
      <c r="K27" s="23"/>
    </row>
    <row r="33" spans="1:1" x14ac:dyDescent="0.35">
      <c r="A33" s="21" t="s">
        <v>141</v>
      </c>
    </row>
    <row r="34" spans="1:1" x14ac:dyDescent="0.35">
      <c r="A34" s="28" t="s">
        <v>6</v>
      </c>
    </row>
    <row r="35" spans="1:1" x14ac:dyDescent="0.35">
      <c r="A35" s="26" t="s">
        <v>128</v>
      </c>
    </row>
    <row r="36" spans="1:1" x14ac:dyDescent="0.35">
      <c r="A36" s="23" t="s">
        <v>40</v>
      </c>
    </row>
  </sheetData>
  <mergeCells count="15">
    <mergeCell ref="B6:K6"/>
    <mergeCell ref="A1:K1"/>
    <mergeCell ref="B2:K2"/>
    <mergeCell ref="B3:K3"/>
    <mergeCell ref="B4:K4"/>
    <mergeCell ref="B5:K5"/>
    <mergeCell ref="J24:K24"/>
    <mergeCell ref="J25:K25"/>
    <mergeCell ref="J26:K26"/>
    <mergeCell ref="B7:K7"/>
    <mergeCell ref="B8:K8"/>
    <mergeCell ref="B9:K9"/>
    <mergeCell ref="B10:K10"/>
    <mergeCell ref="J15:K15"/>
    <mergeCell ref="B16:K16"/>
  </mergeCells>
  <pageMargins left="0.25" right="0.25" top="0.75" bottom="0.75" header="0.3" footer="0.3"/>
  <pageSetup scale="78"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8D0B-84C9-40B2-A6BC-54F1B3CBA889}">
  <sheetPr>
    <pageSetUpPr fitToPage="1"/>
  </sheetPr>
  <dimension ref="A1:K36"/>
  <sheetViews>
    <sheetView topLeftCell="A6" zoomScale="69" zoomScaleNormal="69" workbookViewId="0">
      <selection activeCell="H12" sqref="H12:H1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2"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171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45895</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158903</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45895</v>
      </c>
      <c r="C12" s="31">
        <v>1660</v>
      </c>
      <c r="D12" s="29" t="s">
        <v>86</v>
      </c>
      <c r="E12" s="10" t="s">
        <v>47</v>
      </c>
      <c r="F12" s="10">
        <v>45862</v>
      </c>
      <c r="G12" s="11">
        <v>73337</v>
      </c>
      <c r="H12" s="30">
        <f>G12</f>
        <v>73337</v>
      </c>
      <c r="I12" s="57">
        <v>45909</v>
      </c>
      <c r="J12" s="35" t="s">
        <v>32</v>
      </c>
      <c r="K12" s="36" t="s">
        <v>43</v>
      </c>
    </row>
    <row r="13" spans="1:11" ht="15" x14ac:dyDescent="0.35">
      <c r="A13" s="25">
        <v>2</v>
      </c>
      <c r="B13" s="38">
        <v>45895</v>
      </c>
      <c r="C13" s="32">
        <v>1658</v>
      </c>
      <c r="D13" s="60" t="s">
        <v>88</v>
      </c>
      <c r="E13" s="37" t="s">
        <v>47</v>
      </c>
      <c r="F13" s="10">
        <v>45862</v>
      </c>
      <c r="G13" s="11">
        <v>9771</v>
      </c>
      <c r="H13" s="30">
        <f t="shared" ref="H13:H16" si="0">G13</f>
        <v>9771</v>
      </c>
      <c r="I13" s="57">
        <v>45909</v>
      </c>
      <c r="J13" s="35" t="s">
        <v>32</v>
      </c>
      <c r="K13" s="36" t="s">
        <v>43</v>
      </c>
    </row>
    <row r="14" spans="1:11" ht="15" x14ac:dyDescent="0.35">
      <c r="A14" s="25">
        <v>3</v>
      </c>
      <c r="B14" s="38">
        <v>45895</v>
      </c>
      <c r="C14" s="31">
        <v>1656</v>
      </c>
      <c r="D14" s="29" t="s">
        <v>87</v>
      </c>
      <c r="E14" s="10" t="s">
        <v>47</v>
      </c>
      <c r="F14" s="10">
        <v>45862</v>
      </c>
      <c r="G14" s="11">
        <v>2739</v>
      </c>
      <c r="H14" s="30">
        <f t="shared" si="0"/>
        <v>2739</v>
      </c>
      <c r="I14" s="57">
        <v>45909</v>
      </c>
      <c r="J14" s="38" t="s">
        <v>32</v>
      </c>
      <c r="K14" s="43" t="s">
        <v>43</v>
      </c>
    </row>
    <row r="15" spans="1:11" ht="15" x14ac:dyDescent="0.35">
      <c r="A15" s="25">
        <v>4</v>
      </c>
      <c r="B15" s="38">
        <v>45895</v>
      </c>
      <c r="C15" s="31">
        <v>1657</v>
      </c>
      <c r="D15" s="29" t="s">
        <v>89</v>
      </c>
      <c r="E15" s="10" t="s">
        <v>47</v>
      </c>
      <c r="F15" s="10">
        <v>45862</v>
      </c>
      <c r="G15" s="64">
        <v>18650</v>
      </c>
      <c r="H15" s="30">
        <f t="shared" si="0"/>
        <v>18650</v>
      </c>
      <c r="I15" s="57">
        <v>45909</v>
      </c>
      <c r="J15" s="38" t="s">
        <v>32</v>
      </c>
      <c r="K15" s="43" t="s">
        <v>43</v>
      </c>
    </row>
    <row r="16" spans="1:11" ht="15" x14ac:dyDescent="0.35">
      <c r="A16" s="25">
        <v>5</v>
      </c>
      <c r="B16" s="38">
        <v>45895</v>
      </c>
      <c r="C16" s="31">
        <v>1670</v>
      </c>
      <c r="D16" s="29" t="s">
        <v>90</v>
      </c>
      <c r="E16" s="10" t="s">
        <v>47</v>
      </c>
      <c r="F16" s="10">
        <v>45862</v>
      </c>
      <c r="G16" s="64">
        <v>54406</v>
      </c>
      <c r="H16" s="30">
        <f t="shared" si="0"/>
        <v>54406</v>
      </c>
      <c r="I16" s="57">
        <v>45909</v>
      </c>
      <c r="J16" s="38" t="s">
        <v>32</v>
      </c>
      <c r="K16" s="43" t="s">
        <v>43</v>
      </c>
    </row>
    <row r="17" spans="1:11" ht="15" x14ac:dyDescent="0.35">
      <c r="A17" s="40"/>
      <c r="B17" s="49"/>
      <c r="C17" s="49"/>
      <c r="D17" s="49"/>
      <c r="E17" s="49"/>
      <c r="F17" s="49"/>
      <c r="G17" s="50"/>
      <c r="H17" s="47">
        <f>SUM(H12:H16)</f>
        <v>158903</v>
      </c>
      <c r="I17" s="12"/>
      <c r="J17" s="411"/>
      <c r="K17" s="412"/>
    </row>
    <row r="18" spans="1:11" x14ac:dyDescent="0.35">
      <c r="A18" s="25"/>
      <c r="B18" s="368" t="s">
        <v>172</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24"/>
      <c r="C32" s="24"/>
      <c r="D32" s="1"/>
      <c r="E32" s="24" t="s">
        <v>34</v>
      </c>
      <c r="F32" s="24"/>
      <c r="H32" s="20"/>
      <c r="I32" s="20"/>
      <c r="J32" s="20"/>
      <c r="K32" s="21"/>
    </row>
    <row r="33" spans="1:11" x14ac:dyDescent="0.35">
      <c r="A33" s="54" t="s">
        <v>19</v>
      </c>
      <c r="B33" s="27"/>
      <c r="C33" s="27"/>
      <c r="E33" s="21" t="s">
        <v>20</v>
      </c>
      <c r="F33" s="21"/>
      <c r="G33" s="46" t="s">
        <v>21</v>
      </c>
      <c r="H33" s="21"/>
      <c r="I33" s="21"/>
      <c r="J33" s="410" t="s">
        <v>22</v>
      </c>
      <c r="K33" s="410"/>
    </row>
    <row r="34" spans="1:11" x14ac:dyDescent="0.35">
      <c r="A34" s="22" t="s">
        <v>82</v>
      </c>
      <c r="B34" s="28"/>
      <c r="C34" s="28"/>
      <c r="E34" s="22" t="s">
        <v>23</v>
      </c>
      <c r="F34" s="22"/>
      <c r="G34" s="22" t="s">
        <v>24</v>
      </c>
      <c r="H34" s="22"/>
      <c r="I34" s="22"/>
      <c r="J34" s="389" t="s">
        <v>25</v>
      </c>
      <c r="K34" s="389"/>
    </row>
    <row r="35" spans="1:11" x14ac:dyDescent="0.35">
      <c r="A35" s="23" t="s">
        <v>85</v>
      </c>
      <c r="B35" s="26"/>
      <c r="C35" s="26"/>
      <c r="E35" s="23" t="s">
        <v>41</v>
      </c>
      <c r="F35" s="23"/>
      <c r="G35" s="23" t="s">
        <v>166</v>
      </c>
      <c r="H35" s="23"/>
      <c r="I35" s="23"/>
      <c r="J35" s="390" t="s">
        <v>26</v>
      </c>
      <c r="K35" s="390"/>
    </row>
    <row r="36" spans="1:11" x14ac:dyDescent="0.35">
      <c r="A36" s="23" t="s">
        <v>27</v>
      </c>
      <c r="B36" s="26"/>
      <c r="C36" s="26"/>
      <c r="E36" s="23" t="s">
        <v>27</v>
      </c>
      <c r="F36" s="23"/>
      <c r="G36" s="23" t="s">
        <v>27</v>
      </c>
      <c r="H36" s="23"/>
      <c r="I36" s="23"/>
      <c r="J36" s="1"/>
      <c r="K36" s="23"/>
    </row>
  </sheetData>
  <mergeCells count="15">
    <mergeCell ref="J33:K33"/>
    <mergeCell ref="J34:K34"/>
    <mergeCell ref="J35:K35"/>
    <mergeCell ref="B7:K7"/>
    <mergeCell ref="B8:K8"/>
    <mergeCell ref="B9:K9"/>
    <mergeCell ref="B10:K10"/>
    <mergeCell ref="J17:K17"/>
    <mergeCell ref="B18:K18"/>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967DD-0A6D-4931-983C-A6F31EF23C05}">
  <sheetPr>
    <pageSetUpPr fitToPage="1"/>
  </sheetPr>
  <dimension ref="A1:K36"/>
  <sheetViews>
    <sheetView topLeftCell="A3" workbookViewId="0">
      <selection activeCell="H12" sqref="H12:H14"/>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7.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164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45911</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68099</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8">
        <v>45911</v>
      </c>
      <c r="C12" s="31">
        <v>1661</v>
      </c>
      <c r="D12" s="29" t="s">
        <v>109</v>
      </c>
      <c r="E12" s="37" t="s">
        <v>47</v>
      </c>
      <c r="F12" s="10">
        <v>45863</v>
      </c>
      <c r="G12" s="11">
        <v>30937</v>
      </c>
      <c r="H12" s="30">
        <f>G12</f>
        <v>30937</v>
      </c>
      <c r="I12" s="57">
        <v>45915</v>
      </c>
      <c r="J12" s="35" t="s">
        <v>32</v>
      </c>
      <c r="K12" s="36" t="s">
        <v>43</v>
      </c>
    </row>
    <row r="13" spans="1:11" ht="15" x14ac:dyDescent="0.35">
      <c r="A13" s="25">
        <v>2</v>
      </c>
      <c r="B13" s="38">
        <v>45911</v>
      </c>
      <c r="C13" s="31">
        <v>1662</v>
      </c>
      <c r="D13" s="29" t="s">
        <v>116</v>
      </c>
      <c r="E13" s="10" t="s">
        <v>47</v>
      </c>
      <c r="F13" s="10">
        <v>45863</v>
      </c>
      <c r="G13" s="11">
        <v>27024</v>
      </c>
      <c r="H13" s="30">
        <f>G13</f>
        <v>27024</v>
      </c>
      <c r="I13" s="57">
        <v>45915</v>
      </c>
      <c r="J13" s="38" t="s">
        <v>32</v>
      </c>
      <c r="K13" s="43" t="s">
        <v>43</v>
      </c>
    </row>
    <row r="14" spans="1:11" ht="15" x14ac:dyDescent="0.35">
      <c r="A14" s="40">
        <v>3</v>
      </c>
      <c r="B14" s="38">
        <v>45911</v>
      </c>
      <c r="C14" s="31">
        <v>1659</v>
      </c>
      <c r="D14" s="29" t="s">
        <v>91</v>
      </c>
      <c r="E14" s="10" t="s">
        <v>47</v>
      </c>
      <c r="F14" s="10">
        <v>45863</v>
      </c>
      <c r="G14" s="64">
        <v>10138</v>
      </c>
      <c r="H14" s="30">
        <f>G14</f>
        <v>10138</v>
      </c>
      <c r="I14" s="57">
        <v>45915</v>
      </c>
      <c r="J14" s="38" t="s">
        <v>32</v>
      </c>
      <c r="K14" s="43" t="s">
        <v>43</v>
      </c>
    </row>
    <row r="15" spans="1:11" ht="15" x14ac:dyDescent="0.35">
      <c r="A15" s="69"/>
      <c r="B15" s="49"/>
      <c r="C15" s="49"/>
      <c r="D15" s="49"/>
      <c r="E15" s="49"/>
      <c r="F15" s="49"/>
      <c r="G15" s="50"/>
      <c r="H15" s="47">
        <f>SUM(H12:H14)</f>
        <v>68099</v>
      </c>
      <c r="I15" s="56"/>
      <c r="J15" s="411"/>
      <c r="K15" s="412"/>
    </row>
    <row r="16" spans="1:11" x14ac:dyDescent="0.35">
      <c r="A16" s="25"/>
      <c r="B16" s="368" t="s">
        <v>173</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4"/>
      <c r="C23" s="24"/>
      <c r="D23" s="1"/>
      <c r="E23" s="24" t="s">
        <v>34</v>
      </c>
      <c r="F23" s="24"/>
      <c r="H23" s="20"/>
      <c r="I23" s="20"/>
      <c r="J23" s="20"/>
      <c r="K23" s="21"/>
    </row>
    <row r="24" spans="1:11" x14ac:dyDescent="0.35">
      <c r="A24" s="54" t="s">
        <v>19</v>
      </c>
      <c r="B24" s="27"/>
      <c r="C24" s="27"/>
      <c r="E24" s="21" t="s">
        <v>20</v>
      </c>
      <c r="F24" s="21"/>
      <c r="G24" s="46" t="s">
        <v>21</v>
      </c>
      <c r="H24" s="21"/>
      <c r="I24" s="21"/>
      <c r="J24" s="410" t="s">
        <v>22</v>
      </c>
      <c r="K24" s="410"/>
    </row>
    <row r="25" spans="1:11" x14ac:dyDescent="0.35">
      <c r="A25" s="22" t="s">
        <v>82</v>
      </c>
      <c r="B25" s="28"/>
      <c r="C25" s="28"/>
      <c r="E25" s="22" t="s">
        <v>23</v>
      </c>
      <c r="F25" s="22"/>
      <c r="G25" s="22" t="s">
        <v>24</v>
      </c>
      <c r="H25" s="22"/>
      <c r="I25" s="22"/>
      <c r="J25" s="389" t="s">
        <v>25</v>
      </c>
      <c r="K25" s="389"/>
    </row>
    <row r="26" spans="1:11" x14ac:dyDescent="0.35">
      <c r="A26" s="23" t="s">
        <v>85</v>
      </c>
      <c r="B26" s="26"/>
      <c r="C26" s="26"/>
      <c r="E26" s="23" t="s">
        <v>41</v>
      </c>
      <c r="F26" s="23"/>
      <c r="G26" s="23" t="s">
        <v>166</v>
      </c>
      <c r="H26" s="23"/>
      <c r="I26" s="23"/>
      <c r="J26" s="390" t="s">
        <v>26</v>
      </c>
      <c r="K26" s="390"/>
    </row>
    <row r="27" spans="1:11" x14ac:dyDescent="0.35">
      <c r="A27" s="23" t="s">
        <v>27</v>
      </c>
      <c r="B27" s="26"/>
      <c r="C27" s="26"/>
      <c r="E27" s="23" t="s">
        <v>27</v>
      </c>
      <c r="F27" s="23"/>
      <c r="G27" s="23" t="s">
        <v>27</v>
      </c>
      <c r="H27" s="23"/>
      <c r="I27" s="23"/>
      <c r="J27" s="1"/>
      <c r="K27" s="23"/>
    </row>
    <row r="33" spans="1:1" x14ac:dyDescent="0.35">
      <c r="A33" s="21" t="s">
        <v>141</v>
      </c>
    </row>
    <row r="34" spans="1:1" x14ac:dyDescent="0.35">
      <c r="A34" s="28" t="s">
        <v>6</v>
      </c>
    </row>
    <row r="35" spans="1:1" x14ac:dyDescent="0.35">
      <c r="A35" s="26" t="s">
        <v>128</v>
      </c>
    </row>
    <row r="36" spans="1:1" x14ac:dyDescent="0.35">
      <c r="A36" s="23" t="s">
        <v>40</v>
      </c>
    </row>
  </sheetData>
  <mergeCells count="15">
    <mergeCell ref="J24:K24"/>
    <mergeCell ref="J25:K25"/>
    <mergeCell ref="J26:K26"/>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scale="78"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742D-3409-4512-9232-D0D551A98AF6}">
  <sheetPr>
    <pageSetUpPr fitToPage="1"/>
  </sheetPr>
  <dimension ref="A1:K33"/>
  <sheetViews>
    <sheetView topLeftCell="A9" workbookViewId="0">
      <selection sqref="A1:K25"/>
    </sheetView>
  </sheetViews>
  <sheetFormatPr defaultRowHeight="14.5" x14ac:dyDescent="0.35"/>
  <cols>
    <col min="1" max="1" width="17.1796875" customWidth="1"/>
    <col min="2" max="2" width="10.7265625" bestFit="1" customWidth="1"/>
    <col min="4" max="4" width="22.453125" bestFit="1" customWidth="1"/>
    <col min="5" max="5" width="19.54296875" customWidth="1"/>
    <col min="7" max="7" width="21.54296875" bestFit="1" customWidth="1"/>
    <col min="8" max="8" width="12.81640625" bestFit="1" customWidth="1"/>
    <col min="9" max="9" width="11.7265625" bestFit="1" customWidth="1"/>
    <col min="10" max="10" width="24.6328125" bestFit="1" customWidth="1"/>
    <col min="11" max="11" width="13.36328125" bestFit="1" customWidth="1"/>
  </cols>
  <sheetData>
    <row r="1" spans="1:11" ht="33"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174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45915</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40564.870000000003</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8" thickBot="1" x14ac:dyDescent="0.4">
      <c r="A11" s="4" t="s">
        <v>11</v>
      </c>
      <c r="B11" s="5" t="s">
        <v>12</v>
      </c>
      <c r="C11" s="6" t="s">
        <v>56</v>
      </c>
      <c r="D11" s="6" t="s">
        <v>84</v>
      </c>
      <c r="E11" s="6" t="s">
        <v>0</v>
      </c>
      <c r="F11" s="6" t="s">
        <v>14</v>
      </c>
      <c r="G11" s="4" t="s">
        <v>15</v>
      </c>
      <c r="H11" s="5" t="s">
        <v>29</v>
      </c>
      <c r="I11" s="5" t="s">
        <v>92</v>
      </c>
      <c r="J11" s="78" t="s">
        <v>31</v>
      </c>
      <c r="K11" s="78" t="s">
        <v>30</v>
      </c>
    </row>
    <row r="12" spans="1:11" ht="15.5" thickBot="1" x14ac:dyDescent="0.4">
      <c r="A12" s="25">
        <v>1</v>
      </c>
      <c r="B12" s="38">
        <v>45915</v>
      </c>
      <c r="C12" s="31">
        <v>1666</v>
      </c>
      <c r="D12" s="29" t="s">
        <v>104</v>
      </c>
      <c r="E12" s="10" t="s">
        <v>47</v>
      </c>
      <c r="F12" s="10">
        <v>45834</v>
      </c>
      <c r="G12" s="75">
        <v>40564.870000000003</v>
      </c>
      <c r="H12" s="76">
        <f>G12</f>
        <v>40564.870000000003</v>
      </c>
      <c r="I12" s="77">
        <v>45929</v>
      </c>
      <c r="J12" s="79" t="s">
        <v>32</v>
      </c>
      <c r="K12" s="80" t="s">
        <v>43</v>
      </c>
    </row>
    <row r="13" spans="1:11" ht="15" x14ac:dyDescent="0.35">
      <c r="A13" s="40"/>
      <c r="B13" s="49"/>
      <c r="C13" s="49"/>
      <c r="D13" s="49"/>
      <c r="E13" s="49"/>
      <c r="F13" s="49"/>
      <c r="G13" s="50"/>
      <c r="H13" s="47">
        <f>SUM(H12:H12)</f>
        <v>40564.870000000003</v>
      </c>
      <c r="I13" s="12"/>
      <c r="J13" s="411"/>
      <c r="K13" s="412"/>
    </row>
    <row r="14" spans="1:11" x14ac:dyDescent="0.35">
      <c r="A14" s="25"/>
      <c r="B14" s="368" t="s">
        <v>175</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24"/>
      <c r="C21" s="24"/>
      <c r="D21" s="1"/>
      <c r="E21" s="24" t="s">
        <v>34</v>
      </c>
      <c r="F21" s="24"/>
      <c r="H21" s="20"/>
      <c r="I21" s="20"/>
      <c r="J21" s="20"/>
      <c r="K21" s="21"/>
    </row>
    <row r="22" spans="1:11" x14ac:dyDescent="0.35">
      <c r="A22" s="54" t="s">
        <v>19</v>
      </c>
      <c r="B22" s="27"/>
      <c r="C22" s="27"/>
      <c r="E22" s="21" t="s">
        <v>20</v>
      </c>
      <c r="F22" s="21"/>
      <c r="G22" s="46" t="s">
        <v>21</v>
      </c>
      <c r="H22" s="21"/>
      <c r="I22" s="21"/>
      <c r="J22" s="410" t="s">
        <v>22</v>
      </c>
      <c r="K22" s="410"/>
    </row>
    <row r="23" spans="1:11" x14ac:dyDescent="0.35">
      <c r="A23" s="22" t="s">
        <v>82</v>
      </c>
      <c r="B23" s="28"/>
      <c r="C23" s="28"/>
      <c r="E23" s="22" t="s">
        <v>23</v>
      </c>
      <c r="F23" s="22"/>
      <c r="G23" s="22" t="s">
        <v>24</v>
      </c>
      <c r="H23" s="22"/>
      <c r="I23" s="22"/>
      <c r="J23" s="389" t="s">
        <v>25</v>
      </c>
      <c r="K23" s="389"/>
    </row>
    <row r="24" spans="1:11" x14ac:dyDescent="0.35">
      <c r="A24" s="23" t="s">
        <v>85</v>
      </c>
      <c r="B24" s="26"/>
      <c r="C24" s="26"/>
      <c r="E24" s="23" t="s">
        <v>41</v>
      </c>
      <c r="F24" s="23"/>
      <c r="G24" s="23" t="s">
        <v>39</v>
      </c>
      <c r="H24" s="23"/>
      <c r="I24" s="23"/>
      <c r="J24" s="390" t="s">
        <v>26</v>
      </c>
      <c r="K24" s="390"/>
    </row>
    <row r="25" spans="1:11" x14ac:dyDescent="0.35">
      <c r="A25" s="23" t="s">
        <v>27</v>
      </c>
      <c r="B25" s="26"/>
      <c r="C25" s="26"/>
      <c r="E25" s="23" t="s">
        <v>27</v>
      </c>
      <c r="F25" s="23"/>
      <c r="G25" s="23" t="s">
        <v>27</v>
      </c>
      <c r="H25" s="23"/>
      <c r="I25" s="23"/>
      <c r="J25" s="1"/>
      <c r="K25" s="23"/>
    </row>
    <row r="30" spans="1:11" x14ac:dyDescent="0.35">
      <c r="A30" s="21" t="s">
        <v>141</v>
      </c>
    </row>
    <row r="31" spans="1:11" x14ac:dyDescent="0.35">
      <c r="A31" s="28" t="s">
        <v>6</v>
      </c>
    </row>
    <row r="32" spans="1:11" x14ac:dyDescent="0.35">
      <c r="A32" s="26" t="s">
        <v>128</v>
      </c>
    </row>
    <row r="33" spans="1:1" x14ac:dyDescent="0.35">
      <c r="A33" s="23" t="s">
        <v>40</v>
      </c>
    </row>
  </sheetData>
  <mergeCells count="15">
    <mergeCell ref="B6:K6"/>
    <mergeCell ref="A1:K1"/>
    <mergeCell ref="B2:K2"/>
    <mergeCell ref="B3:K3"/>
    <mergeCell ref="B4:K4"/>
    <mergeCell ref="B5:K5"/>
    <mergeCell ref="J22:K22"/>
    <mergeCell ref="J23:K23"/>
    <mergeCell ref="J24:K24"/>
    <mergeCell ref="B7:K7"/>
    <mergeCell ref="B8:K8"/>
    <mergeCell ref="B9:K9"/>
    <mergeCell ref="B10:K10"/>
    <mergeCell ref="J13:K13"/>
    <mergeCell ref="B14:K14"/>
  </mergeCells>
  <pageMargins left="0.25" right="0.25" top="0.75" bottom="0.75" header="0.3" footer="0.3"/>
  <pageSetup scale="78"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2990-870B-4545-A597-088A84786440}">
  <sheetPr>
    <pageSetUpPr fitToPage="1"/>
  </sheetPr>
  <dimension ref="A1:K36"/>
  <sheetViews>
    <sheetView topLeftCell="A7" workbookViewId="0">
      <selection activeCell="H12" sqref="H12:H1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171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45928</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191247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92">
        <v>45928</v>
      </c>
      <c r="C12" s="31">
        <v>1660</v>
      </c>
      <c r="D12" s="29" t="s">
        <v>86</v>
      </c>
      <c r="E12" s="93" t="s">
        <v>47</v>
      </c>
      <c r="F12" s="93">
        <v>45893</v>
      </c>
      <c r="G12" s="11">
        <v>87162</v>
      </c>
      <c r="H12" s="30">
        <f>G12</f>
        <v>87162</v>
      </c>
      <c r="I12" s="57">
        <v>45939</v>
      </c>
      <c r="J12" s="84" t="s">
        <v>32</v>
      </c>
      <c r="K12" s="85" t="s">
        <v>43</v>
      </c>
    </row>
    <row r="13" spans="1:11" ht="15" x14ac:dyDescent="0.35">
      <c r="A13" s="25">
        <v>2</v>
      </c>
      <c r="B13" s="92">
        <v>45928</v>
      </c>
      <c r="C13" s="95">
        <v>1658</v>
      </c>
      <c r="D13" s="94" t="s">
        <v>88</v>
      </c>
      <c r="E13" s="86" t="s">
        <v>47</v>
      </c>
      <c r="F13" s="93">
        <v>45893</v>
      </c>
      <c r="G13" s="11">
        <v>14737</v>
      </c>
      <c r="H13" s="30">
        <f t="shared" ref="H13:H16" si="0">G13</f>
        <v>14737</v>
      </c>
      <c r="I13" s="57">
        <v>45939</v>
      </c>
      <c r="J13" s="84" t="s">
        <v>32</v>
      </c>
      <c r="K13" s="85" t="s">
        <v>43</v>
      </c>
    </row>
    <row r="14" spans="1:11" ht="15" x14ac:dyDescent="0.35">
      <c r="A14" s="25">
        <v>3</v>
      </c>
      <c r="B14" s="92">
        <v>45928</v>
      </c>
      <c r="C14" s="31">
        <v>1656</v>
      </c>
      <c r="D14" s="29" t="s">
        <v>87</v>
      </c>
      <c r="E14" s="93" t="s">
        <v>47</v>
      </c>
      <c r="F14" s="93">
        <v>45893</v>
      </c>
      <c r="G14" s="11">
        <v>2699</v>
      </c>
      <c r="H14" s="30">
        <f t="shared" si="0"/>
        <v>2699</v>
      </c>
      <c r="I14" s="57">
        <v>45939</v>
      </c>
      <c r="J14" s="92" t="s">
        <v>32</v>
      </c>
      <c r="K14" s="43" t="s">
        <v>43</v>
      </c>
    </row>
    <row r="15" spans="1:11" ht="15" x14ac:dyDescent="0.35">
      <c r="A15" s="25">
        <v>4</v>
      </c>
      <c r="B15" s="92">
        <v>45928</v>
      </c>
      <c r="C15" s="31">
        <v>1657</v>
      </c>
      <c r="D15" s="29" t="s">
        <v>89</v>
      </c>
      <c r="E15" s="93" t="s">
        <v>47</v>
      </c>
      <c r="F15" s="93">
        <v>45893</v>
      </c>
      <c r="G15" s="64">
        <v>21285</v>
      </c>
      <c r="H15" s="30">
        <f t="shared" si="0"/>
        <v>21285</v>
      </c>
      <c r="I15" s="57">
        <v>45939</v>
      </c>
      <c r="J15" s="92" t="s">
        <v>32</v>
      </c>
      <c r="K15" s="43" t="s">
        <v>43</v>
      </c>
    </row>
    <row r="16" spans="1:11" ht="15" x14ac:dyDescent="0.35">
      <c r="A16" s="25">
        <v>5</v>
      </c>
      <c r="B16" s="92">
        <v>45928</v>
      </c>
      <c r="C16" s="31">
        <v>1670</v>
      </c>
      <c r="D16" s="29" t="s">
        <v>90</v>
      </c>
      <c r="E16" s="93" t="s">
        <v>47</v>
      </c>
      <c r="F16" s="93">
        <v>45893</v>
      </c>
      <c r="G16" s="64">
        <v>65364</v>
      </c>
      <c r="H16" s="30">
        <f t="shared" si="0"/>
        <v>65364</v>
      </c>
      <c r="I16" s="57">
        <v>45939</v>
      </c>
      <c r="J16" s="92" t="s">
        <v>32</v>
      </c>
      <c r="K16" s="43" t="s">
        <v>43</v>
      </c>
    </row>
    <row r="17" spans="1:11" ht="15" x14ac:dyDescent="0.35">
      <c r="A17" s="40"/>
      <c r="B17" s="49"/>
      <c r="C17" s="49"/>
      <c r="D17" s="49"/>
      <c r="E17" s="49"/>
      <c r="F17" s="49"/>
      <c r="G17" s="50"/>
      <c r="H17" s="47">
        <f>SUM(H12:H16)</f>
        <v>191247</v>
      </c>
      <c r="I17" s="12"/>
      <c r="J17" s="411"/>
      <c r="K17" s="412"/>
    </row>
    <row r="18" spans="1:11" x14ac:dyDescent="0.35">
      <c r="A18" s="25"/>
      <c r="B18" s="368" t="s">
        <v>176</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81"/>
      <c r="C32" s="81"/>
      <c r="D32" s="1"/>
      <c r="E32" s="81" t="s">
        <v>34</v>
      </c>
      <c r="F32" s="81"/>
      <c r="H32" s="20"/>
      <c r="I32" s="20"/>
      <c r="J32" s="20"/>
      <c r="K32" s="83"/>
    </row>
    <row r="33" spans="1:11" x14ac:dyDescent="0.35">
      <c r="A33" s="82" t="s">
        <v>19</v>
      </c>
      <c r="B33" s="91"/>
      <c r="C33" s="91"/>
      <c r="E33" s="83" t="s">
        <v>20</v>
      </c>
      <c r="F33" s="83"/>
      <c r="G33" s="96" t="s">
        <v>21</v>
      </c>
      <c r="H33" s="83"/>
      <c r="I33" s="83"/>
      <c r="J33" s="410" t="s">
        <v>22</v>
      </c>
      <c r="K33" s="410"/>
    </row>
    <row r="34" spans="1:11" x14ac:dyDescent="0.35">
      <c r="A34" s="87" t="s">
        <v>82</v>
      </c>
      <c r="B34" s="89"/>
      <c r="C34" s="89"/>
      <c r="E34" s="87" t="s">
        <v>23</v>
      </c>
      <c r="F34" s="87"/>
      <c r="G34" s="87" t="s">
        <v>24</v>
      </c>
      <c r="H34" s="87"/>
      <c r="I34" s="87"/>
      <c r="J34" s="389" t="s">
        <v>25</v>
      </c>
      <c r="K34" s="389"/>
    </row>
    <row r="35" spans="1:11" x14ac:dyDescent="0.35">
      <c r="A35" s="88" t="s">
        <v>85</v>
      </c>
      <c r="B35" s="90"/>
      <c r="C35" s="90"/>
      <c r="E35" s="88" t="s">
        <v>41</v>
      </c>
      <c r="F35" s="88"/>
      <c r="G35" s="88" t="s">
        <v>166</v>
      </c>
      <c r="H35" s="88"/>
      <c r="I35" s="88"/>
      <c r="J35" s="390" t="s">
        <v>26</v>
      </c>
      <c r="K35" s="390"/>
    </row>
    <row r="36" spans="1:11" x14ac:dyDescent="0.35">
      <c r="A36" s="88" t="s">
        <v>27</v>
      </c>
      <c r="B36" s="90"/>
      <c r="C36" s="90"/>
      <c r="E36" s="88" t="s">
        <v>27</v>
      </c>
      <c r="F36" s="88"/>
      <c r="G36" s="88" t="s">
        <v>27</v>
      </c>
      <c r="H36" s="88"/>
      <c r="I36" s="88"/>
      <c r="J36" s="1"/>
      <c r="K36" s="88"/>
    </row>
  </sheetData>
  <mergeCells count="15">
    <mergeCell ref="B6:K6"/>
    <mergeCell ref="A1:K1"/>
    <mergeCell ref="B2:K2"/>
    <mergeCell ref="B3:K3"/>
    <mergeCell ref="B4:K4"/>
    <mergeCell ref="B5:K5"/>
    <mergeCell ref="J33:K33"/>
    <mergeCell ref="J34:K34"/>
    <mergeCell ref="J35:K35"/>
    <mergeCell ref="B7:K7"/>
    <mergeCell ref="B8:K8"/>
    <mergeCell ref="B9:K9"/>
    <mergeCell ref="B10:K10"/>
    <mergeCell ref="J17:K17"/>
    <mergeCell ref="B18:K18"/>
  </mergeCells>
  <pageMargins left="0.25" right="0.25" top="0.75" bottom="0.75" header="0.3" footer="0.3"/>
  <pageSetup paperSize="9" scale="83"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0FB69-DE60-43ED-907C-A46B0E41DC4F}">
  <sheetPr>
    <pageSetUpPr fitToPage="1"/>
  </sheetPr>
  <dimension ref="A1:K36"/>
  <sheetViews>
    <sheetView topLeftCell="B11" workbookViewId="0">
      <selection sqref="A1:K29"/>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2"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174</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45930</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73680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105">
        <v>45930</v>
      </c>
      <c r="C12" s="31">
        <v>1661</v>
      </c>
      <c r="D12" s="29" t="s">
        <v>109</v>
      </c>
      <c r="E12" s="104" t="s">
        <v>47</v>
      </c>
      <c r="F12" s="106">
        <v>45894</v>
      </c>
      <c r="G12" s="11">
        <v>33082</v>
      </c>
      <c r="H12" s="30">
        <f>G12</f>
        <v>33082</v>
      </c>
      <c r="I12" s="57">
        <v>45940</v>
      </c>
      <c r="J12" s="102" t="s">
        <v>32</v>
      </c>
      <c r="K12" s="103" t="s">
        <v>43</v>
      </c>
    </row>
    <row r="13" spans="1:11" ht="15" x14ac:dyDescent="0.35">
      <c r="A13" s="25">
        <v>2</v>
      </c>
      <c r="B13" s="105">
        <v>45930</v>
      </c>
      <c r="C13" s="31">
        <v>1662</v>
      </c>
      <c r="D13" s="29" t="s">
        <v>116</v>
      </c>
      <c r="E13" s="106" t="s">
        <v>47</v>
      </c>
      <c r="F13" s="106">
        <v>45894</v>
      </c>
      <c r="G13" s="11">
        <v>27739</v>
      </c>
      <c r="H13" s="30">
        <f>G13</f>
        <v>27739</v>
      </c>
      <c r="I13" s="57">
        <v>45940</v>
      </c>
      <c r="J13" s="105" t="s">
        <v>32</v>
      </c>
      <c r="K13" s="43" t="s">
        <v>43</v>
      </c>
    </row>
    <row r="14" spans="1:11" ht="15" x14ac:dyDescent="0.35">
      <c r="A14" s="40">
        <v>3</v>
      </c>
      <c r="B14" s="105">
        <v>45930</v>
      </c>
      <c r="C14" s="31">
        <v>1659</v>
      </c>
      <c r="D14" s="29" t="s">
        <v>91</v>
      </c>
      <c r="E14" s="106" t="s">
        <v>47</v>
      </c>
      <c r="F14" s="106">
        <v>45894</v>
      </c>
      <c r="G14" s="64">
        <v>12859</v>
      </c>
      <c r="H14" s="30">
        <f>G14</f>
        <v>12859</v>
      </c>
      <c r="I14" s="58">
        <v>45940</v>
      </c>
      <c r="J14" s="105" t="s">
        <v>32</v>
      </c>
      <c r="K14" s="43" t="s">
        <v>43</v>
      </c>
    </row>
    <row r="15" spans="1:11" ht="15" x14ac:dyDescent="0.35">
      <c r="A15" s="69"/>
      <c r="B15" s="49"/>
      <c r="C15" s="49"/>
      <c r="D15" s="49"/>
      <c r="E15" s="49"/>
      <c r="F15" s="49"/>
      <c r="G15" s="50"/>
      <c r="H15" s="47">
        <f>SUM(H12:H14)</f>
        <v>73680</v>
      </c>
      <c r="I15" s="56"/>
      <c r="J15" s="411"/>
      <c r="K15" s="412"/>
    </row>
    <row r="16" spans="1:11" x14ac:dyDescent="0.35">
      <c r="A16" s="25"/>
      <c r="B16" s="368" t="s">
        <v>177</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99"/>
      <c r="C23" s="99"/>
      <c r="D23" s="1"/>
      <c r="E23" s="99" t="s">
        <v>34</v>
      </c>
      <c r="F23" s="99"/>
      <c r="H23" s="20"/>
      <c r="I23" s="20"/>
      <c r="J23" s="20"/>
      <c r="K23" s="101"/>
    </row>
    <row r="24" spans="1:11" x14ac:dyDescent="0.35">
      <c r="A24" s="100" t="s">
        <v>19</v>
      </c>
      <c r="B24" s="107"/>
      <c r="C24" s="107"/>
      <c r="E24" s="101" t="s">
        <v>20</v>
      </c>
      <c r="F24" s="101"/>
      <c r="G24" s="110" t="s">
        <v>21</v>
      </c>
      <c r="H24" s="101"/>
      <c r="I24" s="101"/>
      <c r="J24" s="410" t="s">
        <v>22</v>
      </c>
      <c r="K24" s="410"/>
    </row>
    <row r="25" spans="1:11" x14ac:dyDescent="0.35">
      <c r="A25" s="97" t="s">
        <v>82</v>
      </c>
      <c r="B25" s="108"/>
      <c r="C25" s="108"/>
      <c r="E25" s="97" t="s">
        <v>23</v>
      </c>
      <c r="F25" s="97"/>
      <c r="G25" s="97" t="s">
        <v>24</v>
      </c>
      <c r="H25" s="97"/>
      <c r="I25" s="97"/>
      <c r="J25" s="389" t="s">
        <v>25</v>
      </c>
      <c r="K25" s="389"/>
    </row>
    <row r="26" spans="1:11" x14ac:dyDescent="0.35">
      <c r="A26" s="98" t="s">
        <v>85</v>
      </c>
      <c r="B26" s="109"/>
      <c r="C26" s="109"/>
      <c r="E26" s="98" t="s">
        <v>41</v>
      </c>
      <c r="F26" s="98"/>
      <c r="G26" s="98" t="s">
        <v>166</v>
      </c>
      <c r="H26" s="98"/>
      <c r="I26" s="98"/>
      <c r="J26" s="390" t="s">
        <v>26</v>
      </c>
      <c r="K26" s="390"/>
    </row>
    <row r="27" spans="1:11" x14ac:dyDescent="0.35">
      <c r="A27" s="98" t="s">
        <v>27</v>
      </c>
      <c r="B27" s="109"/>
      <c r="C27" s="109"/>
      <c r="E27" s="98" t="s">
        <v>27</v>
      </c>
      <c r="F27" s="98"/>
      <c r="G27" s="98" t="s">
        <v>27</v>
      </c>
      <c r="H27" s="98"/>
      <c r="I27" s="98"/>
      <c r="J27" s="1"/>
      <c r="K27" s="98"/>
    </row>
    <row r="33" spans="1:1" x14ac:dyDescent="0.35">
      <c r="A33" s="101" t="s">
        <v>141</v>
      </c>
    </row>
    <row r="34" spans="1:1" x14ac:dyDescent="0.35">
      <c r="A34" s="108" t="s">
        <v>6</v>
      </c>
    </row>
    <row r="35" spans="1:1" x14ac:dyDescent="0.35">
      <c r="A35" s="109" t="s">
        <v>128</v>
      </c>
    </row>
    <row r="36" spans="1:1" x14ac:dyDescent="0.35">
      <c r="A36" s="98" t="s">
        <v>40</v>
      </c>
    </row>
  </sheetData>
  <mergeCells count="15">
    <mergeCell ref="J24:K24"/>
    <mergeCell ref="J25:K25"/>
    <mergeCell ref="J26:K26"/>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670C-D34A-4CA0-B856-04C684B1D894}">
  <sheetPr>
    <pageSetUpPr fitToPage="1"/>
  </sheetPr>
  <dimension ref="A1:K36"/>
  <sheetViews>
    <sheetView topLeftCell="A18" workbookViewId="0">
      <selection sqref="A1:K3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179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45949</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192974</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122">
        <v>45949</v>
      </c>
      <c r="C12" s="31">
        <v>1660</v>
      </c>
      <c r="D12" s="29" t="s">
        <v>86</v>
      </c>
      <c r="E12" s="123" t="s">
        <v>47</v>
      </c>
      <c r="F12" s="123">
        <v>45924</v>
      </c>
      <c r="G12" s="11">
        <v>97333</v>
      </c>
      <c r="H12" s="30">
        <f>G12</f>
        <v>97333</v>
      </c>
      <c r="I12" s="57">
        <v>45970</v>
      </c>
      <c r="J12" s="114" t="s">
        <v>32</v>
      </c>
      <c r="K12" s="115" t="s">
        <v>43</v>
      </c>
    </row>
    <row r="13" spans="1:11" ht="15" x14ac:dyDescent="0.35">
      <c r="A13" s="25">
        <v>2</v>
      </c>
      <c r="B13" s="122">
        <v>45949</v>
      </c>
      <c r="C13" s="125">
        <v>1658</v>
      </c>
      <c r="D13" s="124" t="s">
        <v>88</v>
      </c>
      <c r="E13" s="116" t="s">
        <v>47</v>
      </c>
      <c r="F13" s="123">
        <v>45924</v>
      </c>
      <c r="G13" s="11">
        <v>13743</v>
      </c>
      <c r="H13" s="30">
        <f t="shared" ref="H13:H16" si="0">G13</f>
        <v>13743</v>
      </c>
      <c r="I13" s="57">
        <v>45970</v>
      </c>
      <c r="J13" s="114" t="s">
        <v>32</v>
      </c>
      <c r="K13" s="115" t="s">
        <v>43</v>
      </c>
    </row>
    <row r="14" spans="1:11" ht="15" x14ac:dyDescent="0.35">
      <c r="A14" s="25">
        <v>3</v>
      </c>
      <c r="B14" s="122">
        <v>45949</v>
      </c>
      <c r="C14" s="31">
        <v>1656</v>
      </c>
      <c r="D14" s="29" t="s">
        <v>87</v>
      </c>
      <c r="E14" s="123" t="s">
        <v>47</v>
      </c>
      <c r="F14" s="123">
        <v>45924</v>
      </c>
      <c r="G14" s="11">
        <v>2719</v>
      </c>
      <c r="H14" s="30">
        <f t="shared" si="0"/>
        <v>2719</v>
      </c>
      <c r="I14" s="57">
        <v>45970</v>
      </c>
      <c r="J14" s="122" t="s">
        <v>32</v>
      </c>
      <c r="K14" s="43" t="s">
        <v>43</v>
      </c>
    </row>
    <row r="15" spans="1:11" ht="15" x14ac:dyDescent="0.35">
      <c r="A15" s="25">
        <v>4</v>
      </c>
      <c r="B15" s="122">
        <v>45949</v>
      </c>
      <c r="C15" s="31">
        <v>1657</v>
      </c>
      <c r="D15" s="29" t="s">
        <v>89</v>
      </c>
      <c r="E15" s="123" t="s">
        <v>47</v>
      </c>
      <c r="F15" s="123">
        <v>45924</v>
      </c>
      <c r="G15" s="64">
        <v>19477</v>
      </c>
      <c r="H15" s="30">
        <f t="shared" si="0"/>
        <v>19477</v>
      </c>
      <c r="I15" s="57">
        <v>45970</v>
      </c>
      <c r="J15" s="122" t="s">
        <v>32</v>
      </c>
      <c r="K15" s="43" t="s">
        <v>43</v>
      </c>
    </row>
    <row r="16" spans="1:11" ht="15" x14ac:dyDescent="0.35">
      <c r="A16" s="25">
        <v>5</v>
      </c>
      <c r="B16" s="122">
        <v>45949</v>
      </c>
      <c r="C16" s="31">
        <v>1670</v>
      </c>
      <c r="D16" s="29" t="s">
        <v>90</v>
      </c>
      <c r="E16" s="123" t="s">
        <v>47</v>
      </c>
      <c r="F16" s="123">
        <v>45924</v>
      </c>
      <c r="G16" s="64">
        <v>59702</v>
      </c>
      <c r="H16" s="30">
        <f t="shared" si="0"/>
        <v>59702</v>
      </c>
      <c r="I16" s="57">
        <v>45970</v>
      </c>
      <c r="J16" s="122" t="s">
        <v>32</v>
      </c>
      <c r="K16" s="43" t="s">
        <v>43</v>
      </c>
    </row>
    <row r="17" spans="1:11" ht="15" x14ac:dyDescent="0.35">
      <c r="A17" s="40"/>
      <c r="B17" s="49"/>
      <c r="C17" s="49"/>
      <c r="D17" s="49"/>
      <c r="E17" s="49"/>
      <c r="F17" s="49"/>
      <c r="G17" s="50"/>
      <c r="H17" s="47">
        <f>SUM(H12:H16)</f>
        <v>192974</v>
      </c>
      <c r="I17" s="12"/>
      <c r="J17" s="411"/>
      <c r="K17" s="412"/>
    </row>
    <row r="18" spans="1:11" x14ac:dyDescent="0.35">
      <c r="A18" s="25"/>
      <c r="B18" s="368" t="s">
        <v>178</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111"/>
      <c r="C32" s="111"/>
      <c r="D32" s="1"/>
      <c r="E32" s="111" t="s">
        <v>34</v>
      </c>
      <c r="F32" s="111"/>
      <c r="H32" s="20"/>
      <c r="I32" s="20"/>
      <c r="J32" s="20"/>
      <c r="K32" s="113"/>
    </row>
    <row r="33" spans="1:11" x14ac:dyDescent="0.35">
      <c r="A33" s="112" t="s">
        <v>19</v>
      </c>
      <c r="B33" s="121"/>
      <c r="C33" s="121"/>
      <c r="E33" s="113" t="s">
        <v>20</v>
      </c>
      <c r="F33" s="113"/>
      <c r="G33" s="126" t="s">
        <v>21</v>
      </c>
      <c r="H33" s="113"/>
      <c r="I33" s="113"/>
      <c r="J33" s="410" t="s">
        <v>22</v>
      </c>
      <c r="K33" s="410"/>
    </row>
    <row r="34" spans="1:11" x14ac:dyDescent="0.35">
      <c r="A34" s="117" t="s">
        <v>82</v>
      </c>
      <c r="B34" s="119"/>
      <c r="C34" s="119"/>
      <c r="E34" s="117" t="s">
        <v>23</v>
      </c>
      <c r="F34" s="117"/>
      <c r="G34" s="117" t="s">
        <v>24</v>
      </c>
      <c r="H34" s="117"/>
      <c r="I34" s="117"/>
      <c r="J34" s="389" t="s">
        <v>25</v>
      </c>
      <c r="K34" s="389"/>
    </row>
    <row r="35" spans="1:11" x14ac:dyDescent="0.35">
      <c r="A35" s="118" t="s">
        <v>85</v>
      </c>
      <c r="B35" s="120"/>
      <c r="C35" s="120"/>
      <c r="E35" s="118" t="s">
        <v>41</v>
      </c>
      <c r="F35" s="118"/>
      <c r="G35" s="118" t="s">
        <v>166</v>
      </c>
      <c r="H35" s="118"/>
      <c r="I35" s="118"/>
      <c r="J35" s="390" t="s">
        <v>26</v>
      </c>
      <c r="K35" s="390"/>
    </row>
    <row r="36" spans="1:11" x14ac:dyDescent="0.35">
      <c r="A36" s="118" t="s">
        <v>27</v>
      </c>
      <c r="B36" s="120"/>
      <c r="C36" s="120"/>
      <c r="E36" s="118" t="s">
        <v>27</v>
      </c>
      <c r="F36" s="118"/>
      <c r="G36" s="118" t="s">
        <v>27</v>
      </c>
      <c r="H36" s="118"/>
      <c r="I36" s="118"/>
      <c r="J36" s="1"/>
      <c r="K36" s="118"/>
    </row>
  </sheetData>
  <mergeCells count="15">
    <mergeCell ref="B6:K6"/>
    <mergeCell ref="A1:K1"/>
    <mergeCell ref="B2:K2"/>
    <mergeCell ref="B3:K3"/>
    <mergeCell ref="B4:K4"/>
    <mergeCell ref="B5:K5"/>
    <mergeCell ref="J33:K33"/>
    <mergeCell ref="J34:K34"/>
    <mergeCell ref="J35:K35"/>
    <mergeCell ref="B7:K7"/>
    <mergeCell ref="B8:K8"/>
    <mergeCell ref="B9:K9"/>
    <mergeCell ref="B10:K10"/>
    <mergeCell ref="J17:K17"/>
    <mergeCell ref="B18:K18"/>
  </mergeCells>
  <pageMargins left="0.25" right="0.25" top="0.75" bottom="0.75" header="0.3" footer="0.3"/>
  <pageSetup paperSize="9" scale="83"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CBAE2-E91B-439F-B71D-4151934BBE36}">
  <sheetPr>
    <pageSetUpPr fitToPage="1"/>
  </sheetPr>
  <dimension ref="A1:K27"/>
  <sheetViews>
    <sheetView topLeftCell="A26" workbookViewId="0">
      <selection sqref="A1:K28"/>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1"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181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45959</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70660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135">
        <v>45959</v>
      </c>
      <c r="C12" s="31">
        <v>1661</v>
      </c>
      <c r="D12" s="29" t="s">
        <v>109</v>
      </c>
      <c r="E12" s="134" t="s">
        <v>47</v>
      </c>
      <c r="F12" s="136">
        <v>45925</v>
      </c>
      <c r="G12" s="11">
        <v>29884</v>
      </c>
      <c r="H12" s="30">
        <f>G12</f>
        <v>29884</v>
      </c>
      <c r="I12" s="57">
        <v>45971</v>
      </c>
      <c r="J12" s="132" t="s">
        <v>32</v>
      </c>
      <c r="K12" s="133" t="s">
        <v>43</v>
      </c>
    </row>
    <row r="13" spans="1:11" ht="15" x14ac:dyDescent="0.35">
      <c r="A13" s="25">
        <v>2</v>
      </c>
      <c r="B13" s="135">
        <v>45959</v>
      </c>
      <c r="C13" s="31">
        <v>1662</v>
      </c>
      <c r="D13" s="29" t="s">
        <v>116</v>
      </c>
      <c r="E13" s="136" t="s">
        <v>47</v>
      </c>
      <c r="F13" s="136">
        <v>45925</v>
      </c>
      <c r="G13" s="11">
        <v>27739</v>
      </c>
      <c r="H13" s="30">
        <v>25653</v>
      </c>
      <c r="I13" s="57">
        <v>45971</v>
      </c>
      <c r="J13" s="135" t="s">
        <v>32</v>
      </c>
      <c r="K13" s="43" t="s">
        <v>43</v>
      </c>
    </row>
    <row r="14" spans="1:11" ht="15" x14ac:dyDescent="0.35">
      <c r="A14" s="40">
        <v>3</v>
      </c>
      <c r="B14" s="135">
        <v>45959</v>
      </c>
      <c r="C14" s="31">
        <v>1659</v>
      </c>
      <c r="D14" s="29" t="s">
        <v>91</v>
      </c>
      <c r="E14" s="136" t="s">
        <v>47</v>
      </c>
      <c r="F14" s="136">
        <v>45925</v>
      </c>
      <c r="G14" s="64">
        <v>12859</v>
      </c>
      <c r="H14" s="30">
        <v>15123</v>
      </c>
      <c r="I14" s="58">
        <v>45971</v>
      </c>
      <c r="J14" s="135" t="s">
        <v>32</v>
      </c>
      <c r="K14" s="43" t="s">
        <v>43</v>
      </c>
    </row>
    <row r="15" spans="1:11" ht="15" x14ac:dyDescent="0.35">
      <c r="A15" s="69"/>
      <c r="B15" s="49"/>
      <c r="C15" s="49"/>
      <c r="D15" s="49"/>
      <c r="E15" s="49"/>
      <c r="F15" s="49"/>
      <c r="G15" s="50"/>
      <c r="H15" s="47">
        <f>SUM(H12:H14)</f>
        <v>70660</v>
      </c>
      <c r="I15" s="56"/>
      <c r="J15" s="411"/>
      <c r="K15" s="412"/>
    </row>
    <row r="16" spans="1:11" x14ac:dyDescent="0.35">
      <c r="A16" s="25"/>
      <c r="B16" s="368" t="s">
        <v>180</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129"/>
      <c r="C23" s="129"/>
      <c r="D23" s="1"/>
      <c r="E23" s="129" t="s">
        <v>34</v>
      </c>
      <c r="F23" s="129"/>
      <c r="H23" s="20"/>
      <c r="I23" s="20"/>
      <c r="J23" s="20"/>
      <c r="K23" s="131"/>
    </row>
    <row r="24" spans="1:11" x14ac:dyDescent="0.35">
      <c r="A24" s="130" t="s">
        <v>19</v>
      </c>
      <c r="B24" s="137"/>
      <c r="C24" s="137"/>
      <c r="E24" s="131" t="s">
        <v>20</v>
      </c>
      <c r="F24" s="131"/>
      <c r="G24" s="140" t="s">
        <v>21</v>
      </c>
      <c r="H24" s="131"/>
      <c r="I24" s="131"/>
      <c r="J24" s="410" t="s">
        <v>22</v>
      </c>
      <c r="K24" s="410"/>
    </row>
    <row r="25" spans="1:11" x14ac:dyDescent="0.35">
      <c r="A25" s="127" t="s">
        <v>82</v>
      </c>
      <c r="B25" s="138"/>
      <c r="C25" s="138"/>
      <c r="E25" s="127" t="s">
        <v>23</v>
      </c>
      <c r="F25" s="127"/>
      <c r="G25" s="127" t="s">
        <v>24</v>
      </c>
      <c r="H25" s="127"/>
      <c r="I25" s="127"/>
      <c r="J25" s="389" t="s">
        <v>25</v>
      </c>
      <c r="K25" s="389"/>
    </row>
    <row r="26" spans="1:11" x14ac:dyDescent="0.35">
      <c r="A26" s="128" t="s">
        <v>85</v>
      </c>
      <c r="B26" s="139"/>
      <c r="C26" s="139"/>
      <c r="E26" s="128" t="s">
        <v>41</v>
      </c>
      <c r="F26" s="128"/>
      <c r="G26" s="128" t="s">
        <v>166</v>
      </c>
      <c r="H26" s="128"/>
      <c r="I26" s="128"/>
      <c r="J26" s="390" t="s">
        <v>26</v>
      </c>
      <c r="K26" s="390"/>
    </row>
    <row r="27" spans="1:11" x14ac:dyDescent="0.35">
      <c r="A27" s="128" t="s">
        <v>27</v>
      </c>
      <c r="B27" s="139"/>
      <c r="C27" s="139"/>
      <c r="E27" s="128" t="s">
        <v>27</v>
      </c>
      <c r="F27" s="128"/>
      <c r="G27" s="128" t="s">
        <v>27</v>
      </c>
      <c r="H27" s="128"/>
      <c r="I27" s="128"/>
      <c r="J27" s="1"/>
      <c r="K27" s="128"/>
    </row>
  </sheetData>
  <mergeCells count="15">
    <mergeCell ref="J24:K24"/>
    <mergeCell ref="J25:K25"/>
    <mergeCell ref="J26:K26"/>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774E-C6A0-49AC-91F0-DA3E09B687EE}">
  <sheetPr>
    <pageSetUpPr fitToPage="1"/>
  </sheetPr>
  <dimension ref="A1:K25"/>
  <sheetViews>
    <sheetView topLeftCell="A12" workbookViewId="0">
      <selection sqref="A1:K25"/>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2.81640625" bestFit="1" customWidth="1"/>
    <col min="9" max="9" width="11.7265625" bestFit="1" customWidth="1"/>
    <col min="10" max="10" width="24.6328125" bestFit="1" customWidth="1"/>
    <col min="11" max="11" width="13.36328125" bestFit="1" customWidth="1"/>
  </cols>
  <sheetData>
    <row r="1" spans="1:11" ht="3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182</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45977</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43644</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8" thickBot="1" x14ac:dyDescent="0.4">
      <c r="A11" s="4" t="s">
        <v>11</v>
      </c>
      <c r="B11" s="5" t="s">
        <v>12</v>
      </c>
      <c r="C11" s="6" t="s">
        <v>56</v>
      </c>
      <c r="D11" s="6" t="s">
        <v>84</v>
      </c>
      <c r="E11" s="6" t="s">
        <v>0</v>
      </c>
      <c r="F11" s="6" t="s">
        <v>14</v>
      </c>
      <c r="G11" s="4" t="s">
        <v>15</v>
      </c>
      <c r="H11" s="5" t="s">
        <v>29</v>
      </c>
      <c r="I11" s="5" t="s">
        <v>92</v>
      </c>
      <c r="J11" s="78" t="s">
        <v>31</v>
      </c>
      <c r="K11" s="78" t="s">
        <v>30</v>
      </c>
    </row>
    <row r="12" spans="1:11" ht="15.5" thickBot="1" x14ac:dyDescent="0.4">
      <c r="A12" s="25">
        <v>1</v>
      </c>
      <c r="B12" s="149">
        <v>45977</v>
      </c>
      <c r="C12" s="31">
        <v>1666</v>
      </c>
      <c r="D12" s="29" t="s">
        <v>104</v>
      </c>
      <c r="E12" s="150" t="s">
        <v>47</v>
      </c>
      <c r="F12" s="150">
        <v>45894</v>
      </c>
      <c r="G12" s="75">
        <v>43644</v>
      </c>
      <c r="H12" s="30">
        <f>G12</f>
        <v>43644</v>
      </c>
      <c r="I12" s="77">
        <v>45985</v>
      </c>
      <c r="J12" s="79" t="s">
        <v>32</v>
      </c>
      <c r="K12" s="80" t="s">
        <v>43</v>
      </c>
    </row>
    <row r="13" spans="1:11" ht="15" x14ac:dyDescent="0.35">
      <c r="A13" s="40"/>
      <c r="B13" s="49"/>
      <c r="C13" s="49"/>
      <c r="D13" s="49"/>
      <c r="E13" s="49"/>
      <c r="F13" s="49"/>
      <c r="G13" s="50"/>
      <c r="H13" s="47">
        <f>SUM(H12:H12)</f>
        <v>43644</v>
      </c>
      <c r="I13" s="12"/>
      <c r="J13" s="411"/>
      <c r="K13" s="412"/>
    </row>
    <row r="14" spans="1:11" x14ac:dyDescent="0.35">
      <c r="A14" s="25"/>
      <c r="B14" s="368" t="s">
        <v>183</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141"/>
      <c r="C21" s="141"/>
      <c r="D21" s="1"/>
      <c r="E21" s="141" t="s">
        <v>34</v>
      </c>
      <c r="F21" s="141"/>
      <c r="H21" s="20"/>
      <c r="I21" s="20"/>
      <c r="J21" s="20"/>
      <c r="K21" s="143"/>
    </row>
    <row r="22" spans="1:11" x14ac:dyDescent="0.35">
      <c r="A22" s="142" t="s">
        <v>19</v>
      </c>
      <c r="B22" s="148"/>
      <c r="C22" s="148"/>
      <c r="E22" s="143" t="s">
        <v>20</v>
      </c>
      <c r="F22" s="143"/>
      <c r="G22" s="151" t="s">
        <v>21</v>
      </c>
      <c r="H22" s="143"/>
      <c r="I22" s="143"/>
      <c r="J22" s="410" t="s">
        <v>22</v>
      </c>
      <c r="K22" s="410"/>
    </row>
    <row r="23" spans="1:11" x14ac:dyDescent="0.35">
      <c r="A23" s="144" t="s">
        <v>82</v>
      </c>
      <c r="B23" s="146"/>
      <c r="C23" s="146"/>
      <c r="E23" s="144" t="s">
        <v>23</v>
      </c>
      <c r="F23" s="144"/>
      <c r="G23" s="144" t="s">
        <v>24</v>
      </c>
      <c r="H23" s="144"/>
      <c r="I23" s="144"/>
      <c r="J23" s="389" t="s">
        <v>25</v>
      </c>
      <c r="K23" s="389"/>
    </row>
    <row r="24" spans="1:11" x14ac:dyDescent="0.35">
      <c r="A24" s="145" t="s">
        <v>85</v>
      </c>
      <c r="B24" s="147"/>
      <c r="C24" s="147"/>
      <c r="E24" s="145" t="s">
        <v>41</v>
      </c>
      <c r="F24" s="145"/>
      <c r="G24" s="145" t="s">
        <v>39</v>
      </c>
      <c r="H24" s="145"/>
      <c r="I24" s="145"/>
      <c r="J24" s="390" t="s">
        <v>26</v>
      </c>
      <c r="K24" s="390"/>
    </row>
    <row r="25" spans="1:11" x14ac:dyDescent="0.35">
      <c r="A25" s="145" t="s">
        <v>27</v>
      </c>
      <c r="B25" s="147"/>
      <c r="C25" s="147"/>
      <c r="E25" s="145" t="s">
        <v>27</v>
      </c>
      <c r="F25" s="145"/>
      <c r="G25" s="145" t="s">
        <v>27</v>
      </c>
      <c r="H25" s="145"/>
      <c r="I25" s="145"/>
      <c r="J25" s="1"/>
      <c r="K25" s="145"/>
    </row>
  </sheetData>
  <mergeCells count="15">
    <mergeCell ref="B6:K6"/>
    <mergeCell ref="A1:K1"/>
    <mergeCell ref="B2:K2"/>
    <mergeCell ref="B3:K3"/>
    <mergeCell ref="B4:K4"/>
    <mergeCell ref="B5:K5"/>
    <mergeCell ref="J22:K22"/>
    <mergeCell ref="J23:K23"/>
    <mergeCell ref="J24:K24"/>
    <mergeCell ref="B7:K7"/>
    <mergeCell ref="B8:K8"/>
    <mergeCell ref="B9:K9"/>
    <mergeCell ref="B10:K10"/>
    <mergeCell ref="J13:K13"/>
    <mergeCell ref="B14:K14"/>
  </mergeCells>
  <pageMargins left="0.25" right="0.25" top="0.75" bottom="0.75" header="0.3" footer="0.3"/>
  <pageSetup paperSize="9" scale="83"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DE50-C526-424F-90AB-1FDA50180F3F}">
  <sheetPr>
    <pageSetUpPr fitToPage="1"/>
  </sheetPr>
  <dimension ref="A1:K36"/>
  <sheetViews>
    <sheetView topLeftCell="A8" workbookViewId="0">
      <selection sqref="A1:K37"/>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4.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179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45985</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176091</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160">
        <v>45985</v>
      </c>
      <c r="C12" s="31">
        <v>1660</v>
      </c>
      <c r="D12" s="29" t="s">
        <v>86</v>
      </c>
      <c r="E12" s="161" t="s">
        <v>47</v>
      </c>
      <c r="F12" s="161">
        <v>45954</v>
      </c>
      <c r="G12" s="11">
        <v>94691</v>
      </c>
      <c r="H12" s="30">
        <f>G12</f>
        <v>94691</v>
      </c>
      <c r="I12" s="57">
        <v>46000</v>
      </c>
      <c r="J12" s="157" t="s">
        <v>32</v>
      </c>
      <c r="K12" s="158" t="s">
        <v>43</v>
      </c>
    </row>
    <row r="13" spans="1:11" ht="15" x14ac:dyDescent="0.35">
      <c r="A13" s="25">
        <v>2</v>
      </c>
      <c r="B13" s="160">
        <v>45985</v>
      </c>
      <c r="C13" s="166">
        <v>1658</v>
      </c>
      <c r="D13" s="165" t="s">
        <v>88</v>
      </c>
      <c r="E13" s="159" t="s">
        <v>47</v>
      </c>
      <c r="F13" s="161">
        <v>45954</v>
      </c>
      <c r="G13" s="11">
        <v>14002</v>
      </c>
      <c r="H13" s="30">
        <f>G13</f>
        <v>14002</v>
      </c>
      <c r="I13" s="57">
        <v>46000</v>
      </c>
      <c r="J13" s="157" t="s">
        <v>32</v>
      </c>
      <c r="K13" s="158" t="s">
        <v>43</v>
      </c>
    </row>
    <row r="14" spans="1:11" ht="15" x14ac:dyDescent="0.35">
      <c r="A14" s="25">
        <v>3</v>
      </c>
      <c r="B14" s="160">
        <v>45985</v>
      </c>
      <c r="C14" s="31">
        <v>1656</v>
      </c>
      <c r="D14" s="29" t="s">
        <v>87</v>
      </c>
      <c r="E14" s="161" t="s">
        <v>47</v>
      </c>
      <c r="F14" s="161">
        <v>45954</v>
      </c>
      <c r="G14" s="11">
        <v>2719</v>
      </c>
      <c r="H14" s="30">
        <f t="shared" ref="H14:H16" si="0">G14</f>
        <v>2719</v>
      </c>
      <c r="I14" s="57">
        <v>46005</v>
      </c>
      <c r="J14" s="160" t="s">
        <v>32</v>
      </c>
      <c r="K14" s="43" t="s">
        <v>43</v>
      </c>
    </row>
    <row r="15" spans="1:11" ht="15" x14ac:dyDescent="0.35">
      <c r="A15" s="25">
        <v>4</v>
      </c>
      <c r="B15" s="160">
        <v>45985</v>
      </c>
      <c r="C15" s="31">
        <v>1657</v>
      </c>
      <c r="D15" s="29" t="s">
        <v>89</v>
      </c>
      <c r="E15" s="161" t="s">
        <v>47</v>
      </c>
      <c r="F15" s="161">
        <v>45954</v>
      </c>
      <c r="G15" s="64">
        <v>20093</v>
      </c>
      <c r="H15" s="30">
        <f t="shared" si="0"/>
        <v>20093</v>
      </c>
      <c r="I15" s="57">
        <v>46005</v>
      </c>
      <c r="J15" s="160" t="s">
        <v>32</v>
      </c>
      <c r="K15" s="43" t="s">
        <v>43</v>
      </c>
    </row>
    <row r="16" spans="1:11" ht="15" x14ac:dyDescent="0.35">
      <c r="A16" s="25">
        <v>5</v>
      </c>
      <c r="B16" s="160">
        <v>45985</v>
      </c>
      <c r="C16" s="31">
        <v>1670</v>
      </c>
      <c r="D16" s="29" t="s">
        <v>90</v>
      </c>
      <c r="E16" s="161" t="s">
        <v>47</v>
      </c>
      <c r="F16" s="161">
        <v>45954</v>
      </c>
      <c r="G16" s="64">
        <v>44586</v>
      </c>
      <c r="H16" s="30">
        <f t="shared" si="0"/>
        <v>44586</v>
      </c>
      <c r="I16" s="57">
        <v>46005</v>
      </c>
      <c r="J16" s="160" t="s">
        <v>32</v>
      </c>
      <c r="K16" s="43" t="s">
        <v>43</v>
      </c>
    </row>
    <row r="17" spans="1:11" ht="15" x14ac:dyDescent="0.35">
      <c r="A17" s="40"/>
      <c r="B17" s="49"/>
      <c r="C17" s="49"/>
      <c r="D17" s="49"/>
      <c r="E17" s="49"/>
      <c r="F17" s="49"/>
      <c r="G17" s="50"/>
      <c r="H17" s="47">
        <f>SUM(H12:H16)</f>
        <v>176091</v>
      </c>
      <c r="I17" s="12"/>
      <c r="J17" s="411"/>
      <c r="K17" s="412"/>
    </row>
    <row r="18" spans="1:11" x14ac:dyDescent="0.35">
      <c r="A18" s="25"/>
      <c r="B18" s="368" t="s">
        <v>184</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154"/>
      <c r="C32" s="154"/>
      <c r="D32" s="1"/>
      <c r="E32" s="154" t="s">
        <v>34</v>
      </c>
      <c r="F32" s="154"/>
      <c r="H32" s="20"/>
      <c r="I32" s="20"/>
      <c r="J32" s="20"/>
      <c r="K32" s="156"/>
    </row>
    <row r="33" spans="1:11" x14ac:dyDescent="0.35">
      <c r="A33" s="155" t="s">
        <v>19</v>
      </c>
      <c r="B33" s="162"/>
      <c r="C33" s="162"/>
      <c r="E33" s="156" t="s">
        <v>20</v>
      </c>
      <c r="F33" s="156"/>
      <c r="G33" s="167" t="s">
        <v>21</v>
      </c>
      <c r="H33" s="156"/>
      <c r="I33" s="156"/>
      <c r="J33" s="410" t="s">
        <v>22</v>
      </c>
      <c r="K33" s="410"/>
    </row>
    <row r="34" spans="1:11" x14ac:dyDescent="0.35">
      <c r="A34" s="152" t="s">
        <v>82</v>
      </c>
      <c r="B34" s="163"/>
      <c r="C34" s="163"/>
      <c r="E34" s="152" t="s">
        <v>23</v>
      </c>
      <c r="F34" s="152"/>
      <c r="G34" s="152" t="s">
        <v>24</v>
      </c>
      <c r="H34" s="152"/>
      <c r="I34" s="152"/>
      <c r="J34" s="389" t="s">
        <v>25</v>
      </c>
      <c r="K34" s="389"/>
    </row>
    <row r="35" spans="1:11" x14ac:dyDescent="0.35">
      <c r="A35" s="153" t="s">
        <v>85</v>
      </c>
      <c r="B35" s="164"/>
      <c r="C35" s="164"/>
      <c r="E35" s="153" t="s">
        <v>41</v>
      </c>
      <c r="F35" s="153"/>
      <c r="G35" s="153" t="s">
        <v>166</v>
      </c>
      <c r="H35" s="153"/>
      <c r="I35" s="153"/>
      <c r="J35" s="390" t="s">
        <v>26</v>
      </c>
      <c r="K35" s="390"/>
    </row>
    <row r="36" spans="1:11" x14ac:dyDescent="0.35">
      <c r="A36" s="153" t="s">
        <v>27</v>
      </c>
      <c r="B36" s="164"/>
      <c r="C36" s="164"/>
      <c r="E36" s="153" t="s">
        <v>27</v>
      </c>
      <c r="F36" s="153"/>
      <c r="G36" s="153" t="s">
        <v>27</v>
      </c>
      <c r="H36" s="153"/>
      <c r="I36" s="153"/>
      <c r="J36" s="1"/>
      <c r="K36" s="153"/>
    </row>
  </sheetData>
  <mergeCells count="15">
    <mergeCell ref="J33:K33"/>
    <mergeCell ref="J34:K34"/>
    <mergeCell ref="J35:K35"/>
    <mergeCell ref="B7:K7"/>
    <mergeCell ref="B8:K8"/>
    <mergeCell ref="B9:K9"/>
    <mergeCell ref="B10:K10"/>
    <mergeCell ref="J17:K17"/>
    <mergeCell ref="B18:K18"/>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2323-5FFF-40E0-8808-A745AA74166F}">
  <sheetPr>
    <pageSetUpPr fitToPage="1"/>
  </sheetPr>
  <dimension ref="A1:K27"/>
  <sheetViews>
    <sheetView topLeftCell="B10" workbookViewId="0">
      <selection activeCell="G20" sqref="G20"/>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5.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181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45992</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72667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176">
        <v>45992</v>
      </c>
      <c r="C12" s="31">
        <v>1661</v>
      </c>
      <c r="D12" s="29" t="s">
        <v>109</v>
      </c>
      <c r="E12" s="175" t="s">
        <v>47</v>
      </c>
      <c r="F12" s="177">
        <v>45955</v>
      </c>
      <c r="G12" s="11">
        <v>36737</v>
      </c>
      <c r="H12" s="30">
        <f>G12</f>
        <v>36737</v>
      </c>
      <c r="I12" s="57">
        <v>46006</v>
      </c>
      <c r="J12" s="173" t="s">
        <v>32</v>
      </c>
      <c r="K12" s="174" t="s">
        <v>43</v>
      </c>
    </row>
    <row r="13" spans="1:11" ht="15" x14ac:dyDescent="0.35">
      <c r="A13" s="25">
        <v>2</v>
      </c>
      <c r="B13" s="176">
        <v>45992</v>
      </c>
      <c r="C13" s="31">
        <v>1662</v>
      </c>
      <c r="D13" s="29" t="s">
        <v>116</v>
      </c>
      <c r="E13" s="177" t="s">
        <v>47</v>
      </c>
      <c r="F13" s="177">
        <v>45955</v>
      </c>
      <c r="G13" s="11">
        <v>25852</v>
      </c>
      <c r="H13" s="30">
        <f>G13</f>
        <v>25852</v>
      </c>
      <c r="I13" s="57">
        <v>46006</v>
      </c>
      <c r="J13" s="176" t="s">
        <v>32</v>
      </c>
      <c r="K13" s="43" t="s">
        <v>43</v>
      </c>
    </row>
    <row r="14" spans="1:11" ht="15" x14ac:dyDescent="0.35">
      <c r="A14" s="40">
        <v>3</v>
      </c>
      <c r="B14" s="176">
        <v>45992</v>
      </c>
      <c r="C14" s="31">
        <v>1659</v>
      </c>
      <c r="D14" s="29" t="s">
        <v>91</v>
      </c>
      <c r="E14" s="177" t="s">
        <v>47</v>
      </c>
      <c r="F14" s="177">
        <v>45955</v>
      </c>
      <c r="G14" s="64">
        <v>10078</v>
      </c>
      <c r="H14" s="30">
        <f>G14</f>
        <v>10078</v>
      </c>
      <c r="I14" s="57">
        <v>46006</v>
      </c>
      <c r="J14" s="176" t="s">
        <v>32</v>
      </c>
      <c r="K14" s="43" t="s">
        <v>43</v>
      </c>
    </row>
    <row r="15" spans="1:11" ht="15" x14ac:dyDescent="0.35">
      <c r="A15" s="69"/>
      <c r="B15" s="49"/>
      <c r="C15" s="49"/>
      <c r="D15" s="49"/>
      <c r="E15" s="49"/>
      <c r="F15" s="49"/>
      <c r="G15" s="50"/>
      <c r="H15" s="47">
        <f>SUM(H12:H14)</f>
        <v>72667</v>
      </c>
      <c r="I15" s="56"/>
      <c r="J15" s="411"/>
      <c r="K15" s="412"/>
    </row>
    <row r="16" spans="1:11" x14ac:dyDescent="0.35">
      <c r="A16" s="25"/>
      <c r="B16" s="368" t="s">
        <v>185</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170"/>
      <c r="C23" s="170"/>
      <c r="D23" s="1"/>
      <c r="E23" s="170" t="s">
        <v>34</v>
      </c>
      <c r="F23" s="170"/>
      <c r="H23" s="20"/>
      <c r="I23" s="20"/>
      <c r="J23" s="20"/>
      <c r="K23" s="172"/>
    </row>
    <row r="24" spans="1:11" x14ac:dyDescent="0.35">
      <c r="A24" s="171" t="s">
        <v>19</v>
      </c>
      <c r="B24" s="178"/>
      <c r="C24" s="178"/>
      <c r="E24" s="172" t="s">
        <v>20</v>
      </c>
      <c r="F24" s="172"/>
      <c r="G24" s="181" t="s">
        <v>21</v>
      </c>
      <c r="H24" s="172"/>
      <c r="I24" s="172"/>
      <c r="J24" s="410" t="s">
        <v>22</v>
      </c>
      <c r="K24" s="410"/>
    </row>
    <row r="25" spans="1:11" x14ac:dyDescent="0.35">
      <c r="A25" s="168" t="s">
        <v>82</v>
      </c>
      <c r="B25" s="179"/>
      <c r="C25" s="179"/>
      <c r="E25" s="168" t="s">
        <v>23</v>
      </c>
      <c r="F25" s="168"/>
      <c r="G25" s="168" t="s">
        <v>24</v>
      </c>
      <c r="H25" s="168"/>
      <c r="I25" s="168"/>
      <c r="J25" s="389" t="s">
        <v>25</v>
      </c>
      <c r="K25" s="389"/>
    </row>
    <row r="26" spans="1:11" x14ac:dyDescent="0.35">
      <c r="A26" s="169" t="s">
        <v>85</v>
      </c>
      <c r="B26" s="180"/>
      <c r="C26" s="180"/>
      <c r="E26" s="169" t="s">
        <v>41</v>
      </c>
      <c r="F26" s="169"/>
      <c r="G26" s="169" t="s">
        <v>166</v>
      </c>
      <c r="H26" s="169"/>
      <c r="I26" s="169"/>
      <c r="J26" s="390" t="s">
        <v>26</v>
      </c>
      <c r="K26" s="390"/>
    </row>
    <row r="27" spans="1:11" x14ac:dyDescent="0.35">
      <c r="A27" s="169" t="s">
        <v>27</v>
      </c>
      <c r="B27" s="180"/>
      <c r="C27" s="180"/>
      <c r="E27" s="169" t="s">
        <v>27</v>
      </c>
      <c r="F27" s="169"/>
      <c r="G27" s="169" t="s">
        <v>27</v>
      </c>
      <c r="H27" s="169"/>
      <c r="I27" s="169"/>
      <c r="J27" s="1"/>
      <c r="K27" s="169"/>
    </row>
  </sheetData>
  <mergeCells count="15">
    <mergeCell ref="J24:K24"/>
    <mergeCell ref="J25:K25"/>
    <mergeCell ref="J26:K26"/>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A189-DBB7-4C96-A55B-11CF118522EB}">
  <sheetPr>
    <pageSetUpPr fitToPage="1"/>
  </sheetPr>
  <dimension ref="A1:K39"/>
  <sheetViews>
    <sheetView topLeftCell="A9" workbookViewId="0">
      <selection sqref="A1:K40"/>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3.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179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46023</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$H$20</f>
        <v>203823</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190">
        <v>46023</v>
      </c>
      <c r="C12" s="31">
        <v>1660</v>
      </c>
      <c r="D12" s="29" t="s">
        <v>86</v>
      </c>
      <c r="E12" s="191" t="s">
        <v>47</v>
      </c>
      <c r="F12" s="191">
        <v>45985</v>
      </c>
      <c r="G12" s="11">
        <v>72780</v>
      </c>
      <c r="H12" s="30">
        <f>G12</f>
        <v>72780</v>
      </c>
      <c r="I12" s="57">
        <v>46036</v>
      </c>
      <c r="J12" s="187" t="s">
        <v>32</v>
      </c>
      <c r="K12" s="188" t="s">
        <v>43</v>
      </c>
    </row>
    <row r="13" spans="1:11" ht="15" x14ac:dyDescent="0.35">
      <c r="A13" s="25">
        <v>2</v>
      </c>
      <c r="B13" s="190">
        <v>46023</v>
      </c>
      <c r="C13" s="196">
        <v>1658</v>
      </c>
      <c r="D13" s="195" t="s">
        <v>88</v>
      </c>
      <c r="E13" s="189" t="s">
        <v>47</v>
      </c>
      <c r="F13" s="191">
        <v>45985</v>
      </c>
      <c r="G13" s="11">
        <v>11757</v>
      </c>
      <c r="H13" s="30">
        <f>G13</f>
        <v>11757</v>
      </c>
      <c r="I13" s="57">
        <v>46036</v>
      </c>
      <c r="J13" s="187" t="s">
        <v>32</v>
      </c>
      <c r="K13" s="188" t="s">
        <v>43</v>
      </c>
    </row>
    <row r="14" spans="1:11" ht="15" x14ac:dyDescent="0.35">
      <c r="A14" s="25">
        <v>3</v>
      </c>
      <c r="B14" s="190">
        <v>46023</v>
      </c>
      <c r="C14" s="31">
        <v>1656</v>
      </c>
      <c r="D14" s="29" t="s">
        <v>87</v>
      </c>
      <c r="E14" s="191" t="s">
        <v>47</v>
      </c>
      <c r="F14" s="191">
        <v>45985</v>
      </c>
      <c r="G14" s="11">
        <v>2719</v>
      </c>
      <c r="H14" s="30">
        <f t="shared" ref="H14:H16" si="0">G14</f>
        <v>2719</v>
      </c>
      <c r="I14" s="57">
        <v>46036</v>
      </c>
      <c r="J14" s="190" t="s">
        <v>32</v>
      </c>
      <c r="K14" s="43" t="s">
        <v>43</v>
      </c>
    </row>
    <row r="15" spans="1:11" ht="15" x14ac:dyDescent="0.35">
      <c r="A15" s="25">
        <v>4</v>
      </c>
      <c r="B15" s="190">
        <v>46023</v>
      </c>
      <c r="C15" s="31">
        <v>1657</v>
      </c>
      <c r="D15" s="29" t="s">
        <v>89</v>
      </c>
      <c r="E15" s="191" t="s">
        <v>47</v>
      </c>
      <c r="F15" s="191">
        <v>45985</v>
      </c>
      <c r="G15" s="64">
        <v>10081</v>
      </c>
      <c r="H15" s="30">
        <f t="shared" si="0"/>
        <v>10081</v>
      </c>
      <c r="I15" s="57">
        <v>46036</v>
      </c>
      <c r="J15" s="190" t="s">
        <v>32</v>
      </c>
      <c r="K15" s="43" t="s">
        <v>43</v>
      </c>
    </row>
    <row r="16" spans="1:11" ht="15" x14ac:dyDescent="0.35">
      <c r="A16" s="25">
        <v>5</v>
      </c>
      <c r="B16" s="190">
        <v>46023</v>
      </c>
      <c r="C16" s="31">
        <v>1670</v>
      </c>
      <c r="D16" s="29" t="s">
        <v>90</v>
      </c>
      <c r="E16" s="191" t="s">
        <v>47</v>
      </c>
      <c r="F16" s="191">
        <v>45985</v>
      </c>
      <c r="G16" s="64">
        <v>51419</v>
      </c>
      <c r="H16" s="30">
        <f t="shared" si="0"/>
        <v>51419</v>
      </c>
      <c r="I16" s="57">
        <v>46036</v>
      </c>
      <c r="J16" s="190" t="s">
        <v>32</v>
      </c>
      <c r="K16" s="43" t="s">
        <v>43</v>
      </c>
    </row>
    <row r="17" spans="1:11" ht="15" x14ac:dyDescent="0.35">
      <c r="A17" s="25">
        <v>6</v>
      </c>
      <c r="B17" s="190">
        <v>46023</v>
      </c>
      <c r="C17" s="31">
        <v>1661</v>
      </c>
      <c r="D17" s="29" t="s">
        <v>109</v>
      </c>
      <c r="E17" s="189" t="s">
        <v>47</v>
      </c>
      <c r="F17" s="191">
        <v>45985</v>
      </c>
      <c r="G17" s="11">
        <v>27024</v>
      </c>
      <c r="H17" s="30">
        <f>G17</f>
        <v>27024</v>
      </c>
      <c r="I17" s="57">
        <v>46034</v>
      </c>
      <c r="J17" s="187" t="s">
        <v>32</v>
      </c>
      <c r="K17" s="188" t="s">
        <v>43</v>
      </c>
    </row>
    <row r="18" spans="1:11" ht="15" x14ac:dyDescent="0.35">
      <c r="A18" s="25">
        <v>7</v>
      </c>
      <c r="B18" s="190">
        <v>46023</v>
      </c>
      <c r="C18" s="31">
        <v>1662</v>
      </c>
      <c r="D18" s="29" t="s">
        <v>116</v>
      </c>
      <c r="E18" s="191" t="s">
        <v>47</v>
      </c>
      <c r="F18" s="191">
        <v>45985</v>
      </c>
      <c r="G18" s="11">
        <v>21779</v>
      </c>
      <c r="H18" s="30">
        <f>G18</f>
        <v>21779</v>
      </c>
      <c r="I18" s="57">
        <v>46034</v>
      </c>
      <c r="J18" s="190" t="s">
        <v>32</v>
      </c>
      <c r="K18" s="43" t="s">
        <v>43</v>
      </c>
    </row>
    <row r="19" spans="1:11" ht="15" x14ac:dyDescent="0.35">
      <c r="A19" s="25">
        <v>8</v>
      </c>
      <c r="B19" s="190">
        <v>46023</v>
      </c>
      <c r="C19" s="31">
        <v>1659</v>
      </c>
      <c r="D19" s="29" t="s">
        <v>91</v>
      </c>
      <c r="E19" s="191" t="s">
        <v>47</v>
      </c>
      <c r="F19" s="191">
        <v>45985</v>
      </c>
      <c r="G19" s="64">
        <v>6264</v>
      </c>
      <c r="H19" s="30">
        <f>G19</f>
        <v>6264</v>
      </c>
      <c r="I19" s="57">
        <v>46034</v>
      </c>
      <c r="J19" s="190" t="s">
        <v>32</v>
      </c>
      <c r="K19" s="43" t="s">
        <v>43</v>
      </c>
    </row>
    <row r="20" spans="1:11" ht="15" x14ac:dyDescent="0.35">
      <c r="A20" s="40"/>
      <c r="B20" s="49"/>
      <c r="C20" s="49"/>
      <c r="D20" s="49"/>
      <c r="E20" s="49"/>
      <c r="F20" s="49"/>
      <c r="G20" s="50"/>
      <c r="H20" s="47">
        <f>SUM(H12:H19)</f>
        <v>203823</v>
      </c>
      <c r="I20" s="12"/>
      <c r="J20" s="411"/>
      <c r="K20" s="412"/>
    </row>
    <row r="21" spans="1:11" x14ac:dyDescent="0.35">
      <c r="A21" s="25"/>
      <c r="B21" s="368" t="s">
        <v>186</v>
      </c>
      <c r="C21" s="368"/>
      <c r="D21" s="368"/>
      <c r="E21" s="368"/>
      <c r="F21" s="368"/>
      <c r="G21" s="368"/>
      <c r="H21" s="368"/>
      <c r="I21" s="368"/>
      <c r="J21" s="368"/>
      <c r="K21" s="368"/>
    </row>
    <row r="22" spans="1:11" x14ac:dyDescent="0.35">
      <c r="A22" s="48"/>
      <c r="B22" s="1"/>
      <c r="C22" s="1"/>
      <c r="D22" s="1"/>
      <c r="E22" s="1"/>
      <c r="F22" s="1"/>
      <c r="G22" s="1"/>
      <c r="H22" s="1"/>
      <c r="I22" s="1"/>
      <c r="J22" s="1"/>
      <c r="K22" s="1"/>
    </row>
    <row r="23" spans="1:11" x14ac:dyDescent="0.35">
      <c r="A23" s="48"/>
      <c r="B23" s="1"/>
      <c r="C23" s="1"/>
      <c r="D23" s="1"/>
      <c r="E23" s="1"/>
      <c r="F23" s="1"/>
      <c r="G23" s="1"/>
      <c r="H23" s="1"/>
      <c r="I23" s="1"/>
      <c r="J23" s="1"/>
      <c r="K23" s="1"/>
    </row>
    <row r="24" spans="1:11" x14ac:dyDescent="0.35">
      <c r="A24" s="1"/>
      <c r="B24" s="1"/>
      <c r="C24" s="1"/>
      <c r="D24" s="1"/>
      <c r="E24" s="1"/>
      <c r="F24" s="1"/>
      <c r="G24" s="1"/>
      <c r="H24" s="1"/>
      <c r="I24" s="1"/>
      <c r="J24" s="1"/>
      <c r="K24" s="1"/>
    </row>
    <row r="25" spans="1:11" x14ac:dyDescent="0.35">
      <c r="A25" s="48"/>
      <c r="B25" s="1"/>
      <c r="C25" s="1"/>
      <c r="D25" s="1"/>
      <c r="E25" s="1"/>
      <c r="F25" s="1"/>
      <c r="G25" s="20"/>
      <c r="H25" s="1"/>
      <c r="I25" s="1"/>
      <c r="J25" s="1"/>
      <c r="K25" s="1"/>
    </row>
    <row r="26" spans="1:11" x14ac:dyDescent="0.35">
      <c r="A26" s="48"/>
      <c r="B26" s="1"/>
      <c r="C26" s="1"/>
      <c r="D26" s="1"/>
      <c r="E26" s="1"/>
      <c r="F26" s="1"/>
      <c r="G26" s="1"/>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73"/>
      <c r="B29" s="73"/>
      <c r="C29" s="73"/>
      <c r="D29" s="73"/>
      <c r="E29" s="73"/>
      <c r="F29" s="73"/>
      <c r="G29" s="73"/>
      <c r="H29" s="1"/>
      <c r="I29" s="1"/>
      <c r="J29" s="1"/>
      <c r="K29" s="1"/>
    </row>
    <row r="30" spans="1:11" x14ac:dyDescent="0.35">
      <c r="A30" s="73"/>
      <c r="B30" s="73"/>
      <c r="C30" s="73"/>
      <c r="D30" s="73"/>
      <c r="E30" s="73"/>
      <c r="F30" s="73"/>
      <c r="G30" s="73"/>
      <c r="H30" s="1"/>
      <c r="I30" s="1"/>
      <c r="J30" s="1"/>
      <c r="K30" s="1"/>
    </row>
    <row r="31" spans="1:11" x14ac:dyDescent="0.35">
      <c r="A31" s="73"/>
      <c r="B31" s="73"/>
      <c r="C31" s="73"/>
      <c r="D31" s="73"/>
      <c r="E31" s="73"/>
      <c r="F31" s="73"/>
      <c r="G31" s="73"/>
      <c r="H31" s="1"/>
      <c r="I31" s="1"/>
      <c r="J31" s="1"/>
      <c r="K31" s="1"/>
    </row>
    <row r="32" spans="1:11" x14ac:dyDescent="0.35">
      <c r="A32" s="48"/>
      <c r="B32" s="1"/>
      <c r="C32" s="1"/>
      <c r="D32" s="1"/>
      <c r="E32" s="1"/>
      <c r="F32" s="1"/>
      <c r="G32" s="1"/>
      <c r="H32" s="1"/>
      <c r="I32" s="1"/>
      <c r="J32" s="1"/>
      <c r="K32" s="1"/>
    </row>
    <row r="33" spans="1:11" x14ac:dyDescent="0.35">
      <c r="A33" s="48"/>
      <c r="B33" s="1"/>
      <c r="C33" s="1"/>
      <c r="D33" s="1"/>
      <c r="E33" s="1"/>
      <c r="F33" s="1"/>
      <c r="G33" s="1"/>
      <c r="H33" s="1"/>
      <c r="I33" s="1"/>
      <c r="J33" s="1"/>
      <c r="K33" s="1"/>
    </row>
    <row r="34" spans="1:11" x14ac:dyDescent="0.35">
      <c r="A34" s="51"/>
      <c r="B34" s="1"/>
      <c r="C34" s="1"/>
      <c r="D34" s="1"/>
      <c r="E34" s="1"/>
      <c r="F34" s="1"/>
      <c r="G34" s="1"/>
      <c r="H34" s="1"/>
      <c r="I34" s="1"/>
      <c r="J34" s="1"/>
      <c r="K34" s="1"/>
    </row>
    <row r="35" spans="1:11" x14ac:dyDescent="0.35">
      <c r="A35" s="14"/>
      <c r="B35" s="184"/>
      <c r="C35" s="184"/>
      <c r="D35" s="1"/>
      <c r="E35" s="184" t="s">
        <v>34</v>
      </c>
      <c r="F35" s="184"/>
      <c r="H35" s="20"/>
      <c r="I35" s="20"/>
      <c r="J35" s="20"/>
      <c r="K35" s="186"/>
    </row>
    <row r="36" spans="1:11" x14ac:dyDescent="0.35">
      <c r="A36" s="185" t="s">
        <v>19</v>
      </c>
      <c r="B36" s="192"/>
      <c r="C36" s="192"/>
      <c r="E36" s="186" t="s">
        <v>20</v>
      </c>
      <c r="F36" s="186"/>
      <c r="G36" s="197" t="s">
        <v>21</v>
      </c>
      <c r="H36" s="186"/>
      <c r="I36" s="186"/>
      <c r="J36" s="410" t="s">
        <v>22</v>
      </c>
      <c r="K36" s="410"/>
    </row>
    <row r="37" spans="1:11" x14ac:dyDescent="0.35">
      <c r="A37" s="182" t="s">
        <v>82</v>
      </c>
      <c r="B37" s="193"/>
      <c r="C37" s="193"/>
      <c r="E37" s="182" t="s">
        <v>23</v>
      </c>
      <c r="F37" s="182"/>
      <c r="G37" s="182" t="s">
        <v>24</v>
      </c>
      <c r="H37" s="182"/>
      <c r="I37" s="182"/>
      <c r="J37" s="389" t="s">
        <v>25</v>
      </c>
      <c r="K37" s="389"/>
    </row>
    <row r="38" spans="1:11" x14ac:dyDescent="0.35">
      <c r="A38" s="183" t="s">
        <v>85</v>
      </c>
      <c r="B38" s="194"/>
      <c r="C38" s="194"/>
      <c r="E38" s="183" t="s">
        <v>41</v>
      </c>
      <c r="F38" s="183"/>
      <c r="G38" s="183" t="s">
        <v>166</v>
      </c>
      <c r="H38" s="183"/>
      <c r="I38" s="183"/>
      <c r="J38" s="390" t="s">
        <v>26</v>
      </c>
      <c r="K38" s="390"/>
    </row>
    <row r="39" spans="1:11" x14ac:dyDescent="0.35">
      <c r="A39" s="183" t="s">
        <v>27</v>
      </c>
      <c r="B39" s="194"/>
      <c r="C39" s="194"/>
      <c r="E39" s="183" t="s">
        <v>27</v>
      </c>
      <c r="F39" s="183"/>
      <c r="G39" s="183" t="s">
        <v>27</v>
      </c>
      <c r="H39" s="183"/>
      <c r="I39" s="183"/>
      <c r="J39" s="1"/>
      <c r="K39" s="183"/>
    </row>
  </sheetData>
  <mergeCells count="15">
    <mergeCell ref="J36:K36"/>
    <mergeCell ref="J37:K37"/>
    <mergeCell ref="J38:K38"/>
    <mergeCell ref="B7:K7"/>
    <mergeCell ref="B8:K8"/>
    <mergeCell ref="B9:K9"/>
    <mergeCell ref="B10:K10"/>
    <mergeCell ref="J20:K20"/>
    <mergeCell ref="B21:K21"/>
    <mergeCell ref="B6:K6"/>
    <mergeCell ref="A1:K1"/>
    <mergeCell ref="B2:K2"/>
    <mergeCell ref="B3:K3"/>
    <mergeCell ref="B4:K4"/>
    <mergeCell ref="B5:K5"/>
  </mergeCells>
  <pageMargins left="0.25" right="0.25" top="0.75" bottom="0.75" header="0.3" footer="0.3"/>
  <pageSetup paperSize="9" scale="78"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70FA1-3434-4927-BBC6-CB34394509E6}">
  <sheetPr>
    <pageSetUpPr fitToPage="1"/>
  </sheetPr>
  <dimension ref="A1:K39"/>
  <sheetViews>
    <sheetView topLeftCell="A5" workbookViewId="0">
      <selection sqref="A1:K39"/>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1.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187</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46049</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$H$20</f>
        <v>168266</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209">
        <v>46049</v>
      </c>
      <c r="C12" s="31">
        <v>1660</v>
      </c>
      <c r="D12" s="29" t="s">
        <v>86</v>
      </c>
      <c r="E12" s="210" t="s">
        <v>47</v>
      </c>
      <c r="F12" s="210">
        <v>46015</v>
      </c>
      <c r="G12" s="11">
        <v>53313</v>
      </c>
      <c r="H12" s="30">
        <f>G12</f>
        <v>53313</v>
      </c>
      <c r="I12" s="57">
        <v>46067</v>
      </c>
      <c r="J12" s="201" t="s">
        <v>32</v>
      </c>
      <c r="K12" s="202" t="s">
        <v>43</v>
      </c>
    </row>
    <row r="13" spans="1:11" ht="15" x14ac:dyDescent="0.35">
      <c r="A13" s="25">
        <v>2</v>
      </c>
      <c r="B13" s="209">
        <v>46049</v>
      </c>
      <c r="C13" s="212">
        <v>1658</v>
      </c>
      <c r="D13" s="211" t="s">
        <v>88</v>
      </c>
      <c r="E13" s="203" t="s">
        <v>47</v>
      </c>
      <c r="F13" s="214">
        <v>46015</v>
      </c>
      <c r="G13" s="11">
        <v>9771</v>
      </c>
      <c r="H13" s="30">
        <f t="shared" ref="H13:H19" si="0">G13</f>
        <v>9771</v>
      </c>
      <c r="I13" s="57">
        <v>46067</v>
      </c>
      <c r="J13" s="201" t="s">
        <v>32</v>
      </c>
      <c r="K13" s="202" t="s">
        <v>43</v>
      </c>
    </row>
    <row r="14" spans="1:11" ht="15" x14ac:dyDescent="0.35">
      <c r="A14" s="25">
        <v>3</v>
      </c>
      <c r="B14" s="209">
        <v>46049</v>
      </c>
      <c r="C14" s="31">
        <v>1656</v>
      </c>
      <c r="D14" s="29" t="s">
        <v>87</v>
      </c>
      <c r="E14" s="210" t="s">
        <v>47</v>
      </c>
      <c r="F14" s="214">
        <v>46015</v>
      </c>
      <c r="G14" s="11">
        <v>2321</v>
      </c>
      <c r="H14" s="30">
        <f t="shared" si="0"/>
        <v>2321</v>
      </c>
      <c r="I14" s="57">
        <v>46067</v>
      </c>
      <c r="J14" s="209" t="s">
        <v>32</v>
      </c>
      <c r="K14" s="43" t="s">
        <v>43</v>
      </c>
    </row>
    <row r="15" spans="1:11" ht="15" x14ac:dyDescent="0.35">
      <c r="A15" s="25">
        <v>4</v>
      </c>
      <c r="B15" s="209">
        <v>46049</v>
      </c>
      <c r="C15" s="31">
        <v>1657</v>
      </c>
      <c r="D15" s="29" t="s">
        <v>89</v>
      </c>
      <c r="E15" s="210" t="s">
        <v>47</v>
      </c>
      <c r="F15" s="214">
        <v>46015</v>
      </c>
      <c r="G15" s="64">
        <v>9982</v>
      </c>
      <c r="H15" s="30">
        <f t="shared" si="0"/>
        <v>9982</v>
      </c>
      <c r="I15" s="57">
        <v>46062</v>
      </c>
      <c r="J15" s="209" t="s">
        <v>32</v>
      </c>
      <c r="K15" s="43" t="s">
        <v>43</v>
      </c>
    </row>
    <row r="16" spans="1:11" ht="15" x14ac:dyDescent="0.35">
      <c r="A16" s="25">
        <v>5</v>
      </c>
      <c r="B16" s="209">
        <v>46049</v>
      </c>
      <c r="C16" s="31">
        <v>1670</v>
      </c>
      <c r="D16" s="29" t="s">
        <v>90</v>
      </c>
      <c r="E16" s="210" t="s">
        <v>47</v>
      </c>
      <c r="F16" s="214">
        <v>46015</v>
      </c>
      <c r="G16" s="64">
        <v>45976</v>
      </c>
      <c r="H16" s="30">
        <f t="shared" si="0"/>
        <v>45976</v>
      </c>
      <c r="I16" s="57">
        <v>46062</v>
      </c>
      <c r="J16" s="209" t="s">
        <v>32</v>
      </c>
      <c r="K16" s="43" t="s">
        <v>43</v>
      </c>
    </row>
    <row r="17" spans="1:11" ht="15" x14ac:dyDescent="0.35">
      <c r="A17" s="25">
        <v>6</v>
      </c>
      <c r="B17" s="209">
        <v>46049</v>
      </c>
      <c r="C17" s="31">
        <v>1661</v>
      </c>
      <c r="D17" s="29" t="s">
        <v>109</v>
      </c>
      <c r="E17" s="203" t="s">
        <v>47</v>
      </c>
      <c r="F17" s="214">
        <v>46015</v>
      </c>
      <c r="G17" s="11">
        <v>23667</v>
      </c>
      <c r="H17" s="30">
        <f t="shared" si="0"/>
        <v>23667</v>
      </c>
      <c r="I17" s="57">
        <v>46063</v>
      </c>
      <c r="J17" s="201" t="s">
        <v>32</v>
      </c>
      <c r="K17" s="202" t="s">
        <v>43</v>
      </c>
    </row>
    <row r="18" spans="1:11" ht="15" x14ac:dyDescent="0.35">
      <c r="A18" s="25">
        <v>7</v>
      </c>
      <c r="B18" s="209">
        <v>46049</v>
      </c>
      <c r="C18" s="31">
        <v>1662</v>
      </c>
      <c r="D18" s="29" t="s">
        <v>116</v>
      </c>
      <c r="E18" s="210" t="s">
        <v>47</v>
      </c>
      <c r="F18" s="214">
        <v>46015</v>
      </c>
      <c r="G18" s="11">
        <v>18561</v>
      </c>
      <c r="H18" s="30">
        <f t="shared" si="0"/>
        <v>18561</v>
      </c>
      <c r="I18" s="57">
        <v>46063</v>
      </c>
      <c r="J18" s="209" t="s">
        <v>32</v>
      </c>
      <c r="K18" s="43" t="s">
        <v>43</v>
      </c>
    </row>
    <row r="19" spans="1:11" ht="15" x14ac:dyDescent="0.35">
      <c r="A19" s="25">
        <v>8</v>
      </c>
      <c r="B19" s="209">
        <v>46049</v>
      </c>
      <c r="C19" s="31">
        <v>1659</v>
      </c>
      <c r="D19" s="29" t="s">
        <v>91</v>
      </c>
      <c r="E19" s="210" t="s">
        <v>47</v>
      </c>
      <c r="F19" s="214">
        <v>46015</v>
      </c>
      <c r="G19" s="64">
        <v>4675</v>
      </c>
      <c r="H19" s="30">
        <f t="shared" si="0"/>
        <v>4675</v>
      </c>
      <c r="I19" s="57">
        <v>46063</v>
      </c>
      <c r="J19" s="209" t="s">
        <v>32</v>
      </c>
      <c r="K19" s="43" t="s">
        <v>43</v>
      </c>
    </row>
    <row r="20" spans="1:11" ht="15" x14ac:dyDescent="0.35">
      <c r="A20" s="40"/>
      <c r="B20" s="49"/>
      <c r="C20" s="49"/>
      <c r="D20" s="49"/>
      <c r="E20" s="49"/>
      <c r="F20" s="49"/>
      <c r="G20" s="50"/>
      <c r="H20" s="47">
        <f>SUM(H12:H19)</f>
        <v>168266</v>
      </c>
      <c r="I20" s="12"/>
      <c r="J20" s="411"/>
      <c r="K20" s="412"/>
    </row>
    <row r="21" spans="1:11" x14ac:dyDescent="0.35">
      <c r="A21" s="25"/>
      <c r="B21" s="368" t="s">
        <v>188</v>
      </c>
      <c r="C21" s="368"/>
      <c r="D21" s="368"/>
      <c r="E21" s="368"/>
      <c r="F21" s="368"/>
      <c r="G21" s="368"/>
      <c r="H21" s="368"/>
      <c r="I21" s="368"/>
      <c r="J21" s="368"/>
      <c r="K21" s="368"/>
    </row>
    <row r="22" spans="1:11" x14ac:dyDescent="0.35">
      <c r="A22" s="48"/>
      <c r="B22" s="1"/>
      <c r="C22" s="1"/>
      <c r="D22" s="1"/>
      <c r="E22" s="1"/>
      <c r="F22" s="1"/>
      <c r="G22" s="1"/>
      <c r="H22" s="1"/>
      <c r="I22" s="1"/>
      <c r="J22" s="1"/>
      <c r="K22" s="1"/>
    </row>
    <row r="23" spans="1:11" x14ac:dyDescent="0.35">
      <c r="A23" s="48"/>
      <c r="B23" s="1"/>
      <c r="C23" s="1"/>
      <c r="D23" s="1"/>
      <c r="E23" s="1"/>
      <c r="F23" s="1"/>
      <c r="G23" s="1"/>
      <c r="H23" s="1"/>
      <c r="I23" s="1"/>
      <c r="J23" s="1"/>
      <c r="K23" s="1"/>
    </row>
    <row r="24" spans="1:11" x14ac:dyDescent="0.35">
      <c r="A24" s="1"/>
      <c r="B24" s="1"/>
      <c r="C24" s="1"/>
      <c r="D24" s="1"/>
      <c r="E24" s="1"/>
      <c r="F24" s="1"/>
      <c r="G24" s="1"/>
      <c r="H24" s="1"/>
      <c r="I24" s="1"/>
      <c r="J24" s="1"/>
      <c r="K24" s="1"/>
    </row>
    <row r="25" spans="1:11" x14ac:dyDescent="0.35">
      <c r="A25" s="48"/>
      <c r="B25" s="1"/>
      <c r="C25" s="1"/>
      <c r="D25" s="1"/>
      <c r="E25" s="1"/>
      <c r="F25" s="1"/>
      <c r="G25" s="20"/>
      <c r="H25" s="1"/>
      <c r="I25" s="1"/>
      <c r="J25" s="1"/>
      <c r="K25" s="1"/>
    </row>
    <row r="26" spans="1:11" x14ac:dyDescent="0.35">
      <c r="A26" s="48"/>
      <c r="B26" s="1"/>
      <c r="C26" s="1"/>
      <c r="D26" s="1"/>
      <c r="E26" s="1"/>
      <c r="F26" s="1"/>
      <c r="G26" s="1"/>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73"/>
      <c r="B29" s="73"/>
      <c r="C29" s="73"/>
      <c r="D29" s="73"/>
      <c r="E29" s="73"/>
      <c r="F29" s="73"/>
      <c r="G29" s="73"/>
      <c r="H29" s="1"/>
      <c r="I29" s="1"/>
      <c r="J29" s="1"/>
      <c r="K29" s="1"/>
    </row>
    <row r="30" spans="1:11" x14ac:dyDescent="0.35">
      <c r="A30" s="73"/>
      <c r="B30" s="73"/>
      <c r="C30" s="73"/>
      <c r="D30" s="73"/>
      <c r="E30" s="73"/>
      <c r="F30" s="73"/>
      <c r="G30" s="73"/>
      <c r="H30" s="1"/>
      <c r="I30" s="1"/>
      <c r="J30" s="1"/>
      <c r="K30" s="1"/>
    </row>
    <row r="31" spans="1:11" x14ac:dyDescent="0.35">
      <c r="A31" s="73"/>
      <c r="B31" s="73"/>
      <c r="C31" s="73"/>
      <c r="D31" s="73"/>
      <c r="E31" s="73"/>
      <c r="F31" s="73"/>
      <c r="G31" s="73"/>
      <c r="H31" s="1"/>
      <c r="I31" s="1"/>
      <c r="J31" s="1"/>
      <c r="K31" s="1"/>
    </row>
    <row r="32" spans="1:11" x14ac:dyDescent="0.35">
      <c r="A32" s="48"/>
      <c r="B32" s="1"/>
      <c r="C32" s="1"/>
      <c r="D32" s="1"/>
      <c r="E32" s="1"/>
      <c r="F32" s="1"/>
      <c r="G32" s="1"/>
      <c r="H32" s="1"/>
      <c r="I32" s="1"/>
      <c r="J32" s="1"/>
      <c r="K32" s="1"/>
    </row>
    <row r="33" spans="1:11" x14ac:dyDescent="0.35">
      <c r="A33" s="48"/>
      <c r="B33" s="1"/>
      <c r="C33" s="1"/>
      <c r="D33" s="1"/>
      <c r="E33" s="1"/>
      <c r="F33" s="1"/>
      <c r="G33" s="1"/>
      <c r="H33" s="1"/>
      <c r="I33" s="1"/>
      <c r="J33" s="1"/>
      <c r="K33" s="1"/>
    </row>
    <row r="34" spans="1:11" x14ac:dyDescent="0.35">
      <c r="A34" s="51"/>
      <c r="B34" s="1"/>
      <c r="C34" s="1"/>
      <c r="D34" s="1"/>
      <c r="E34" s="1"/>
      <c r="F34" s="1"/>
      <c r="G34" s="1"/>
      <c r="H34" s="1"/>
      <c r="I34" s="1"/>
      <c r="J34" s="1"/>
      <c r="K34" s="1"/>
    </row>
    <row r="35" spans="1:11" x14ac:dyDescent="0.35">
      <c r="A35" s="14"/>
      <c r="B35" s="198"/>
      <c r="C35" s="198"/>
      <c r="D35" s="1"/>
      <c r="E35" s="198" t="s">
        <v>34</v>
      </c>
      <c r="F35" s="198"/>
      <c r="H35" s="20"/>
      <c r="I35" s="20"/>
      <c r="J35" s="20"/>
      <c r="K35" s="200"/>
    </row>
    <row r="36" spans="1:11" x14ac:dyDescent="0.35">
      <c r="A36" s="199" t="s">
        <v>19</v>
      </c>
      <c r="B36" s="208"/>
      <c r="C36" s="208"/>
      <c r="E36" s="200" t="s">
        <v>20</v>
      </c>
      <c r="F36" s="200"/>
      <c r="G36" s="213" t="s">
        <v>21</v>
      </c>
      <c r="H36" s="200"/>
      <c r="I36" s="200"/>
      <c r="J36" s="410" t="s">
        <v>22</v>
      </c>
      <c r="K36" s="410"/>
    </row>
    <row r="37" spans="1:11" x14ac:dyDescent="0.35">
      <c r="A37" s="204" t="s">
        <v>82</v>
      </c>
      <c r="B37" s="206"/>
      <c r="C37" s="206"/>
      <c r="E37" s="204" t="s">
        <v>23</v>
      </c>
      <c r="F37" s="204"/>
      <c r="G37" s="204" t="s">
        <v>24</v>
      </c>
      <c r="H37" s="204"/>
      <c r="I37" s="204"/>
      <c r="J37" s="389" t="s">
        <v>25</v>
      </c>
      <c r="K37" s="389"/>
    </row>
    <row r="38" spans="1:11" x14ac:dyDescent="0.35">
      <c r="A38" s="205" t="s">
        <v>85</v>
      </c>
      <c r="B38" s="207"/>
      <c r="C38" s="207"/>
      <c r="E38" s="205" t="s">
        <v>41</v>
      </c>
      <c r="F38" s="205"/>
      <c r="G38" s="205" t="s">
        <v>166</v>
      </c>
      <c r="H38" s="205"/>
      <c r="I38" s="205"/>
      <c r="J38" s="390" t="s">
        <v>26</v>
      </c>
      <c r="K38" s="390"/>
    </row>
    <row r="39" spans="1:11" x14ac:dyDescent="0.35">
      <c r="A39" s="205" t="s">
        <v>27</v>
      </c>
      <c r="B39" s="207"/>
      <c r="C39" s="207"/>
      <c r="E39" s="205" t="s">
        <v>27</v>
      </c>
      <c r="F39" s="205"/>
      <c r="G39" s="205" t="s">
        <v>27</v>
      </c>
      <c r="H39" s="205"/>
      <c r="I39" s="205"/>
      <c r="J39" s="1"/>
      <c r="K39" s="205"/>
    </row>
  </sheetData>
  <mergeCells count="15">
    <mergeCell ref="B6:K6"/>
    <mergeCell ref="A1:K1"/>
    <mergeCell ref="B2:K2"/>
    <mergeCell ref="B3:K3"/>
    <mergeCell ref="B4:K4"/>
    <mergeCell ref="B5:K5"/>
    <mergeCell ref="J36:K36"/>
    <mergeCell ref="J37:K37"/>
    <mergeCell ref="J38:K38"/>
    <mergeCell ref="B7:K7"/>
    <mergeCell ref="B8:K8"/>
    <mergeCell ref="B9:K9"/>
    <mergeCell ref="B10:K10"/>
    <mergeCell ref="J20:K20"/>
    <mergeCell ref="B21:K21"/>
  </mergeCells>
  <pageMargins left="0.25" right="0.25" top="0.75" bottom="0.75" header="0.3" footer="0.3"/>
  <pageSetup paperSize="9" scale="78"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2A77E-0628-4E0A-A7E3-2E709812E617}">
  <sheetPr>
    <pageSetUpPr fitToPage="1"/>
  </sheetPr>
  <dimension ref="A1:K39"/>
  <sheetViews>
    <sheetView topLeftCell="A6" workbookViewId="0">
      <selection sqref="A1:K39"/>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5.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189</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46082</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$H$20</f>
        <v>197420</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226">
        <v>46082</v>
      </c>
      <c r="C12" s="31">
        <v>1660</v>
      </c>
      <c r="D12" s="29" t="s">
        <v>86</v>
      </c>
      <c r="E12" s="227" t="s">
        <v>47</v>
      </c>
      <c r="F12" s="227">
        <v>46046</v>
      </c>
      <c r="G12" s="11">
        <v>72780</v>
      </c>
      <c r="H12" s="30">
        <f>G12</f>
        <v>72780</v>
      </c>
      <c r="I12" s="57">
        <v>46095</v>
      </c>
      <c r="J12" s="218" t="s">
        <v>32</v>
      </c>
      <c r="K12" s="219" t="s">
        <v>43</v>
      </c>
    </row>
    <row r="13" spans="1:11" ht="15" x14ac:dyDescent="0.35">
      <c r="A13" s="25">
        <v>2</v>
      </c>
      <c r="B13" s="226">
        <v>46082</v>
      </c>
      <c r="C13" s="229">
        <v>1658</v>
      </c>
      <c r="D13" s="228" t="s">
        <v>88</v>
      </c>
      <c r="E13" s="220" t="s">
        <v>47</v>
      </c>
      <c r="F13" s="227">
        <v>46046</v>
      </c>
      <c r="G13" s="11">
        <v>14737</v>
      </c>
      <c r="H13" s="30">
        <f t="shared" ref="H13:H19" si="0">G13</f>
        <v>14737</v>
      </c>
      <c r="I13" s="57">
        <v>46095</v>
      </c>
      <c r="J13" s="218" t="s">
        <v>32</v>
      </c>
      <c r="K13" s="219" t="s">
        <v>43</v>
      </c>
    </row>
    <row r="14" spans="1:11" ht="15" x14ac:dyDescent="0.35">
      <c r="A14" s="25">
        <v>3</v>
      </c>
      <c r="B14" s="226">
        <v>46082</v>
      </c>
      <c r="C14" s="31">
        <v>1656</v>
      </c>
      <c r="D14" s="29" t="s">
        <v>87</v>
      </c>
      <c r="E14" s="227" t="s">
        <v>47</v>
      </c>
      <c r="F14" s="227">
        <v>46046</v>
      </c>
      <c r="G14" s="11">
        <v>2321</v>
      </c>
      <c r="H14" s="30">
        <f t="shared" si="0"/>
        <v>2321</v>
      </c>
      <c r="I14" s="57">
        <v>46095</v>
      </c>
      <c r="J14" s="226" t="s">
        <v>32</v>
      </c>
      <c r="K14" s="43" t="s">
        <v>43</v>
      </c>
    </row>
    <row r="15" spans="1:11" ht="15" x14ac:dyDescent="0.35">
      <c r="A15" s="25">
        <v>4</v>
      </c>
      <c r="B15" s="226">
        <v>46082</v>
      </c>
      <c r="C15" s="31">
        <v>1657</v>
      </c>
      <c r="D15" s="29" t="s">
        <v>89</v>
      </c>
      <c r="E15" s="227" t="s">
        <v>47</v>
      </c>
      <c r="F15" s="227">
        <v>46046</v>
      </c>
      <c r="G15" s="64">
        <v>6294</v>
      </c>
      <c r="H15" s="30">
        <f t="shared" si="0"/>
        <v>6294</v>
      </c>
      <c r="I15" s="57">
        <v>46095</v>
      </c>
      <c r="J15" s="226" t="s">
        <v>32</v>
      </c>
      <c r="K15" s="43" t="s">
        <v>43</v>
      </c>
    </row>
    <row r="16" spans="1:11" ht="15" x14ac:dyDescent="0.35">
      <c r="A16" s="25">
        <v>5</v>
      </c>
      <c r="B16" s="226">
        <v>46082</v>
      </c>
      <c r="C16" s="31">
        <v>1670</v>
      </c>
      <c r="D16" s="29" t="s">
        <v>90</v>
      </c>
      <c r="E16" s="227" t="s">
        <v>47</v>
      </c>
      <c r="F16" s="227">
        <v>46046</v>
      </c>
      <c r="G16" s="64">
        <v>53214</v>
      </c>
      <c r="H16" s="30">
        <f t="shared" si="0"/>
        <v>53214</v>
      </c>
      <c r="I16" s="57">
        <v>46095</v>
      </c>
      <c r="J16" s="226" t="s">
        <v>32</v>
      </c>
      <c r="K16" s="43" t="s">
        <v>43</v>
      </c>
    </row>
    <row r="17" spans="1:11" ht="15" x14ac:dyDescent="0.35">
      <c r="A17" s="25">
        <v>6</v>
      </c>
      <c r="B17" s="226">
        <v>46082</v>
      </c>
      <c r="C17" s="31">
        <v>1661</v>
      </c>
      <c r="D17" s="29" t="s">
        <v>109</v>
      </c>
      <c r="E17" s="220" t="s">
        <v>47</v>
      </c>
      <c r="F17" s="227">
        <v>46046</v>
      </c>
      <c r="G17" s="11">
        <v>24461</v>
      </c>
      <c r="H17" s="30">
        <f t="shared" si="0"/>
        <v>24461</v>
      </c>
      <c r="I17" s="57">
        <v>46092</v>
      </c>
      <c r="J17" s="218" t="s">
        <v>32</v>
      </c>
      <c r="K17" s="219" t="s">
        <v>43</v>
      </c>
    </row>
    <row r="18" spans="1:11" ht="15" x14ac:dyDescent="0.35">
      <c r="A18" s="25">
        <v>7</v>
      </c>
      <c r="B18" s="226">
        <v>46082</v>
      </c>
      <c r="C18" s="31">
        <v>1662</v>
      </c>
      <c r="D18" s="29" t="s">
        <v>116</v>
      </c>
      <c r="E18" s="227" t="s">
        <v>47</v>
      </c>
      <c r="F18" s="227">
        <v>46046</v>
      </c>
      <c r="G18" s="11">
        <v>18839</v>
      </c>
      <c r="H18" s="30">
        <f t="shared" si="0"/>
        <v>18839</v>
      </c>
      <c r="I18" s="57">
        <v>46092</v>
      </c>
      <c r="J18" s="226" t="s">
        <v>32</v>
      </c>
      <c r="K18" s="43" t="s">
        <v>43</v>
      </c>
    </row>
    <row r="19" spans="1:11" ht="15" x14ac:dyDescent="0.35">
      <c r="A19" s="25">
        <v>8</v>
      </c>
      <c r="B19" s="226">
        <v>46082</v>
      </c>
      <c r="C19" s="31">
        <v>1659</v>
      </c>
      <c r="D19" s="29" t="s">
        <v>91</v>
      </c>
      <c r="E19" s="227" t="s">
        <v>47</v>
      </c>
      <c r="F19" s="227">
        <v>46046</v>
      </c>
      <c r="G19" s="64">
        <v>4774</v>
      </c>
      <c r="H19" s="30">
        <f t="shared" si="0"/>
        <v>4774</v>
      </c>
      <c r="I19" s="57">
        <v>46092</v>
      </c>
      <c r="J19" s="226" t="s">
        <v>32</v>
      </c>
      <c r="K19" s="43" t="s">
        <v>43</v>
      </c>
    </row>
    <row r="20" spans="1:11" ht="15" x14ac:dyDescent="0.35">
      <c r="A20" s="40"/>
      <c r="B20" s="49"/>
      <c r="C20" s="49"/>
      <c r="D20" s="49"/>
      <c r="E20" s="49"/>
      <c r="F20" s="49"/>
      <c r="G20" s="50"/>
      <c r="H20" s="47">
        <f>SUM(H12:H19)</f>
        <v>197420</v>
      </c>
      <c r="I20" s="12"/>
      <c r="J20" s="411"/>
      <c r="K20" s="412"/>
    </row>
    <row r="21" spans="1:11" x14ac:dyDescent="0.35">
      <c r="A21" s="25"/>
      <c r="B21" s="368" t="s">
        <v>190</v>
      </c>
      <c r="C21" s="368"/>
      <c r="D21" s="368"/>
      <c r="E21" s="368"/>
      <c r="F21" s="368"/>
      <c r="G21" s="368"/>
      <c r="H21" s="368"/>
      <c r="I21" s="368"/>
      <c r="J21" s="368"/>
      <c r="K21" s="368"/>
    </row>
    <row r="22" spans="1:11" x14ac:dyDescent="0.35">
      <c r="A22" s="48"/>
      <c r="B22" s="1"/>
      <c r="C22" s="1"/>
      <c r="D22" s="1"/>
      <c r="E22" s="1"/>
      <c r="F22" s="1"/>
      <c r="G22" s="1"/>
      <c r="H22" s="1"/>
      <c r="I22" s="1"/>
      <c r="J22" s="1"/>
      <c r="K22" s="1"/>
    </row>
    <row r="23" spans="1:11" x14ac:dyDescent="0.35">
      <c r="A23" s="48"/>
      <c r="B23" s="1"/>
      <c r="C23" s="1"/>
      <c r="D23" s="1"/>
      <c r="E23" s="1"/>
      <c r="F23" s="1"/>
      <c r="G23" s="1"/>
      <c r="H23" s="1"/>
      <c r="I23" s="1"/>
      <c r="J23" s="1"/>
      <c r="K23" s="1"/>
    </row>
    <row r="24" spans="1:11" x14ac:dyDescent="0.35">
      <c r="A24" s="1"/>
      <c r="B24" s="1"/>
      <c r="C24" s="1"/>
      <c r="D24" s="1"/>
      <c r="E24" s="1"/>
      <c r="F24" s="1"/>
      <c r="G24" s="1"/>
      <c r="H24" s="1"/>
      <c r="I24" s="1"/>
      <c r="J24" s="1"/>
      <c r="K24" s="1"/>
    </row>
    <row r="25" spans="1:11" x14ac:dyDescent="0.35">
      <c r="A25" s="48"/>
      <c r="B25" s="1"/>
      <c r="C25" s="1"/>
      <c r="D25" s="1"/>
      <c r="E25" s="1"/>
      <c r="F25" s="1"/>
      <c r="G25" s="20"/>
      <c r="H25" s="1"/>
      <c r="I25" s="1"/>
      <c r="J25" s="1"/>
      <c r="K25" s="1"/>
    </row>
    <row r="26" spans="1:11" x14ac:dyDescent="0.35">
      <c r="A26" s="48"/>
      <c r="B26" s="1"/>
      <c r="C26" s="1"/>
      <c r="D26" s="1"/>
      <c r="E26" s="1"/>
      <c r="F26" s="1"/>
      <c r="G26" s="1"/>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73"/>
      <c r="B29" s="73"/>
      <c r="C29" s="73"/>
      <c r="D29" s="73"/>
      <c r="E29" s="73"/>
      <c r="F29" s="73"/>
      <c r="G29" s="73"/>
      <c r="H29" s="1"/>
      <c r="I29" s="1"/>
      <c r="J29" s="1"/>
      <c r="K29" s="1"/>
    </row>
    <row r="30" spans="1:11" x14ac:dyDescent="0.35">
      <c r="A30" s="73"/>
      <c r="B30" s="73"/>
      <c r="C30" s="73"/>
      <c r="D30" s="73"/>
      <c r="E30" s="73"/>
      <c r="F30" s="73"/>
      <c r="G30" s="73"/>
      <c r="H30" s="1"/>
      <c r="I30" s="1"/>
      <c r="J30" s="1"/>
      <c r="K30" s="1"/>
    </row>
    <row r="31" spans="1:11" x14ac:dyDescent="0.35">
      <c r="A31" s="73"/>
      <c r="B31" s="73"/>
      <c r="C31" s="73"/>
      <c r="D31" s="73"/>
      <c r="E31" s="73"/>
      <c r="F31" s="73"/>
      <c r="G31" s="73"/>
      <c r="H31" s="1"/>
      <c r="I31" s="1"/>
      <c r="J31" s="1"/>
      <c r="K31" s="1"/>
    </row>
    <row r="32" spans="1:11" x14ac:dyDescent="0.35">
      <c r="A32" s="48"/>
      <c r="B32" s="1"/>
      <c r="C32" s="1"/>
      <c r="D32" s="1"/>
      <c r="E32" s="1"/>
      <c r="F32" s="1"/>
      <c r="G32" s="1"/>
      <c r="H32" s="1"/>
      <c r="I32" s="1"/>
      <c r="J32" s="1"/>
      <c r="K32" s="1"/>
    </row>
    <row r="33" spans="1:11" x14ac:dyDescent="0.35">
      <c r="A33" s="48"/>
      <c r="B33" s="1"/>
      <c r="C33" s="1"/>
      <c r="D33" s="1"/>
      <c r="E33" s="1"/>
      <c r="F33" s="1"/>
      <c r="G33" s="1"/>
      <c r="H33" s="1"/>
      <c r="I33" s="1"/>
      <c r="J33" s="1"/>
      <c r="K33" s="1"/>
    </row>
    <row r="34" spans="1:11" x14ac:dyDescent="0.35">
      <c r="A34" s="51"/>
      <c r="B34" s="1"/>
      <c r="C34" s="1"/>
      <c r="D34" s="1"/>
      <c r="E34" s="1"/>
      <c r="F34" s="1"/>
      <c r="G34" s="1"/>
      <c r="H34" s="1"/>
      <c r="I34" s="1"/>
      <c r="J34" s="1"/>
      <c r="K34" s="1"/>
    </row>
    <row r="35" spans="1:11" x14ac:dyDescent="0.35">
      <c r="A35" s="14"/>
      <c r="B35" s="215"/>
      <c r="C35" s="215"/>
      <c r="D35" s="1"/>
      <c r="E35" s="215" t="s">
        <v>34</v>
      </c>
      <c r="F35" s="215"/>
      <c r="H35" s="20"/>
      <c r="I35" s="20"/>
      <c r="J35" s="20"/>
      <c r="K35" s="217"/>
    </row>
    <row r="36" spans="1:11" x14ac:dyDescent="0.35">
      <c r="A36" s="216" t="s">
        <v>19</v>
      </c>
      <c r="B36" s="225"/>
      <c r="C36" s="225"/>
      <c r="E36" s="217" t="s">
        <v>20</v>
      </c>
      <c r="F36" s="217"/>
      <c r="G36" s="230" t="s">
        <v>21</v>
      </c>
      <c r="H36" s="217"/>
      <c r="I36" s="217"/>
      <c r="J36" s="410" t="s">
        <v>22</v>
      </c>
      <c r="K36" s="410"/>
    </row>
    <row r="37" spans="1:11" x14ac:dyDescent="0.35">
      <c r="A37" s="221" t="s">
        <v>82</v>
      </c>
      <c r="B37" s="223"/>
      <c r="C37" s="223"/>
      <c r="E37" s="221" t="s">
        <v>23</v>
      </c>
      <c r="F37" s="221"/>
      <c r="G37" s="221" t="s">
        <v>24</v>
      </c>
      <c r="H37" s="221"/>
      <c r="I37" s="221"/>
      <c r="J37" s="389" t="s">
        <v>25</v>
      </c>
      <c r="K37" s="389"/>
    </row>
    <row r="38" spans="1:11" x14ac:dyDescent="0.35">
      <c r="A38" s="222" t="s">
        <v>85</v>
      </c>
      <c r="B38" s="224"/>
      <c r="C38" s="224"/>
      <c r="E38" s="222" t="s">
        <v>41</v>
      </c>
      <c r="F38" s="222"/>
      <c r="G38" s="222" t="s">
        <v>166</v>
      </c>
      <c r="H38" s="222"/>
      <c r="I38" s="222"/>
      <c r="J38" s="390" t="s">
        <v>26</v>
      </c>
      <c r="K38" s="390"/>
    </row>
    <row r="39" spans="1:11" x14ac:dyDescent="0.35">
      <c r="A39" s="222" t="s">
        <v>27</v>
      </c>
      <c r="B39" s="224"/>
      <c r="C39" s="224"/>
      <c r="E39" s="222" t="s">
        <v>27</v>
      </c>
      <c r="F39" s="222"/>
      <c r="G39" s="222" t="s">
        <v>27</v>
      </c>
      <c r="H39" s="222"/>
      <c r="I39" s="222"/>
      <c r="J39" s="1"/>
      <c r="K39" s="222"/>
    </row>
  </sheetData>
  <mergeCells count="15">
    <mergeCell ref="B6:K6"/>
    <mergeCell ref="A1:K1"/>
    <mergeCell ref="B2:K2"/>
    <mergeCell ref="B3:K3"/>
    <mergeCell ref="B4:K4"/>
    <mergeCell ref="B5:K5"/>
    <mergeCell ref="J36:K36"/>
    <mergeCell ref="J37:K37"/>
    <mergeCell ref="J38:K38"/>
    <mergeCell ref="B7:K7"/>
    <mergeCell ref="B8:K8"/>
    <mergeCell ref="B9:K9"/>
    <mergeCell ref="B10:K10"/>
    <mergeCell ref="J20:K20"/>
    <mergeCell ref="B21:K21"/>
  </mergeCells>
  <printOptions horizontalCentered="1" verticalCentered="1"/>
  <pageMargins left="0.25" right="0.25" top="0.75" bottom="0.75" header="0.3" footer="0.3"/>
  <pageSetup paperSize="9" scale="78"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39030-18AF-465E-82C1-D035DD808AA5}">
  <sheetPr>
    <pageSetUpPr fitToPage="1"/>
  </sheetPr>
  <dimension ref="A1:K34"/>
  <sheetViews>
    <sheetView workbookViewId="0">
      <selection activeCell="D26" sqref="D26"/>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6.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191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46105</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29013</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236">
        <v>46082</v>
      </c>
      <c r="C12" s="31">
        <v>1656</v>
      </c>
      <c r="D12" s="29" t="s">
        <v>87</v>
      </c>
      <c r="E12" s="237" t="s">
        <v>47</v>
      </c>
      <c r="F12" s="237">
        <v>46077</v>
      </c>
      <c r="G12" s="11">
        <v>2321</v>
      </c>
      <c r="H12" s="30">
        <v>2321</v>
      </c>
      <c r="I12" s="57">
        <v>46126</v>
      </c>
      <c r="J12" s="236" t="s">
        <v>32</v>
      </c>
      <c r="K12" s="43" t="s">
        <v>43</v>
      </c>
    </row>
    <row r="13" spans="1:11" ht="15" x14ac:dyDescent="0.35">
      <c r="A13" s="25">
        <v>2</v>
      </c>
      <c r="B13" s="236">
        <v>46082</v>
      </c>
      <c r="C13" s="31">
        <v>1657</v>
      </c>
      <c r="D13" s="29" t="s">
        <v>89</v>
      </c>
      <c r="E13" s="237" t="s">
        <v>47</v>
      </c>
      <c r="F13" s="237">
        <v>46077</v>
      </c>
      <c r="G13" s="64">
        <v>6513</v>
      </c>
      <c r="H13" s="30">
        <v>6513</v>
      </c>
      <c r="I13" s="57">
        <v>46126</v>
      </c>
      <c r="J13" s="236" t="s">
        <v>32</v>
      </c>
      <c r="K13" s="43" t="s">
        <v>43</v>
      </c>
    </row>
    <row r="14" spans="1:11" ht="15" x14ac:dyDescent="0.35">
      <c r="A14" s="25">
        <v>3</v>
      </c>
      <c r="B14" s="236">
        <v>46082</v>
      </c>
      <c r="C14" s="31">
        <v>1670</v>
      </c>
      <c r="D14" s="29" t="s">
        <v>90</v>
      </c>
      <c r="E14" s="237" t="s">
        <v>47</v>
      </c>
      <c r="F14" s="237">
        <v>46077</v>
      </c>
      <c r="G14" s="64">
        <v>20179</v>
      </c>
      <c r="H14" s="30">
        <f>G14</f>
        <v>20179</v>
      </c>
      <c r="I14" s="57">
        <v>46126</v>
      </c>
      <c r="J14" s="236" t="s">
        <v>32</v>
      </c>
      <c r="K14" s="43" t="s">
        <v>43</v>
      </c>
    </row>
    <row r="15" spans="1:11" ht="15" x14ac:dyDescent="0.35">
      <c r="A15" s="40"/>
      <c r="B15" s="49"/>
      <c r="C15" s="49"/>
      <c r="D15" s="49"/>
      <c r="E15" s="49"/>
      <c r="F15" s="49"/>
      <c r="G15" s="50"/>
      <c r="H15" s="47">
        <f>SUM(H12:H14)</f>
        <v>29013</v>
      </c>
      <c r="I15" s="12"/>
      <c r="J15" s="411"/>
      <c r="K15" s="412"/>
    </row>
    <row r="16" spans="1:11" x14ac:dyDescent="0.35">
      <c r="A16" s="25"/>
      <c r="B16" s="368" t="s">
        <v>192</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73"/>
      <c r="B22" s="73"/>
      <c r="C22" s="73"/>
      <c r="D22" s="73"/>
      <c r="E22" s="73"/>
      <c r="F22" s="73"/>
      <c r="G22" s="73"/>
      <c r="H22" s="1"/>
      <c r="I22" s="1"/>
      <c r="J22" s="1"/>
      <c r="K22" s="1"/>
    </row>
    <row r="23" spans="1:11" x14ac:dyDescent="0.35">
      <c r="A23" s="73"/>
      <c r="B23" s="73"/>
      <c r="C23" s="73"/>
      <c r="D23" s="73"/>
      <c r="E23" s="73"/>
      <c r="F23" s="73"/>
      <c r="G23" s="73"/>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48"/>
      <c r="B27" s="1"/>
      <c r="C27" s="1"/>
      <c r="D27" s="1"/>
      <c r="E27" s="1"/>
      <c r="F27" s="1"/>
      <c r="G27" s="1"/>
      <c r="H27" s="1"/>
      <c r="I27" s="1"/>
      <c r="J27" s="1"/>
      <c r="K27" s="1"/>
    </row>
    <row r="28" spans="1:11" x14ac:dyDescent="0.35">
      <c r="A28" s="48"/>
      <c r="B28" s="1"/>
      <c r="C28" s="1"/>
      <c r="D28" s="1"/>
      <c r="E28" s="1"/>
      <c r="F28" s="1"/>
      <c r="G28" s="1"/>
      <c r="H28" s="1"/>
      <c r="I28" s="1"/>
      <c r="J28" s="1"/>
      <c r="K28" s="1"/>
    </row>
    <row r="29" spans="1:11" x14ac:dyDescent="0.35">
      <c r="A29" s="51"/>
      <c r="B29" s="1"/>
      <c r="C29" s="1"/>
      <c r="D29" s="1"/>
      <c r="E29" s="1"/>
      <c r="F29" s="1"/>
      <c r="G29" s="1"/>
      <c r="H29" s="1"/>
      <c r="I29" s="1"/>
      <c r="J29" s="1"/>
      <c r="K29" s="1"/>
    </row>
    <row r="30" spans="1:11" x14ac:dyDescent="0.35">
      <c r="A30" s="14"/>
      <c r="B30" s="233"/>
      <c r="C30" s="233"/>
      <c r="D30" s="1"/>
      <c r="E30" s="233" t="s">
        <v>34</v>
      </c>
      <c r="F30" s="233"/>
      <c r="H30" s="20"/>
      <c r="I30" s="20"/>
      <c r="J30" s="20"/>
      <c r="K30" s="235"/>
    </row>
    <row r="31" spans="1:11" x14ac:dyDescent="0.35">
      <c r="A31" s="234" t="s">
        <v>19</v>
      </c>
      <c r="B31" s="238"/>
      <c r="C31" s="238"/>
      <c r="E31" s="235" t="s">
        <v>20</v>
      </c>
      <c r="F31" s="235"/>
      <c r="G31" s="241" t="s">
        <v>21</v>
      </c>
      <c r="H31" s="235"/>
      <c r="I31" s="235"/>
      <c r="J31" s="410" t="s">
        <v>22</v>
      </c>
      <c r="K31" s="410"/>
    </row>
    <row r="32" spans="1:11" x14ac:dyDescent="0.35">
      <c r="A32" s="231" t="s">
        <v>82</v>
      </c>
      <c r="B32" s="239"/>
      <c r="C32" s="239"/>
      <c r="E32" s="231" t="s">
        <v>23</v>
      </c>
      <c r="F32" s="231"/>
      <c r="G32" s="231" t="s">
        <v>24</v>
      </c>
      <c r="H32" s="231"/>
      <c r="I32" s="231"/>
      <c r="J32" s="389" t="s">
        <v>25</v>
      </c>
      <c r="K32" s="389"/>
    </row>
    <row r="33" spans="1:11" x14ac:dyDescent="0.35">
      <c r="A33" s="232" t="s">
        <v>85</v>
      </c>
      <c r="B33" s="240"/>
      <c r="C33" s="240"/>
      <c r="E33" s="232" t="s">
        <v>41</v>
      </c>
      <c r="F33" s="232"/>
      <c r="G33" s="232" t="s">
        <v>166</v>
      </c>
      <c r="H33" s="232"/>
      <c r="I33" s="232"/>
      <c r="J33" s="390" t="s">
        <v>26</v>
      </c>
      <c r="K33" s="390"/>
    </row>
    <row r="34" spans="1:11" x14ac:dyDescent="0.35">
      <c r="A34" s="232" t="s">
        <v>27</v>
      </c>
      <c r="B34" s="240"/>
      <c r="C34" s="240"/>
      <c r="E34" s="232" t="s">
        <v>27</v>
      </c>
      <c r="F34" s="232"/>
      <c r="G34" s="232" t="s">
        <v>27</v>
      </c>
      <c r="H34" s="232"/>
      <c r="I34" s="232"/>
      <c r="J34" s="1"/>
      <c r="K34" s="232"/>
    </row>
  </sheetData>
  <mergeCells count="15">
    <mergeCell ref="J31:K31"/>
    <mergeCell ref="J32:K32"/>
    <mergeCell ref="J33:K33"/>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604C-4E86-4117-A737-5B16F741946A}">
  <sheetPr>
    <pageSetUpPr fitToPage="1"/>
  </sheetPr>
  <dimension ref="A1:K33"/>
  <sheetViews>
    <sheetView topLeftCell="B1" workbookViewId="0">
      <selection sqref="A1:K33"/>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27.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191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46111</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$H$14</f>
        <v>81061</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252">
        <v>46111</v>
      </c>
      <c r="C12" s="31">
        <v>1660</v>
      </c>
      <c r="D12" s="29" t="s">
        <v>86</v>
      </c>
      <c r="E12" s="253" t="s">
        <v>47</v>
      </c>
      <c r="F12" s="253">
        <v>46077</v>
      </c>
      <c r="G12" s="11">
        <v>70794</v>
      </c>
      <c r="H12" s="30">
        <f>G12</f>
        <v>70794</v>
      </c>
      <c r="I12" s="57">
        <v>46126</v>
      </c>
      <c r="J12" s="245" t="s">
        <v>32</v>
      </c>
      <c r="K12" s="246" t="s">
        <v>43</v>
      </c>
    </row>
    <row r="13" spans="1:11" ht="15" x14ac:dyDescent="0.35">
      <c r="A13" s="25">
        <v>2</v>
      </c>
      <c r="B13" s="252">
        <v>46111</v>
      </c>
      <c r="C13" s="31">
        <v>1658</v>
      </c>
      <c r="D13" s="29" t="s">
        <v>88</v>
      </c>
      <c r="E13" s="253" t="s">
        <v>47</v>
      </c>
      <c r="F13" s="253">
        <v>46077</v>
      </c>
      <c r="G13" s="11">
        <v>10267</v>
      </c>
      <c r="H13" s="30">
        <f t="shared" ref="H13" si="0">G13</f>
        <v>10267</v>
      </c>
      <c r="I13" s="57">
        <v>46126</v>
      </c>
      <c r="J13" s="245" t="s">
        <v>32</v>
      </c>
      <c r="K13" s="246" t="s">
        <v>43</v>
      </c>
    </row>
    <row r="14" spans="1:11" ht="15" x14ac:dyDescent="0.35">
      <c r="A14" s="40"/>
      <c r="B14" s="49"/>
      <c r="C14" s="49"/>
      <c r="D14" s="49"/>
      <c r="E14" s="49"/>
      <c r="F14" s="49"/>
      <c r="G14" s="50"/>
      <c r="H14" s="47">
        <f>SUM(H12:H13)</f>
        <v>81061</v>
      </c>
      <c r="I14" s="12"/>
      <c r="J14" s="411"/>
      <c r="K14" s="412"/>
    </row>
    <row r="15" spans="1:11" x14ac:dyDescent="0.35">
      <c r="A15" s="25"/>
      <c r="B15" s="368" t="s">
        <v>193</v>
      </c>
      <c r="C15" s="368"/>
      <c r="D15" s="368"/>
      <c r="E15" s="368"/>
      <c r="F15" s="368"/>
      <c r="G15" s="368"/>
      <c r="H15" s="368"/>
      <c r="I15" s="368"/>
      <c r="J15" s="368"/>
      <c r="K15" s="368"/>
    </row>
    <row r="16" spans="1:11" x14ac:dyDescent="0.35">
      <c r="A16" s="48"/>
      <c r="B16" s="1"/>
      <c r="C16" s="1"/>
      <c r="D16" s="1"/>
      <c r="E16" s="1"/>
      <c r="F16" s="1"/>
      <c r="G16" s="1"/>
      <c r="H16" s="1"/>
      <c r="I16" s="1"/>
      <c r="J16" s="1"/>
      <c r="K16" s="1"/>
    </row>
    <row r="17" spans="1:11" x14ac:dyDescent="0.35">
      <c r="A17" s="48"/>
      <c r="B17" s="1"/>
      <c r="C17" s="1"/>
      <c r="D17" s="1"/>
      <c r="E17" s="1"/>
      <c r="F17" s="1"/>
      <c r="G17" s="1"/>
      <c r="H17" s="1"/>
      <c r="I17" s="1"/>
      <c r="J17" s="1"/>
      <c r="K17" s="1"/>
    </row>
    <row r="18" spans="1:11" x14ac:dyDescent="0.35">
      <c r="A18" s="1"/>
      <c r="B18" s="1"/>
      <c r="C18" s="1"/>
      <c r="D18" s="1"/>
      <c r="E18" s="1"/>
      <c r="F18" s="1"/>
      <c r="G18" s="1"/>
      <c r="H18" s="1"/>
      <c r="I18" s="1"/>
      <c r="J18" s="1"/>
      <c r="K18" s="1"/>
    </row>
    <row r="19" spans="1:11" x14ac:dyDescent="0.35">
      <c r="A19" s="48"/>
      <c r="B19" s="1"/>
      <c r="C19" s="1"/>
      <c r="D19" s="1"/>
      <c r="E19" s="1"/>
      <c r="F19" s="1"/>
      <c r="G19" s="20"/>
      <c r="H19" s="1"/>
      <c r="I19" s="1"/>
      <c r="J19" s="1"/>
      <c r="K19" s="1"/>
    </row>
    <row r="20" spans="1:11" x14ac:dyDescent="0.35">
      <c r="A20" s="48"/>
      <c r="B20" s="1"/>
      <c r="C20" s="1"/>
      <c r="D20" s="1"/>
      <c r="E20" s="1"/>
      <c r="F20" s="1"/>
      <c r="G20" s="1"/>
      <c r="H20" s="1"/>
      <c r="I20" s="1"/>
      <c r="J20" s="1"/>
      <c r="K20" s="1"/>
    </row>
    <row r="21" spans="1:11" x14ac:dyDescent="0.35">
      <c r="A21" s="73"/>
      <c r="B21" s="73"/>
      <c r="C21" s="73"/>
      <c r="D21" s="73"/>
      <c r="E21" s="73"/>
      <c r="F21" s="73"/>
      <c r="G21" s="73"/>
      <c r="H21" s="1"/>
      <c r="I21" s="1"/>
      <c r="J21" s="1"/>
      <c r="K21" s="1"/>
    </row>
    <row r="22" spans="1:11" x14ac:dyDescent="0.35">
      <c r="A22" s="73"/>
      <c r="B22" s="73"/>
      <c r="C22" s="73"/>
      <c r="D22" s="73"/>
      <c r="E22" s="73"/>
      <c r="F22" s="73"/>
      <c r="G22" s="73"/>
      <c r="H22" s="1"/>
      <c r="I22" s="1"/>
      <c r="J22" s="1"/>
      <c r="K22" s="1"/>
    </row>
    <row r="23" spans="1:11" x14ac:dyDescent="0.35">
      <c r="A23" s="73"/>
      <c r="B23" s="73"/>
      <c r="C23" s="73"/>
      <c r="D23" s="73"/>
      <c r="E23" s="73"/>
      <c r="F23" s="73"/>
      <c r="G23" s="73"/>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48"/>
      <c r="B26" s="1"/>
      <c r="C26" s="1"/>
      <c r="D26" s="1"/>
      <c r="E26" s="1"/>
      <c r="F26" s="1"/>
      <c r="G26" s="1"/>
      <c r="H26" s="1"/>
      <c r="I26" s="1"/>
      <c r="J26" s="1"/>
      <c r="K26" s="1"/>
    </row>
    <row r="27" spans="1:11" x14ac:dyDescent="0.35">
      <c r="A27" s="48"/>
      <c r="B27" s="1"/>
      <c r="C27" s="1"/>
      <c r="D27" s="1"/>
      <c r="E27" s="1"/>
      <c r="F27" s="1"/>
      <c r="G27" s="1"/>
      <c r="H27" s="1"/>
      <c r="I27" s="1"/>
      <c r="J27" s="1"/>
      <c r="K27" s="1"/>
    </row>
    <row r="28" spans="1:11" x14ac:dyDescent="0.35">
      <c r="A28" s="51"/>
      <c r="B28" s="1"/>
      <c r="C28" s="1"/>
      <c r="D28" s="1"/>
      <c r="E28" s="1"/>
      <c r="F28" s="1"/>
      <c r="G28" s="1"/>
      <c r="H28" s="1"/>
      <c r="I28" s="1"/>
      <c r="J28" s="1"/>
      <c r="K28" s="1"/>
    </row>
    <row r="29" spans="1:11" x14ac:dyDescent="0.35">
      <c r="A29" s="14"/>
      <c r="B29" s="242"/>
      <c r="C29" s="242"/>
      <c r="D29" s="1"/>
      <c r="E29" s="242" t="s">
        <v>34</v>
      </c>
      <c r="F29" s="242"/>
      <c r="H29" s="20"/>
      <c r="I29" s="20"/>
      <c r="J29" s="20"/>
      <c r="K29" s="244"/>
    </row>
    <row r="30" spans="1:11" x14ac:dyDescent="0.35">
      <c r="A30" s="243" t="s">
        <v>19</v>
      </c>
      <c r="B30" s="251"/>
      <c r="C30" s="251"/>
      <c r="E30" s="244" t="s">
        <v>20</v>
      </c>
      <c r="F30" s="244"/>
      <c r="G30" s="254" t="s">
        <v>21</v>
      </c>
      <c r="H30" s="244"/>
      <c r="I30" s="244"/>
      <c r="J30" s="410" t="s">
        <v>22</v>
      </c>
      <c r="K30" s="410"/>
    </row>
    <row r="31" spans="1:11" x14ac:dyDescent="0.35">
      <c r="A31" s="247" t="s">
        <v>82</v>
      </c>
      <c r="B31" s="249"/>
      <c r="C31" s="249"/>
      <c r="E31" s="247" t="s">
        <v>23</v>
      </c>
      <c r="F31" s="247"/>
      <c r="G31" s="247" t="s">
        <v>24</v>
      </c>
      <c r="H31" s="247"/>
      <c r="I31" s="247"/>
      <c r="J31" s="389" t="s">
        <v>25</v>
      </c>
      <c r="K31" s="389"/>
    </row>
    <row r="32" spans="1:11" x14ac:dyDescent="0.35">
      <c r="A32" s="248" t="s">
        <v>85</v>
      </c>
      <c r="B32" s="250"/>
      <c r="C32" s="250"/>
      <c r="E32" s="248" t="s">
        <v>41</v>
      </c>
      <c r="F32" s="248"/>
      <c r="G32" s="248" t="s">
        <v>166</v>
      </c>
      <c r="H32" s="248"/>
      <c r="I32" s="248"/>
      <c r="J32" s="390" t="s">
        <v>26</v>
      </c>
      <c r="K32" s="390"/>
    </row>
    <row r="33" spans="1:11" x14ac:dyDescent="0.35">
      <c r="A33" s="248" t="s">
        <v>27</v>
      </c>
      <c r="B33" s="250"/>
      <c r="C33" s="250"/>
      <c r="E33" s="248" t="s">
        <v>27</v>
      </c>
      <c r="F33" s="248"/>
      <c r="G33" s="248" t="s">
        <v>27</v>
      </c>
      <c r="H33" s="248"/>
      <c r="I33" s="248"/>
      <c r="J33" s="1"/>
      <c r="K33" s="248"/>
    </row>
  </sheetData>
  <mergeCells count="15">
    <mergeCell ref="B6:K6"/>
    <mergeCell ref="A1:K1"/>
    <mergeCell ref="B2:K2"/>
    <mergeCell ref="B3:K3"/>
    <mergeCell ref="B4:K4"/>
    <mergeCell ref="B5:K5"/>
    <mergeCell ref="J30:K30"/>
    <mergeCell ref="J31:K31"/>
    <mergeCell ref="J32:K32"/>
    <mergeCell ref="B7:K7"/>
    <mergeCell ref="B8:K8"/>
    <mergeCell ref="B9:K9"/>
    <mergeCell ref="B10:K10"/>
    <mergeCell ref="J14:K14"/>
    <mergeCell ref="B15:K15"/>
  </mergeCells>
  <pageMargins left="0.25" right="0.25" top="0.75" bottom="0.75" header="0.3" footer="0.3"/>
  <pageSetup paperSize="9" scale="83"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9A6D-F243-416F-A9F2-F43EC1E9B4A9}">
  <sheetPr>
    <pageSetUpPr fitToPage="1"/>
  </sheetPr>
  <dimension ref="A1:K34"/>
  <sheetViews>
    <sheetView topLeftCell="A4" workbookViewId="0">
      <selection sqref="A1:K35"/>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191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46113</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53299</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263">
        <v>46113</v>
      </c>
      <c r="C12" s="31">
        <v>1661</v>
      </c>
      <c r="D12" s="29" t="s">
        <v>109</v>
      </c>
      <c r="E12" s="262" t="s">
        <v>47</v>
      </c>
      <c r="F12" s="264">
        <v>46077</v>
      </c>
      <c r="G12" s="11">
        <v>29745</v>
      </c>
      <c r="H12" s="30">
        <f t="shared" ref="H12:H14" si="0">G12</f>
        <v>29745</v>
      </c>
      <c r="I12" s="57">
        <v>46121</v>
      </c>
      <c r="J12" s="260" t="s">
        <v>32</v>
      </c>
      <c r="K12" s="261" t="s">
        <v>43</v>
      </c>
    </row>
    <row r="13" spans="1:11" ht="15" x14ac:dyDescent="0.35">
      <c r="A13" s="25">
        <v>2</v>
      </c>
      <c r="B13" s="263">
        <v>46113</v>
      </c>
      <c r="C13" s="31">
        <v>1662</v>
      </c>
      <c r="D13" s="29" t="s">
        <v>116</v>
      </c>
      <c r="E13" s="264" t="s">
        <v>47</v>
      </c>
      <c r="F13" s="264">
        <v>46077</v>
      </c>
      <c r="G13" s="11">
        <v>18045</v>
      </c>
      <c r="H13" s="30">
        <f>G13</f>
        <v>18045</v>
      </c>
      <c r="I13" s="57">
        <v>46121</v>
      </c>
      <c r="J13" s="263" t="s">
        <v>32</v>
      </c>
      <c r="K13" s="43" t="s">
        <v>43</v>
      </c>
    </row>
    <row r="14" spans="1:11" ht="15" x14ac:dyDescent="0.35">
      <c r="A14" s="25">
        <v>3</v>
      </c>
      <c r="B14" s="263">
        <v>46113</v>
      </c>
      <c r="C14" s="31">
        <v>1659</v>
      </c>
      <c r="D14" s="29" t="s">
        <v>91</v>
      </c>
      <c r="E14" s="264" t="s">
        <v>47</v>
      </c>
      <c r="F14" s="264">
        <v>46077</v>
      </c>
      <c r="G14" s="64">
        <v>5509</v>
      </c>
      <c r="H14" s="30">
        <f t="shared" si="0"/>
        <v>5509</v>
      </c>
      <c r="I14" s="57">
        <v>46121</v>
      </c>
      <c r="J14" s="263" t="s">
        <v>32</v>
      </c>
      <c r="K14" s="43" t="s">
        <v>43</v>
      </c>
    </row>
    <row r="15" spans="1:11" ht="15" x14ac:dyDescent="0.35">
      <c r="A15" s="40"/>
      <c r="B15" s="49"/>
      <c r="C15" s="49"/>
      <c r="D15" s="49"/>
      <c r="E15" s="49"/>
      <c r="F15" s="49"/>
      <c r="G15" s="50"/>
      <c r="H15" s="47">
        <f>SUM(H12:H14)</f>
        <v>53299</v>
      </c>
      <c r="I15" s="12"/>
      <c r="J15" s="411"/>
      <c r="K15" s="412"/>
    </row>
    <row r="16" spans="1:11" x14ac:dyDescent="0.35">
      <c r="A16" s="25"/>
      <c r="B16" s="368" t="s">
        <v>194</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73"/>
      <c r="B22" s="73"/>
      <c r="C22" s="73"/>
      <c r="D22" s="73"/>
      <c r="E22" s="73"/>
      <c r="F22" s="73"/>
      <c r="G22" s="73"/>
      <c r="H22" s="1"/>
      <c r="I22" s="1"/>
      <c r="J22" s="1"/>
      <c r="K22" s="1"/>
    </row>
    <row r="23" spans="1:11" x14ac:dyDescent="0.35">
      <c r="A23" s="73"/>
      <c r="B23" s="73"/>
      <c r="C23" s="73"/>
      <c r="D23" s="73"/>
      <c r="E23" s="73"/>
      <c r="F23" s="73"/>
      <c r="G23" s="73"/>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48"/>
      <c r="B27" s="1"/>
      <c r="C27" s="1"/>
      <c r="D27" s="1"/>
      <c r="E27" s="1"/>
      <c r="F27" s="1"/>
      <c r="G27" s="1"/>
      <c r="H27" s="1"/>
      <c r="I27" s="1"/>
      <c r="J27" s="1"/>
      <c r="K27" s="1"/>
    </row>
    <row r="28" spans="1:11" x14ac:dyDescent="0.35">
      <c r="A28" s="48"/>
      <c r="B28" s="1"/>
      <c r="C28" s="1"/>
      <c r="D28" s="1"/>
      <c r="E28" s="1"/>
      <c r="F28" s="1"/>
      <c r="G28" s="1"/>
      <c r="H28" s="1"/>
      <c r="I28" s="1"/>
      <c r="J28" s="1"/>
      <c r="K28" s="1"/>
    </row>
    <row r="29" spans="1:11" x14ac:dyDescent="0.35">
      <c r="A29" s="51"/>
      <c r="B29" s="1"/>
      <c r="C29" s="1"/>
      <c r="D29" s="1"/>
      <c r="E29" s="1"/>
      <c r="F29" s="1"/>
      <c r="G29" s="1"/>
      <c r="H29" s="1"/>
      <c r="I29" s="1"/>
      <c r="J29" s="1"/>
      <c r="K29" s="1"/>
    </row>
    <row r="30" spans="1:11" x14ac:dyDescent="0.35">
      <c r="A30" s="14"/>
      <c r="B30" s="257"/>
      <c r="C30" s="257"/>
      <c r="D30" s="1"/>
      <c r="E30" s="257" t="s">
        <v>34</v>
      </c>
      <c r="F30" s="257"/>
      <c r="H30" s="20"/>
      <c r="I30" s="20"/>
      <c r="J30" s="20"/>
      <c r="K30" s="259"/>
    </row>
    <row r="31" spans="1:11" x14ac:dyDescent="0.35">
      <c r="A31" s="258" t="s">
        <v>19</v>
      </c>
      <c r="B31" s="265"/>
      <c r="C31" s="265"/>
      <c r="E31" s="259" t="s">
        <v>20</v>
      </c>
      <c r="F31" s="259"/>
      <c r="G31" s="268" t="s">
        <v>21</v>
      </c>
      <c r="H31" s="259"/>
      <c r="I31" s="259"/>
      <c r="J31" s="410" t="s">
        <v>22</v>
      </c>
      <c r="K31" s="410"/>
    </row>
    <row r="32" spans="1:11" x14ac:dyDescent="0.35">
      <c r="A32" s="255" t="s">
        <v>82</v>
      </c>
      <c r="B32" s="266"/>
      <c r="C32" s="266"/>
      <c r="E32" s="255" t="s">
        <v>23</v>
      </c>
      <c r="F32" s="255"/>
      <c r="G32" s="255" t="s">
        <v>24</v>
      </c>
      <c r="H32" s="255"/>
      <c r="I32" s="255"/>
      <c r="J32" s="389" t="s">
        <v>25</v>
      </c>
      <c r="K32" s="389"/>
    </row>
    <row r="33" spans="1:11" x14ac:dyDescent="0.35">
      <c r="A33" s="256" t="s">
        <v>85</v>
      </c>
      <c r="B33" s="267"/>
      <c r="C33" s="267"/>
      <c r="E33" s="256" t="s">
        <v>41</v>
      </c>
      <c r="F33" s="256"/>
      <c r="G33" s="256" t="s">
        <v>166</v>
      </c>
      <c r="H33" s="256"/>
      <c r="I33" s="256"/>
      <c r="J33" s="390" t="s">
        <v>26</v>
      </c>
      <c r="K33" s="390"/>
    </row>
    <row r="34" spans="1:11" x14ac:dyDescent="0.35">
      <c r="A34" s="256" t="s">
        <v>27</v>
      </c>
      <c r="B34" s="267"/>
      <c r="C34" s="267"/>
      <c r="E34" s="256" t="s">
        <v>27</v>
      </c>
      <c r="F34" s="256"/>
      <c r="G34" s="256" t="s">
        <v>27</v>
      </c>
      <c r="H34" s="256"/>
      <c r="I34" s="256"/>
      <c r="J34" s="1"/>
      <c r="K34" s="256"/>
    </row>
  </sheetData>
  <mergeCells count="15">
    <mergeCell ref="J31:K31"/>
    <mergeCell ref="J32:K32"/>
    <mergeCell ref="J33:K33"/>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B2FB2-A627-4676-B615-0B0D7231E82E}">
  <sheetPr>
    <pageSetUpPr fitToPage="1"/>
  </sheetPr>
  <dimension ref="A1:K27"/>
  <sheetViews>
    <sheetView topLeftCell="A11" workbookViewId="0">
      <selection sqref="A1:K27"/>
    </sheetView>
  </sheetViews>
  <sheetFormatPr defaultRowHeight="14.5" x14ac:dyDescent="0.35"/>
  <cols>
    <col min="1" max="1" width="17.1796875" customWidth="1"/>
    <col min="2" max="2" width="10.90625" bestFit="1" customWidth="1"/>
    <col min="4" max="4" width="22.453125" bestFit="1" customWidth="1"/>
    <col min="5" max="5" width="19.54296875" customWidth="1"/>
    <col min="7" max="7" width="21.54296875" bestFit="1" customWidth="1"/>
    <col min="8" max="8" width="12.81640625" bestFit="1" customWidth="1"/>
    <col min="9" max="9" width="11.7265625" bestFit="1" customWidth="1"/>
    <col min="10" max="10" width="24.6328125" bestFit="1" customWidth="1"/>
    <col min="11" max="11" width="13.36328125" bestFit="1" customWidth="1"/>
  </cols>
  <sheetData>
    <row r="1" spans="1:11" ht="30.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182</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46127</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89335.5</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78" t="s">
        <v>31</v>
      </c>
      <c r="K11" s="78" t="s">
        <v>30</v>
      </c>
    </row>
    <row r="12" spans="1:11" ht="15" x14ac:dyDescent="0.35">
      <c r="A12" s="25">
        <v>1</v>
      </c>
      <c r="B12" s="274">
        <v>46127</v>
      </c>
      <c r="C12" s="283">
        <v>1665</v>
      </c>
      <c r="D12" s="282" t="s">
        <v>195</v>
      </c>
      <c r="E12" s="275" t="s">
        <v>47</v>
      </c>
      <c r="F12" s="275">
        <v>45658</v>
      </c>
      <c r="G12" s="303">
        <v>5702.85</v>
      </c>
      <c r="H12" s="281">
        <f>G12</f>
        <v>5702.85</v>
      </c>
      <c r="I12" s="5"/>
      <c r="J12" s="276" t="s">
        <v>32</v>
      </c>
      <c r="K12" s="43" t="s">
        <v>43</v>
      </c>
    </row>
    <row r="13" spans="1:11" ht="15" x14ac:dyDescent="0.35">
      <c r="A13" s="40">
        <v>2</v>
      </c>
      <c r="B13" s="276">
        <v>46127</v>
      </c>
      <c r="C13" s="283">
        <v>1666</v>
      </c>
      <c r="D13" s="282" t="s">
        <v>104</v>
      </c>
      <c r="E13" s="275" t="s">
        <v>47</v>
      </c>
      <c r="F13" s="275">
        <v>45658</v>
      </c>
      <c r="G13" s="301">
        <v>34108.94</v>
      </c>
      <c r="H13" s="281">
        <f>G13</f>
        <v>34108.94</v>
      </c>
      <c r="I13" s="302"/>
      <c r="J13" s="276" t="s">
        <v>32</v>
      </c>
      <c r="K13" s="43" t="s">
        <v>43</v>
      </c>
    </row>
    <row r="14" spans="1:11" ht="15" x14ac:dyDescent="0.35">
      <c r="A14" s="40">
        <v>3</v>
      </c>
      <c r="B14" s="276">
        <v>46127</v>
      </c>
      <c r="C14" s="31">
        <v>1667</v>
      </c>
      <c r="D14" s="29" t="s">
        <v>196</v>
      </c>
      <c r="E14" s="277" t="s">
        <v>47</v>
      </c>
      <c r="F14" s="277">
        <v>45658</v>
      </c>
      <c r="G14" s="75">
        <v>49523.71</v>
      </c>
      <c r="H14" s="30">
        <f>G14</f>
        <v>49523.71</v>
      </c>
      <c r="I14" s="77"/>
      <c r="J14" s="276" t="s">
        <v>32</v>
      </c>
      <c r="K14" s="43" t="s">
        <v>43</v>
      </c>
    </row>
    <row r="15" spans="1:11" ht="15" x14ac:dyDescent="0.35">
      <c r="A15" s="69"/>
      <c r="B15" s="49"/>
      <c r="C15" s="49"/>
      <c r="D15" s="49"/>
      <c r="E15" s="49"/>
      <c r="F15" s="49"/>
      <c r="G15" s="50"/>
      <c r="H15" s="47">
        <f>SUM(H12:H14)</f>
        <v>89335.5</v>
      </c>
      <c r="I15" s="47"/>
      <c r="J15" s="411"/>
      <c r="K15" s="412"/>
    </row>
    <row r="16" spans="1:11" x14ac:dyDescent="0.35">
      <c r="A16" s="25"/>
      <c r="B16" s="368" t="s">
        <v>197</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51"/>
      <c r="B22" s="1"/>
      <c r="C22" s="1"/>
      <c r="D22" s="1"/>
      <c r="E22" s="1"/>
      <c r="F22" s="1"/>
      <c r="G22" s="1"/>
      <c r="H22" s="1"/>
      <c r="I22" s="1"/>
      <c r="J22" s="1"/>
      <c r="K22" s="1"/>
    </row>
    <row r="23" spans="1:11" x14ac:dyDescent="0.35">
      <c r="A23" s="14"/>
      <c r="B23" s="271"/>
      <c r="C23" s="271"/>
      <c r="D23" s="1"/>
      <c r="E23" s="271" t="s">
        <v>34</v>
      </c>
      <c r="F23" s="271"/>
      <c r="H23" s="20"/>
      <c r="I23" s="20"/>
      <c r="J23" s="20"/>
      <c r="K23" s="273"/>
    </row>
    <row r="24" spans="1:11" x14ac:dyDescent="0.35">
      <c r="A24" s="272" t="s">
        <v>19</v>
      </c>
      <c r="B24" s="278"/>
      <c r="C24" s="278"/>
      <c r="E24" s="273" t="s">
        <v>20</v>
      </c>
      <c r="F24" s="273"/>
      <c r="G24" s="284" t="s">
        <v>21</v>
      </c>
      <c r="H24" s="273"/>
      <c r="I24" s="273"/>
      <c r="J24" s="410" t="s">
        <v>22</v>
      </c>
      <c r="K24" s="410"/>
    </row>
    <row r="25" spans="1:11" x14ac:dyDescent="0.35">
      <c r="A25" s="269" t="s">
        <v>82</v>
      </c>
      <c r="B25" s="279"/>
      <c r="C25" s="279"/>
      <c r="E25" s="269" t="s">
        <v>23</v>
      </c>
      <c r="F25" s="269"/>
      <c r="G25" s="269" t="s">
        <v>24</v>
      </c>
      <c r="H25" s="269"/>
      <c r="I25" s="269"/>
      <c r="J25" s="389" t="s">
        <v>25</v>
      </c>
      <c r="K25" s="389"/>
    </row>
    <row r="26" spans="1:11" x14ac:dyDescent="0.35">
      <c r="A26" s="270" t="s">
        <v>85</v>
      </c>
      <c r="B26" s="280"/>
      <c r="C26" s="280"/>
      <c r="E26" s="270" t="s">
        <v>41</v>
      </c>
      <c r="F26" s="270"/>
      <c r="G26" s="270" t="s">
        <v>39</v>
      </c>
      <c r="H26" s="270"/>
      <c r="I26" s="270"/>
      <c r="J26" s="390" t="s">
        <v>26</v>
      </c>
      <c r="K26" s="390"/>
    </row>
    <row r="27" spans="1:11" x14ac:dyDescent="0.35">
      <c r="A27" s="270" t="s">
        <v>27</v>
      </c>
      <c r="B27" s="280"/>
      <c r="C27" s="280"/>
      <c r="E27" s="270" t="s">
        <v>27</v>
      </c>
      <c r="F27" s="270"/>
      <c r="G27" s="270" t="s">
        <v>27</v>
      </c>
      <c r="H27" s="270"/>
      <c r="I27" s="270"/>
      <c r="J27" s="1"/>
      <c r="K27" s="270"/>
    </row>
  </sheetData>
  <mergeCells count="15">
    <mergeCell ref="J24:K24"/>
    <mergeCell ref="J25:K25"/>
    <mergeCell ref="J26:K26"/>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6FB35-EEFA-47E5-81AA-0E8E2A33D563}">
  <sheetPr>
    <pageSetUpPr fitToPage="1"/>
  </sheetPr>
  <dimension ref="A1:K36"/>
  <sheetViews>
    <sheetView topLeftCell="B3" workbookViewId="0">
      <selection activeCell="B9" sqref="B9:K9"/>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0.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198</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46140</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$H$17</f>
        <v>142314</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296">
        <v>46140</v>
      </c>
      <c r="C12" s="31">
        <v>1660</v>
      </c>
      <c r="D12" s="29" t="s">
        <v>86</v>
      </c>
      <c r="E12" s="297" t="s">
        <v>47</v>
      </c>
      <c r="F12" s="297">
        <v>46083</v>
      </c>
      <c r="G12" s="11">
        <v>92406</v>
      </c>
      <c r="H12" s="30">
        <f>G12</f>
        <v>92406</v>
      </c>
      <c r="I12" s="57">
        <v>46161</v>
      </c>
      <c r="J12" s="288" t="s">
        <v>32</v>
      </c>
      <c r="K12" s="289" t="s">
        <v>43</v>
      </c>
    </row>
    <row r="13" spans="1:11" ht="15" x14ac:dyDescent="0.35">
      <c r="A13" s="25">
        <v>2</v>
      </c>
      <c r="B13" s="296">
        <v>46140</v>
      </c>
      <c r="C13" s="299">
        <v>1658</v>
      </c>
      <c r="D13" s="298" t="s">
        <v>88</v>
      </c>
      <c r="E13" s="290" t="s">
        <v>47</v>
      </c>
      <c r="F13" s="297">
        <v>46083</v>
      </c>
      <c r="G13" s="11">
        <v>10267</v>
      </c>
      <c r="H13" s="30">
        <f>G13</f>
        <v>10267</v>
      </c>
      <c r="I13" s="57">
        <v>46161</v>
      </c>
      <c r="J13" s="288" t="s">
        <v>32</v>
      </c>
      <c r="K13" s="289" t="s">
        <v>43</v>
      </c>
    </row>
    <row r="14" spans="1:11" ht="15" x14ac:dyDescent="0.35">
      <c r="A14" s="25">
        <v>3</v>
      </c>
      <c r="B14" s="296">
        <v>46140</v>
      </c>
      <c r="C14" s="31">
        <v>1656</v>
      </c>
      <c r="D14" s="29" t="s">
        <v>87</v>
      </c>
      <c r="E14" s="297" t="s">
        <v>47</v>
      </c>
      <c r="F14" s="297">
        <v>46083</v>
      </c>
      <c r="G14" s="11">
        <v>2321</v>
      </c>
      <c r="H14" s="30">
        <f t="shared" ref="H14:H15" si="0">G14</f>
        <v>2321</v>
      </c>
      <c r="I14" s="57">
        <v>46161</v>
      </c>
      <c r="J14" s="296" t="s">
        <v>32</v>
      </c>
      <c r="K14" s="43" t="s">
        <v>43</v>
      </c>
    </row>
    <row r="15" spans="1:11" ht="15" x14ac:dyDescent="0.35">
      <c r="A15" s="25">
        <v>4</v>
      </c>
      <c r="B15" s="296">
        <v>46140</v>
      </c>
      <c r="C15" s="31">
        <v>1657</v>
      </c>
      <c r="D15" s="29" t="s">
        <v>89</v>
      </c>
      <c r="E15" s="297" t="s">
        <v>47</v>
      </c>
      <c r="F15" s="297">
        <v>46083</v>
      </c>
      <c r="G15" s="64">
        <v>12035</v>
      </c>
      <c r="H15" s="30">
        <f t="shared" si="0"/>
        <v>12035</v>
      </c>
      <c r="I15" s="57">
        <v>46161</v>
      </c>
      <c r="J15" s="296" t="s">
        <v>32</v>
      </c>
      <c r="K15" s="43" t="s">
        <v>43</v>
      </c>
    </row>
    <row r="16" spans="1:11" ht="15" x14ac:dyDescent="0.35">
      <c r="A16" s="25">
        <v>5</v>
      </c>
      <c r="B16" s="296">
        <v>46140</v>
      </c>
      <c r="C16" s="31">
        <v>1670</v>
      </c>
      <c r="D16" s="29" t="s">
        <v>90</v>
      </c>
      <c r="E16" s="297" t="s">
        <v>47</v>
      </c>
      <c r="F16" s="297">
        <v>46083</v>
      </c>
      <c r="G16" s="64">
        <v>44586</v>
      </c>
      <c r="H16" s="30">
        <v>25285</v>
      </c>
      <c r="I16" s="57">
        <v>46161</v>
      </c>
      <c r="J16" s="296" t="s">
        <v>32</v>
      </c>
      <c r="K16" s="43" t="s">
        <v>43</v>
      </c>
    </row>
    <row r="17" spans="1:11" ht="15" x14ac:dyDescent="0.35">
      <c r="A17" s="40"/>
      <c r="B17" s="49"/>
      <c r="C17" s="49"/>
      <c r="D17" s="49"/>
      <c r="E17" s="49"/>
      <c r="F17" s="49"/>
      <c r="G17" s="50"/>
      <c r="H17" s="47">
        <f>SUM(H12:H16)</f>
        <v>142314</v>
      </c>
      <c r="I17" s="12"/>
      <c r="J17" s="411"/>
      <c r="K17" s="412"/>
    </row>
    <row r="18" spans="1:11" x14ac:dyDescent="0.35">
      <c r="A18" s="25"/>
      <c r="B18" s="368" t="s">
        <v>199</v>
      </c>
      <c r="C18" s="368"/>
      <c r="D18" s="368"/>
      <c r="E18" s="368"/>
      <c r="F18" s="368"/>
      <c r="G18" s="368"/>
      <c r="H18" s="368"/>
      <c r="I18" s="368"/>
      <c r="J18" s="368"/>
      <c r="K18" s="368"/>
    </row>
    <row r="19" spans="1:11" x14ac:dyDescent="0.35">
      <c r="A19" s="48"/>
      <c r="B19" s="1"/>
      <c r="C19" s="1"/>
      <c r="D19" s="1"/>
      <c r="E19" s="1"/>
      <c r="F19" s="1"/>
      <c r="G19" s="1"/>
      <c r="H19" s="1"/>
      <c r="I19" s="1"/>
      <c r="J19" s="1"/>
      <c r="K19" s="1"/>
    </row>
    <row r="20" spans="1:11" x14ac:dyDescent="0.35">
      <c r="A20" s="48"/>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48"/>
      <c r="B22" s="1"/>
      <c r="C22" s="1"/>
      <c r="D22" s="1"/>
      <c r="E22" s="1"/>
      <c r="F22" s="1"/>
      <c r="G22" s="20"/>
      <c r="H22" s="1"/>
      <c r="I22" s="1"/>
      <c r="J22" s="1"/>
      <c r="K22" s="1"/>
    </row>
    <row r="23" spans="1:11" x14ac:dyDescent="0.35">
      <c r="A23" s="48"/>
      <c r="B23" s="1"/>
      <c r="C23" s="1"/>
      <c r="D23" s="1"/>
      <c r="E23" s="1"/>
      <c r="F23" s="1"/>
      <c r="G23" s="1"/>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332">
        <f>G16-H16</f>
        <v>19301</v>
      </c>
      <c r="H25" s="1"/>
      <c r="I25" s="1"/>
      <c r="J25" s="1"/>
      <c r="K25" s="1"/>
    </row>
    <row r="26" spans="1:11" x14ac:dyDescent="0.35">
      <c r="A26" s="73"/>
      <c r="B26" s="73"/>
      <c r="C26" s="73"/>
      <c r="D26" s="73"/>
      <c r="E26" s="73"/>
      <c r="F26" s="73"/>
      <c r="G26" s="73"/>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48"/>
      <c r="B29" s="1"/>
      <c r="C29" s="1"/>
      <c r="D29" s="1"/>
      <c r="E29" s="1"/>
      <c r="F29" s="1"/>
      <c r="G29" s="1"/>
      <c r="H29" s="1"/>
      <c r="I29" s="1"/>
      <c r="J29" s="1"/>
      <c r="K29" s="1"/>
    </row>
    <row r="30" spans="1:11" x14ac:dyDescent="0.35">
      <c r="A30" s="48"/>
      <c r="B30" s="1"/>
      <c r="C30" s="1"/>
      <c r="D30" s="1"/>
      <c r="E30" s="1"/>
      <c r="F30" s="1"/>
      <c r="G30" s="1"/>
      <c r="H30" s="1"/>
      <c r="I30" s="1"/>
      <c r="J30" s="1"/>
      <c r="K30" s="1"/>
    </row>
    <row r="31" spans="1:11" x14ac:dyDescent="0.35">
      <c r="A31" s="51"/>
      <c r="B31" s="1"/>
      <c r="C31" s="1"/>
      <c r="D31" s="1"/>
      <c r="E31" s="1"/>
      <c r="F31" s="1"/>
      <c r="G31" s="1"/>
      <c r="H31" s="1"/>
      <c r="I31" s="1"/>
      <c r="J31" s="1"/>
      <c r="K31" s="1"/>
    </row>
    <row r="32" spans="1:11" x14ac:dyDescent="0.35">
      <c r="A32" s="14"/>
      <c r="B32" s="285"/>
      <c r="C32" s="285"/>
      <c r="D32" s="1"/>
      <c r="E32" s="285" t="s">
        <v>34</v>
      </c>
      <c r="F32" s="285"/>
      <c r="H32" s="20"/>
      <c r="I32" s="20"/>
      <c r="J32" s="20"/>
      <c r="K32" s="287"/>
    </row>
    <row r="33" spans="1:11" x14ac:dyDescent="0.35">
      <c r="A33" s="286" t="s">
        <v>19</v>
      </c>
      <c r="B33" s="295"/>
      <c r="C33" s="295"/>
      <c r="E33" s="287" t="s">
        <v>20</v>
      </c>
      <c r="F33" s="287"/>
      <c r="G33" s="300" t="s">
        <v>21</v>
      </c>
      <c r="H33" s="287"/>
      <c r="I33" s="287"/>
      <c r="J33" s="410" t="s">
        <v>22</v>
      </c>
      <c r="K33" s="410"/>
    </row>
    <row r="34" spans="1:11" x14ac:dyDescent="0.35">
      <c r="A34" s="291" t="s">
        <v>82</v>
      </c>
      <c r="B34" s="293"/>
      <c r="C34" s="293"/>
      <c r="E34" s="291" t="s">
        <v>23</v>
      </c>
      <c r="F34" s="291"/>
      <c r="G34" s="291" t="s">
        <v>24</v>
      </c>
      <c r="H34" s="291"/>
      <c r="I34" s="291"/>
      <c r="J34" s="389" t="s">
        <v>25</v>
      </c>
      <c r="K34" s="389"/>
    </row>
    <row r="35" spans="1:11" x14ac:dyDescent="0.35">
      <c r="A35" s="292" t="s">
        <v>85</v>
      </c>
      <c r="B35" s="294"/>
      <c r="C35" s="294"/>
      <c r="E35" s="292" t="s">
        <v>41</v>
      </c>
      <c r="F35" s="292"/>
      <c r="G35" s="292" t="s">
        <v>166</v>
      </c>
      <c r="H35" s="292"/>
      <c r="I35" s="292"/>
      <c r="J35" s="390" t="s">
        <v>26</v>
      </c>
      <c r="K35" s="390"/>
    </row>
    <row r="36" spans="1:11" x14ac:dyDescent="0.35">
      <c r="A36" s="292" t="s">
        <v>27</v>
      </c>
      <c r="B36" s="294"/>
      <c r="C36" s="294"/>
      <c r="E36" s="292" t="s">
        <v>27</v>
      </c>
      <c r="F36" s="292"/>
      <c r="G36" s="292" t="s">
        <v>27</v>
      </c>
      <c r="H36" s="292"/>
      <c r="I36" s="292"/>
      <c r="J36" s="1"/>
      <c r="K36" s="292"/>
    </row>
  </sheetData>
  <mergeCells count="15">
    <mergeCell ref="B6:K6"/>
    <mergeCell ref="A1:K1"/>
    <mergeCell ref="B2:K2"/>
    <mergeCell ref="B3:K3"/>
    <mergeCell ref="B4:K4"/>
    <mergeCell ref="B5:K5"/>
    <mergeCell ref="J33:K33"/>
    <mergeCell ref="J34:K34"/>
    <mergeCell ref="J35:K35"/>
    <mergeCell ref="B7:K7"/>
    <mergeCell ref="B8:K8"/>
    <mergeCell ref="B9:K9"/>
    <mergeCell ref="B10:K10"/>
    <mergeCell ref="J17:K17"/>
    <mergeCell ref="B18:K18"/>
  </mergeCells>
  <pageMargins left="0.25" right="0.25" top="0.75" bottom="0.75" header="0.3" footer="0.3"/>
  <pageSetup paperSize="9" scale="83"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106A6-B20F-4914-A897-D6D55EB06328}">
  <sheetPr>
    <pageSetUpPr fitToPage="1"/>
  </sheetPr>
  <dimension ref="A1:K34"/>
  <sheetViews>
    <sheetView topLeftCell="A4" workbookViewId="0">
      <selection sqref="A1:K34"/>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2"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191</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46141</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$H$15</f>
        <v>60212</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12">
        <v>46141</v>
      </c>
      <c r="C12" s="31">
        <v>1661</v>
      </c>
      <c r="D12" s="29" t="s">
        <v>109</v>
      </c>
      <c r="E12" s="311" t="s">
        <v>47</v>
      </c>
      <c r="F12" s="313">
        <v>46105</v>
      </c>
      <c r="G12" s="11">
        <v>34075</v>
      </c>
      <c r="H12" s="30">
        <f t="shared" ref="H12:H14" si="0">G12</f>
        <v>34075</v>
      </c>
      <c r="I12" s="57">
        <v>46152</v>
      </c>
      <c r="J12" s="309" t="s">
        <v>32</v>
      </c>
      <c r="K12" s="310" t="s">
        <v>43</v>
      </c>
    </row>
    <row r="13" spans="1:11" ht="15" x14ac:dyDescent="0.35">
      <c r="A13" s="25">
        <v>2</v>
      </c>
      <c r="B13" s="312">
        <v>46141</v>
      </c>
      <c r="C13" s="31">
        <v>1662</v>
      </c>
      <c r="D13" s="29" t="s">
        <v>116</v>
      </c>
      <c r="E13" s="313" t="s">
        <v>47</v>
      </c>
      <c r="F13" s="313">
        <v>46105</v>
      </c>
      <c r="G13" s="11">
        <v>18979</v>
      </c>
      <c r="H13" s="30">
        <f>G13</f>
        <v>18979</v>
      </c>
      <c r="I13" s="57">
        <v>46152</v>
      </c>
      <c r="J13" s="312" t="s">
        <v>32</v>
      </c>
      <c r="K13" s="43" t="s">
        <v>43</v>
      </c>
    </row>
    <row r="14" spans="1:11" ht="15" x14ac:dyDescent="0.35">
      <c r="A14" s="25">
        <v>3</v>
      </c>
      <c r="B14" s="312">
        <v>46141</v>
      </c>
      <c r="C14" s="31">
        <v>1659</v>
      </c>
      <c r="D14" s="29" t="s">
        <v>91</v>
      </c>
      <c r="E14" s="313" t="s">
        <v>47</v>
      </c>
      <c r="F14" s="313">
        <v>46105</v>
      </c>
      <c r="G14" s="64">
        <v>7158</v>
      </c>
      <c r="H14" s="30">
        <f t="shared" si="0"/>
        <v>7158</v>
      </c>
      <c r="I14" s="57">
        <v>46152</v>
      </c>
      <c r="J14" s="312" t="s">
        <v>32</v>
      </c>
      <c r="K14" s="43" t="s">
        <v>43</v>
      </c>
    </row>
    <row r="15" spans="1:11" ht="15" x14ac:dyDescent="0.35">
      <c r="A15" s="40"/>
      <c r="B15" s="49"/>
      <c r="C15" s="49"/>
      <c r="D15" s="49"/>
      <c r="E15" s="49"/>
      <c r="F15" s="49"/>
      <c r="G15" s="50"/>
      <c r="H15" s="47">
        <f>SUM(H12:H14)</f>
        <v>60212</v>
      </c>
      <c r="I15" s="12"/>
      <c r="J15" s="411"/>
      <c r="K15" s="412"/>
    </row>
    <row r="16" spans="1:11" x14ac:dyDescent="0.35">
      <c r="A16" s="25"/>
      <c r="B16" s="368" t="s">
        <v>200</v>
      </c>
      <c r="C16" s="368"/>
      <c r="D16" s="368"/>
      <c r="E16" s="368"/>
      <c r="F16" s="368"/>
      <c r="G16" s="368"/>
      <c r="H16" s="368"/>
      <c r="I16" s="368"/>
      <c r="J16" s="368"/>
      <c r="K16" s="368"/>
    </row>
    <row r="17" spans="1:11" x14ac:dyDescent="0.35">
      <c r="A17" s="48"/>
      <c r="B17" s="1"/>
      <c r="C17" s="1"/>
      <c r="D17" s="1"/>
      <c r="E17" s="1"/>
      <c r="F17" s="1"/>
      <c r="G17" s="1"/>
      <c r="H17" s="1"/>
      <c r="I17" s="1"/>
      <c r="J17" s="1"/>
      <c r="K17" s="1"/>
    </row>
    <row r="18" spans="1:11" x14ac:dyDescent="0.35">
      <c r="A18" s="48"/>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48"/>
      <c r="B20" s="1"/>
      <c r="C20" s="1"/>
      <c r="D20" s="1"/>
      <c r="E20" s="1"/>
      <c r="F20" s="1"/>
      <c r="G20" s="20"/>
      <c r="H20" s="1"/>
      <c r="I20" s="1"/>
      <c r="J20" s="1"/>
      <c r="K20" s="1"/>
    </row>
    <row r="21" spans="1:11" x14ac:dyDescent="0.35">
      <c r="A21" s="48"/>
      <c r="B21" s="1"/>
      <c r="C21" s="1"/>
      <c r="D21" s="1"/>
      <c r="E21" s="1"/>
      <c r="F21" s="1"/>
      <c r="G21" s="1"/>
      <c r="H21" s="1"/>
      <c r="I21" s="1"/>
      <c r="J21" s="1"/>
      <c r="K21" s="1"/>
    </row>
    <row r="22" spans="1:11" x14ac:dyDescent="0.35">
      <c r="A22" s="73"/>
      <c r="B22" s="73"/>
      <c r="C22" s="73"/>
      <c r="D22" s="73"/>
      <c r="E22" s="73"/>
      <c r="F22" s="73"/>
      <c r="G22" s="73"/>
      <c r="H22" s="1"/>
      <c r="I22" s="1"/>
      <c r="J22" s="1"/>
      <c r="K22" s="1"/>
    </row>
    <row r="23" spans="1:11" x14ac:dyDescent="0.35">
      <c r="A23" s="73"/>
      <c r="B23" s="73"/>
      <c r="C23" s="73"/>
      <c r="D23" s="73"/>
      <c r="E23" s="73"/>
      <c r="F23" s="73"/>
      <c r="G23" s="73"/>
      <c r="H23" s="1"/>
      <c r="I23" s="1"/>
      <c r="J23" s="1"/>
      <c r="K23" s="1"/>
    </row>
    <row r="24" spans="1:11" x14ac:dyDescent="0.35">
      <c r="A24" s="73"/>
      <c r="B24" s="73"/>
      <c r="C24" s="73"/>
      <c r="D24" s="73"/>
      <c r="E24" s="73"/>
      <c r="F24" s="73"/>
      <c r="G24" s="73"/>
      <c r="H24" s="1"/>
      <c r="I24" s="1"/>
      <c r="J24" s="1"/>
      <c r="K24" s="1"/>
    </row>
    <row r="25" spans="1:11" x14ac:dyDescent="0.35">
      <c r="A25" s="73"/>
      <c r="B25" s="73"/>
      <c r="C25" s="73"/>
      <c r="D25" s="73"/>
      <c r="E25" s="73"/>
      <c r="F25" s="73"/>
      <c r="G25" s="73"/>
      <c r="H25" s="1"/>
      <c r="I25" s="1"/>
      <c r="J25" s="1"/>
      <c r="K25" s="1"/>
    </row>
    <row r="26" spans="1:11" x14ac:dyDescent="0.35">
      <c r="A26" s="73"/>
      <c r="B26" s="73"/>
      <c r="C26" s="73"/>
      <c r="D26" s="73"/>
      <c r="E26" s="73"/>
      <c r="F26" s="73"/>
      <c r="G26" s="73"/>
      <c r="H26" s="1"/>
      <c r="I26" s="1"/>
      <c r="J26" s="1"/>
      <c r="K26" s="1"/>
    </row>
    <row r="27" spans="1:11" x14ac:dyDescent="0.35">
      <c r="A27" s="48"/>
      <c r="B27" s="1"/>
      <c r="C27" s="1"/>
      <c r="D27" s="1"/>
      <c r="E27" s="1"/>
      <c r="F27" s="1"/>
      <c r="G27" s="1"/>
      <c r="H27" s="1"/>
      <c r="I27" s="1"/>
      <c r="J27" s="1"/>
      <c r="K27" s="1"/>
    </row>
    <row r="28" spans="1:11" x14ac:dyDescent="0.35">
      <c r="A28" s="48"/>
      <c r="B28" s="1"/>
      <c r="C28" s="1"/>
      <c r="D28" s="1"/>
      <c r="E28" s="1"/>
      <c r="F28" s="1"/>
      <c r="G28" s="1"/>
      <c r="H28" s="1"/>
      <c r="I28" s="1"/>
      <c r="J28" s="1"/>
      <c r="K28" s="1"/>
    </row>
    <row r="29" spans="1:11" x14ac:dyDescent="0.35">
      <c r="A29" s="51"/>
      <c r="B29" s="1"/>
      <c r="C29" s="1"/>
      <c r="D29" s="1"/>
      <c r="E29" s="1"/>
      <c r="F29" s="1"/>
      <c r="G29" s="1"/>
      <c r="H29" s="1"/>
      <c r="I29" s="1"/>
      <c r="J29" s="1"/>
      <c r="K29" s="1"/>
    </row>
    <row r="30" spans="1:11" x14ac:dyDescent="0.35">
      <c r="A30" s="14"/>
      <c r="B30" s="306"/>
      <c r="C30" s="306"/>
      <c r="D30" s="1"/>
      <c r="E30" s="306" t="s">
        <v>34</v>
      </c>
      <c r="F30" s="306"/>
      <c r="H30" s="20"/>
      <c r="I30" s="20"/>
      <c r="J30" s="20"/>
      <c r="K30" s="308"/>
    </row>
    <row r="31" spans="1:11" x14ac:dyDescent="0.35">
      <c r="A31" s="307" t="s">
        <v>19</v>
      </c>
      <c r="B31" s="314"/>
      <c r="C31" s="314"/>
      <c r="E31" s="308" t="s">
        <v>20</v>
      </c>
      <c r="F31" s="308"/>
      <c r="G31" s="317" t="s">
        <v>21</v>
      </c>
      <c r="H31" s="308"/>
      <c r="I31" s="308"/>
      <c r="J31" s="410" t="s">
        <v>22</v>
      </c>
      <c r="K31" s="410"/>
    </row>
    <row r="32" spans="1:11" x14ac:dyDescent="0.35">
      <c r="A32" s="304" t="s">
        <v>82</v>
      </c>
      <c r="B32" s="315"/>
      <c r="C32" s="315"/>
      <c r="E32" s="304" t="s">
        <v>23</v>
      </c>
      <c r="F32" s="304"/>
      <c r="G32" s="304" t="s">
        <v>24</v>
      </c>
      <c r="H32" s="304"/>
      <c r="I32" s="304"/>
      <c r="J32" s="389" t="s">
        <v>25</v>
      </c>
      <c r="K32" s="389"/>
    </row>
    <row r="33" spans="1:11" x14ac:dyDescent="0.35">
      <c r="A33" s="305" t="s">
        <v>85</v>
      </c>
      <c r="B33" s="316"/>
      <c r="C33" s="316"/>
      <c r="E33" s="305" t="s">
        <v>41</v>
      </c>
      <c r="F33" s="305"/>
      <c r="G33" s="305" t="s">
        <v>166</v>
      </c>
      <c r="H33" s="305"/>
      <c r="I33" s="305"/>
      <c r="J33" s="390" t="s">
        <v>26</v>
      </c>
      <c r="K33" s="390"/>
    </row>
    <row r="34" spans="1:11" x14ac:dyDescent="0.35">
      <c r="A34" s="305" t="s">
        <v>27</v>
      </c>
      <c r="B34" s="316"/>
      <c r="C34" s="316"/>
      <c r="E34" s="305" t="s">
        <v>27</v>
      </c>
      <c r="F34" s="305"/>
      <c r="G34" s="305" t="s">
        <v>27</v>
      </c>
      <c r="H34" s="305"/>
      <c r="I34" s="305"/>
      <c r="J34" s="1"/>
      <c r="K34" s="305"/>
    </row>
  </sheetData>
  <mergeCells count="15">
    <mergeCell ref="J31:K31"/>
    <mergeCell ref="J32:K32"/>
    <mergeCell ref="J33:K33"/>
    <mergeCell ref="B7:K7"/>
    <mergeCell ref="B8:K8"/>
    <mergeCell ref="B9:K9"/>
    <mergeCell ref="B10:K10"/>
    <mergeCell ref="J15:K15"/>
    <mergeCell ref="B16:K16"/>
    <mergeCell ref="B6:K6"/>
    <mergeCell ref="A1:K1"/>
    <mergeCell ref="B2:K2"/>
    <mergeCell ref="B3:K3"/>
    <mergeCell ref="B4:K4"/>
    <mergeCell ref="B5:K5"/>
  </mergeCells>
  <pageMargins left="0.25" right="0.25" top="0.75" bottom="0.75" header="0.3" footer="0.3"/>
  <pageSetup paperSize="9" scale="83"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D2F4-95A9-419F-B2D2-DA89309B02A6}">
  <sheetPr>
    <pageSetUpPr fitToPage="1"/>
  </sheetPr>
  <dimension ref="A1:K25"/>
  <sheetViews>
    <sheetView topLeftCell="A12" workbookViewId="0">
      <selection sqref="A1:K25"/>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2.81640625" bestFit="1" customWidth="1"/>
    <col min="9" max="9" width="11.7265625" bestFit="1" customWidth="1"/>
    <col min="10" max="10" width="24.6328125" bestFit="1" customWidth="1"/>
    <col min="11" max="11" width="13.36328125" bestFit="1" customWidth="1"/>
  </cols>
  <sheetData>
    <row r="1" spans="1:11" ht="34"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202</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46152</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35698</v>
      </c>
      <c r="C9" s="372"/>
      <c r="D9" s="373"/>
      <c r="E9" s="373"/>
      <c r="F9" s="373"/>
      <c r="G9" s="373"/>
      <c r="H9" s="373"/>
      <c r="I9" s="373"/>
      <c r="J9" s="373"/>
      <c r="K9" s="373"/>
    </row>
    <row r="10" spans="1:11" ht="22.5" customHeight="1"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78" t="s">
        <v>31</v>
      </c>
      <c r="K11" s="78" t="s">
        <v>30</v>
      </c>
    </row>
    <row r="12" spans="1:11" ht="15" x14ac:dyDescent="0.35">
      <c r="A12" s="333">
        <v>1</v>
      </c>
      <c r="B12" s="327">
        <v>46152</v>
      </c>
      <c r="C12" s="330">
        <v>1666</v>
      </c>
      <c r="D12" s="328" t="s">
        <v>104</v>
      </c>
      <c r="E12" s="321" t="s">
        <v>47</v>
      </c>
      <c r="F12" s="321">
        <v>46054</v>
      </c>
      <c r="G12" s="301">
        <v>35698</v>
      </c>
      <c r="H12" s="329">
        <f>G12</f>
        <v>35698</v>
      </c>
      <c r="I12" s="302">
        <v>46167</v>
      </c>
      <c r="J12" s="327" t="s">
        <v>32</v>
      </c>
      <c r="K12" s="43" t="s">
        <v>43</v>
      </c>
    </row>
    <row r="13" spans="1:11" ht="15" x14ac:dyDescent="0.35">
      <c r="A13" s="69"/>
      <c r="B13" s="49"/>
      <c r="C13" s="49"/>
      <c r="D13" s="49"/>
      <c r="E13" s="49"/>
      <c r="F13" s="49"/>
      <c r="G13" s="50"/>
      <c r="H13" s="12">
        <f>SUM(H12:H12)</f>
        <v>35698</v>
      </c>
      <c r="I13" s="47"/>
      <c r="J13" s="411"/>
      <c r="K13" s="412"/>
    </row>
    <row r="14" spans="1:11" x14ac:dyDescent="0.35">
      <c r="A14" s="25"/>
      <c r="B14" s="368" t="s">
        <v>201</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318"/>
      <c r="C21" s="318"/>
      <c r="D21" s="1"/>
      <c r="E21" s="318" t="s">
        <v>34</v>
      </c>
      <c r="F21" s="318"/>
      <c r="H21" s="20"/>
      <c r="I21" s="20"/>
      <c r="J21" s="20"/>
      <c r="K21" s="320"/>
    </row>
    <row r="22" spans="1:11" x14ac:dyDescent="0.35">
      <c r="A22" s="319" t="s">
        <v>19</v>
      </c>
      <c r="B22" s="326"/>
      <c r="C22" s="326"/>
      <c r="E22" s="320" t="s">
        <v>20</v>
      </c>
      <c r="F22" s="320"/>
      <c r="G22" s="331" t="s">
        <v>21</v>
      </c>
      <c r="H22" s="320"/>
      <c r="I22" s="320"/>
      <c r="J22" s="410" t="s">
        <v>22</v>
      </c>
      <c r="K22" s="410"/>
    </row>
    <row r="23" spans="1:11" x14ac:dyDescent="0.35">
      <c r="A23" s="322" t="s">
        <v>82</v>
      </c>
      <c r="B23" s="324"/>
      <c r="C23" s="324"/>
      <c r="E23" s="322" t="s">
        <v>23</v>
      </c>
      <c r="F23" s="322"/>
      <c r="G23" s="322" t="s">
        <v>24</v>
      </c>
      <c r="H23" s="322"/>
      <c r="I23" s="322"/>
      <c r="J23" s="389" t="s">
        <v>25</v>
      </c>
      <c r="K23" s="389"/>
    </row>
    <row r="24" spans="1:11" x14ac:dyDescent="0.35">
      <c r="A24" s="323" t="s">
        <v>85</v>
      </c>
      <c r="B24" s="325"/>
      <c r="C24" s="325"/>
      <c r="E24" s="323" t="s">
        <v>41</v>
      </c>
      <c r="F24" s="323"/>
      <c r="G24" s="323" t="s">
        <v>39</v>
      </c>
      <c r="H24" s="323"/>
      <c r="I24" s="323"/>
      <c r="J24" s="390" t="s">
        <v>26</v>
      </c>
      <c r="K24" s="390"/>
    </row>
    <row r="25" spans="1:11" x14ac:dyDescent="0.35">
      <c r="A25" s="323" t="s">
        <v>27</v>
      </c>
      <c r="B25" s="325"/>
      <c r="C25" s="325"/>
      <c r="E25" s="323" t="s">
        <v>27</v>
      </c>
      <c r="F25" s="323"/>
      <c r="G25" s="323" t="s">
        <v>27</v>
      </c>
      <c r="H25" s="323"/>
      <c r="I25" s="323"/>
      <c r="J25" s="1"/>
      <c r="K25" s="323"/>
    </row>
  </sheetData>
  <mergeCells count="15">
    <mergeCell ref="B6:K6"/>
    <mergeCell ref="A1:K1"/>
    <mergeCell ref="B2:K2"/>
    <mergeCell ref="B3:K3"/>
    <mergeCell ref="B4:K4"/>
    <mergeCell ref="B5:K5"/>
    <mergeCell ref="J22:K22"/>
    <mergeCell ref="J23:K23"/>
    <mergeCell ref="J24:K24"/>
    <mergeCell ref="B7:K7"/>
    <mergeCell ref="B8:K8"/>
    <mergeCell ref="B9:K9"/>
    <mergeCell ref="B10:K10"/>
    <mergeCell ref="J13:K13"/>
    <mergeCell ref="B14:K14"/>
  </mergeCells>
  <pageMargins left="0.25" right="0.25" top="0.75" bottom="0.75" header="0.3" footer="0.3"/>
  <pageSetup paperSize="9" scale="83"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52639-0F5D-4EAC-84EA-905AE8F4EE3E}">
  <sheetPr>
    <pageSetUpPr fitToPage="1"/>
  </sheetPr>
  <dimension ref="A1:K25"/>
  <sheetViews>
    <sheetView tabSelected="1" topLeftCell="B8" workbookViewId="0">
      <selection activeCell="F18" sqref="F18"/>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2.81640625" bestFit="1" customWidth="1"/>
    <col min="9" max="9" width="11.7265625" bestFit="1" customWidth="1"/>
    <col min="10" max="10" width="24.6328125" bestFit="1" customWidth="1"/>
    <col min="11" max="11" width="13.36328125" bestFit="1" customWidth="1"/>
  </cols>
  <sheetData>
    <row r="1" spans="1:11" ht="35"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205</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46183</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$H$13</f>
        <v>36492.67</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78" t="s">
        <v>31</v>
      </c>
      <c r="K11" s="78" t="s">
        <v>30</v>
      </c>
    </row>
    <row r="12" spans="1:11" ht="15" x14ac:dyDescent="0.35">
      <c r="A12" s="333">
        <v>1</v>
      </c>
      <c r="B12" s="355">
        <v>46183</v>
      </c>
      <c r="C12" s="31">
        <v>1666</v>
      </c>
      <c r="D12" s="29" t="s">
        <v>104</v>
      </c>
      <c r="E12" s="356" t="s">
        <v>47</v>
      </c>
      <c r="F12" s="356">
        <v>46082</v>
      </c>
      <c r="G12" s="75">
        <v>36492.67</v>
      </c>
      <c r="H12" s="30">
        <f>G12</f>
        <v>36492.67</v>
      </c>
      <c r="I12" s="58">
        <v>46197</v>
      </c>
      <c r="J12" s="355" t="s">
        <v>32</v>
      </c>
      <c r="K12" s="43" t="s">
        <v>43</v>
      </c>
    </row>
    <row r="13" spans="1:11" ht="15" x14ac:dyDescent="0.35">
      <c r="A13" s="69"/>
      <c r="B13" s="49"/>
      <c r="C13" s="49"/>
      <c r="D13" s="49"/>
      <c r="E13" s="49"/>
      <c r="F13" s="49"/>
      <c r="G13" s="50"/>
      <c r="H13" s="47">
        <f>SUM(H12:H12)</f>
        <v>36492.67</v>
      </c>
      <c r="I13" s="47"/>
      <c r="J13" s="411"/>
      <c r="K13" s="412"/>
    </row>
    <row r="14" spans="1:11" x14ac:dyDescent="0.35">
      <c r="A14" s="25"/>
      <c r="B14" s="368" t="s">
        <v>206</v>
      </c>
      <c r="C14" s="368"/>
      <c r="D14" s="368"/>
      <c r="E14" s="368"/>
      <c r="F14" s="368"/>
      <c r="G14" s="368"/>
      <c r="H14" s="368"/>
      <c r="I14" s="368"/>
      <c r="J14" s="368"/>
      <c r="K14" s="368"/>
    </row>
    <row r="15" spans="1:11" x14ac:dyDescent="0.35">
      <c r="A15" s="48"/>
      <c r="B15" s="1"/>
      <c r="C15" s="1"/>
      <c r="D15" s="1"/>
      <c r="E15" s="1"/>
      <c r="F15" s="1"/>
      <c r="G15" s="1"/>
      <c r="H15" s="1"/>
      <c r="I15" s="1"/>
      <c r="J15" s="1"/>
      <c r="K15" s="1"/>
    </row>
    <row r="16" spans="1:11" x14ac:dyDescent="0.35">
      <c r="A16" s="48"/>
      <c r="B16" s="1"/>
      <c r="C16" s="1"/>
      <c r="D16" s="1"/>
      <c r="E16" s="1"/>
      <c r="F16" s="1"/>
      <c r="G16" s="1"/>
      <c r="H16" s="1"/>
      <c r="I16" s="1"/>
      <c r="J16" s="1"/>
      <c r="K16" s="1"/>
    </row>
    <row r="17" spans="1:11" x14ac:dyDescent="0.35">
      <c r="A17" s="1"/>
      <c r="B17" s="1"/>
      <c r="C17" s="1"/>
      <c r="D17" s="1"/>
      <c r="E17" s="1"/>
      <c r="F17" s="1"/>
      <c r="G17" s="1"/>
      <c r="H17" s="1"/>
      <c r="I17" s="1"/>
      <c r="J17" s="1"/>
      <c r="K17" s="1"/>
    </row>
    <row r="18" spans="1:11" x14ac:dyDescent="0.35">
      <c r="A18" s="48"/>
      <c r="B18" s="1"/>
      <c r="C18" s="1"/>
      <c r="D18" s="1"/>
      <c r="E18" s="1"/>
      <c r="F18" s="1"/>
      <c r="G18" s="20"/>
      <c r="H18" s="1"/>
      <c r="I18" s="1"/>
      <c r="J18" s="1"/>
      <c r="K18" s="1"/>
    </row>
    <row r="19" spans="1:11" x14ac:dyDescent="0.35">
      <c r="A19" s="48"/>
      <c r="B19" s="1"/>
      <c r="C19" s="1"/>
      <c r="D19" s="1"/>
      <c r="E19" s="1"/>
      <c r="F19" s="1"/>
      <c r="G19" s="1"/>
      <c r="H19" s="1"/>
      <c r="I19" s="1"/>
      <c r="J19" s="1"/>
      <c r="K19" s="1"/>
    </row>
    <row r="20" spans="1:11" x14ac:dyDescent="0.35">
      <c r="A20" s="51"/>
      <c r="B20" s="1"/>
      <c r="C20" s="1"/>
      <c r="D20" s="1"/>
      <c r="E20" s="1"/>
      <c r="F20" s="1"/>
      <c r="G20" s="1"/>
      <c r="H20" s="1"/>
      <c r="I20" s="1"/>
      <c r="J20" s="1"/>
      <c r="K20" s="1"/>
    </row>
    <row r="21" spans="1:11" x14ac:dyDescent="0.35">
      <c r="A21" s="14"/>
      <c r="B21" s="352"/>
      <c r="C21" s="352"/>
      <c r="D21" s="1"/>
      <c r="E21" s="352" t="s">
        <v>34</v>
      </c>
      <c r="F21" s="352"/>
      <c r="H21" s="20"/>
      <c r="I21" s="20"/>
      <c r="J21" s="20"/>
      <c r="K21" s="354"/>
    </row>
    <row r="22" spans="1:11" x14ac:dyDescent="0.35">
      <c r="A22" s="353" t="s">
        <v>19</v>
      </c>
      <c r="B22" s="357"/>
      <c r="C22" s="357"/>
      <c r="E22" s="354" t="s">
        <v>20</v>
      </c>
      <c r="F22" s="354"/>
      <c r="G22" s="360" t="s">
        <v>21</v>
      </c>
      <c r="H22" s="354"/>
      <c r="I22" s="354"/>
      <c r="J22" s="410" t="s">
        <v>22</v>
      </c>
      <c r="K22" s="410"/>
    </row>
    <row r="23" spans="1:11" x14ac:dyDescent="0.35">
      <c r="A23" s="350" t="s">
        <v>82</v>
      </c>
      <c r="B23" s="358"/>
      <c r="C23" s="358"/>
      <c r="E23" s="350" t="s">
        <v>23</v>
      </c>
      <c r="F23" s="350"/>
      <c r="G23" s="350" t="s">
        <v>24</v>
      </c>
      <c r="H23" s="350"/>
      <c r="I23" s="350"/>
      <c r="J23" s="389" t="s">
        <v>25</v>
      </c>
      <c r="K23" s="389"/>
    </row>
    <row r="24" spans="1:11" x14ac:dyDescent="0.35">
      <c r="A24" s="351" t="s">
        <v>85</v>
      </c>
      <c r="B24" s="359"/>
      <c r="C24" s="359"/>
      <c r="E24" s="351" t="s">
        <v>41</v>
      </c>
      <c r="F24" s="351"/>
      <c r="G24" s="351" t="s">
        <v>39</v>
      </c>
      <c r="H24" s="351"/>
      <c r="I24" s="351"/>
      <c r="J24" s="390" t="s">
        <v>26</v>
      </c>
      <c r="K24" s="390"/>
    </row>
    <row r="25" spans="1:11" x14ac:dyDescent="0.35">
      <c r="A25" s="351" t="s">
        <v>27</v>
      </c>
      <c r="B25" s="359"/>
      <c r="C25" s="359"/>
      <c r="E25" s="351" t="s">
        <v>27</v>
      </c>
      <c r="F25" s="351"/>
      <c r="G25" s="351" t="s">
        <v>27</v>
      </c>
      <c r="H25" s="351"/>
      <c r="I25" s="351"/>
      <c r="J25" s="1"/>
      <c r="K25" s="351"/>
    </row>
  </sheetData>
  <mergeCells count="15">
    <mergeCell ref="J22:K22"/>
    <mergeCell ref="J23:K23"/>
    <mergeCell ref="J24:K24"/>
    <mergeCell ref="B7:K7"/>
    <mergeCell ref="B8:K8"/>
    <mergeCell ref="B9:K9"/>
    <mergeCell ref="B10:K10"/>
    <mergeCell ref="J13:K13"/>
    <mergeCell ref="B14:K14"/>
    <mergeCell ref="A1:K1"/>
    <mergeCell ref="B2:K2"/>
    <mergeCell ref="B3:K3"/>
    <mergeCell ref="B4:K4"/>
    <mergeCell ref="B5:K5"/>
    <mergeCell ref="B6:K6"/>
  </mergeCells>
  <pageMargins left="0.25" right="0.25" top="0.75" bottom="0.75" header="0.3" footer="0.3"/>
  <pageSetup paperSize="9" scale="83" orientation="landscape"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3BBE2-9195-436E-98E9-4946B573B113}">
  <sheetPr>
    <pageSetUpPr fitToPage="1"/>
  </sheetPr>
  <dimension ref="A1:K39"/>
  <sheetViews>
    <sheetView topLeftCell="A8" workbookViewId="0">
      <selection activeCell="E12" sqref="E12:E18"/>
    </sheetView>
  </sheetViews>
  <sheetFormatPr defaultRowHeight="14.5" x14ac:dyDescent="0.35"/>
  <cols>
    <col min="1" max="1" width="17.1796875" customWidth="1"/>
    <col min="2" max="2" width="11.1796875" bestFit="1" customWidth="1"/>
    <col min="4" max="4" width="22.453125" bestFit="1" customWidth="1"/>
    <col min="5" max="5" width="19.54296875" customWidth="1"/>
    <col min="7" max="7" width="21.54296875" bestFit="1" customWidth="1"/>
    <col min="8" max="8" width="11.1796875" customWidth="1"/>
    <col min="9" max="9" width="11.7265625" bestFit="1" customWidth="1"/>
    <col min="10" max="10" width="24.6328125" bestFit="1" customWidth="1"/>
    <col min="11" max="11" width="13.36328125" bestFit="1" customWidth="1"/>
  </cols>
  <sheetData>
    <row r="1" spans="1:11" ht="33" customHeight="1" x14ac:dyDescent="0.35">
      <c r="A1" s="363" t="s">
        <v>42</v>
      </c>
      <c r="B1" s="363"/>
      <c r="C1" s="363"/>
      <c r="D1" s="363"/>
      <c r="E1" s="363"/>
      <c r="F1" s="363"/>
      <c r="G1" s="363"/>
      <c r="H1" s="363"/>
      <c r="I1" s="363"/>
      <c r="J1" s="363"/>
      <c r="K1" s="363"/>
    </row>
    <row r="2" spans="1:11" ht="20" x14ac:dyDescent="0.35">
      <c r="A2" s="2" t="s">
        <v>0</v>
      </c>
      <c r="B2" s="364" t="s">
        <v>46</v>
      </c>
      <c r="C2" s="364"/>
      <c r="D2" s="364"/>
      <c r="E2" s="364"/>
      <c r="F2" s="364"/>
      <c r="G2" s="364"/>
      <c r="H2" s="364"/>
      <c r="I2" s="364"/>
      <c r="J2" s="364"/>
      <c r="K2" s="364"/>
    </row>
    <row r="3" spans="1:11" x14ac:dyDescent="0.35">
      <c r="A3" s="2" t="s">
        <v>1</v>
      </c>
      <c r="B3" s="365" t="s">
        <v>203</v>
      </c>
      <c r="C3" s="365"/>
      <c r="D3" s="365"/>
      <c r="E3" s="365"/>
      <c r="F3" s="365"/>
      <c r="G3" s="365"/>
      <c r="H3" s="365"/>
      <c r="I3" s="365"/>
      <c r="J3" s="365"/>
      <c r="K3" s="365"/>
    </row>
    <row r="4" spans="1:11" x14ac:dyDescent="0.35">
      <c r="A4" s="2" t="s">
        <v>2</v>
      </c>
      <c r="B4" s="366" t="s">
        <v>3</v>
      </c>
      <c r="C4" s="366"/>
      <c r="D4" s="366"/>
      <c r="E4" s="366"/>
      <c r="F4" s="366"/>
      <c r="G4" s="366"/>
      <c r="H4" s="366"/>
      <c r="I4" s="366"/>
      <c r="J4" s="366"/>
      <c r="K4" s="366"/>
    </row>
    <row r="5" spans="1:11" x14ac:dyDescent="0.35">
      <c r="A5" s="2" t="s">
        <v>4</v>
      </c>
      <c r="B5" s="367">
        <v>46174</v>
      </c>
      <c r="C5" s="367"/>
      <c r="D5" s="367"/>
      <c r="E5" s="367"/>
      <c r="F5" s="367"/>
      <c r="G5" s="367"/>
      <c r="H5" s="367"/>
      <c r="I5" s="367"/>
      <c r="J5" s="367"/>
      <c r="K5" s="367"/>
    </row>
    <row r="6" spans="1:11" x14ac:dyDescent="0.35">
      <c r="A6" s="2" t="s">
        <v>5</v>
      </c>
      <c r="B6" s="361">
        <v>1703</v>
      </c>
      <c r="C6" s="361"/>
      <c r="D6" s="362"/>
      <c r="E6" s="362"/>
      <c r="F6" s="362"/>
      <c r="G6" s="362"/>
      <c r="H6" s="362"/>
      <c r="I6" s="362"/>
      <c r="J6" s="362"/>
      <c r="K6" s="362"/>
    </row>
    <row r="7" spans="1:11" x14ac:dyDescent="0.35">
      <c r="A7" s="2" t="s">
        <v>6</v>
      </c>
      <c r="B7" s="362" t="s">
        <v>82</v>
      </c>
      <c r="C7" s="362"/>
      <c r="D7" s="362"/>
      <c r="E7" s="362"/>
      <c r="F7" s="362"/>
      <c r="G7" s="362"/>
      <c r="H7" s="362"/>
      <c r="I7" s="362"/>
      <c r="J7" s="362"/>
      <c r="K7" s="362"/>
    </row>
    <row r="8" spans="1:11" x14ac:dyDescent="0.35">
      <c r="A8" s="2" t="s">
        <v>8</v>
      </c>
      <c r="B8" s="366" t="s">
        <v>83</v>
      </c>
      <c r="C8" s="366"/>
      <c r="D8" s="366"/>
      <c r="E8" s="366"/>
      <c r="F8" s="366"/>
      <c r="G8" s="366"/>
      <c r="H8" s="366"/>
      <c r="I8" s="366"/>
      <c r="J8" s="366"/>
      <c r="K8" s="366"/>
    </row>
    <row r="9" spans="1:11" ht="15" x14ac:dyDescent="0.35">
      <c r="A9" s="2" t="s">
        <v>9</v>
      </c>
      <c r="B9" s="372">
        <f>$H$20</f>
        <v>246745</v>
      </c>
      <c r="C9" s="372"/>
      <c r="D9" s="373"/>
      <c r="E9" s="373"/>
      <c r="F9" s="373"/>
      <c r="G9" s="373"/>
      <c r="H9" s="373"/>
      <c r="I9" s="373"/>
      <c r="J9" s="373"/>
      <c r="K9" s="373"/>
    </row>
    <row r="10" spans="1:11" ht="17.5" x14ac:dyDescent="0.35">
      <c r="A10" s="2"/>
      <c r="B10" s="374" t="s">
        <v>10</v>
      </c>
      <c r="C10" s="374"/>
      <c r="D10" s="374"/>
      <c r="E10" s="374"/>
      <c r="F10" s="374"/>
      <c r="G10" s="374"/>
      <c r="H10" s="374"/>
      <c r="I10" s="374"/>
      <c r="J10" s="374"/>
      <c r="K10" s="374"/>
    </row>
    <row r="11" spans="1:11" ht="37.5" x14ac:dyDescent="0.35">
      <c r="A11" s="4" t="s">
        <v>11</v>
      </c>
      <c r="B11" s="5" t="s">
        <v>12</v>
      </c>
      <c r="C11" s="6" t="s">
        <v>56</v>
      </c>
      <c r="D11" s="6" t="s">
        <v>84</v>
      </c>
      <c r="E11" s="6" t="s">
        <v>0</v>
      </c>
      <c r="F11" s="6" t="s">
        <v>14</v>
      </c>
      <c r="G11" s="4" t="s">
        <v>15</v>
      </c>
      <c r="H11" s="5" t="s">
        <v>29</v>
      </c>
      <c r="I11" s="5" t="s">
        <v>92</v>
      </c>
      <c r="J11" s="4" t="s">
        <v>31</v>
      </c>
      <c r="K11" s="4" t="s">
        <v>30</v>
      </c>
    </row>
    <row r="12" spans="1:11" ht="15" x14ac:dyDescent="0.35">
      <c r="A12" s="25">
        <v>1</v>
      </c>
      <c r="B12" s="342">
        <v>46174</v>
      </c>
      <c r="C12" s="31">
        <v>1660</v>
      </c>
      <c r="D12" s="29" t="s">
        <v>86</v>
      </c>
      <c r="E12" s="343" t="s">
        <v>47</v>
      </c>
      <c r="F12" s="343">
        <v>46113</v>
      </c>
      <c r="G12" s="11">
        <v>101643</v>
      </c>
      <c r="H12" s="30">
        <f>G12</f>
        <v>101643</v>
      </c>
      <c r="I12" s="57">
        <v>46203</v>
      </c>
      <c r="J12" s="339" t="s">
        <v>32</v>
      </c>
      <c r="K12" s="340" t="s">
        <v>43</v>
      </c>
    </row>
    <row r="13" spans="1:11" ht="15" x14ac:dyDescent="0.35">
      <c r="A13" s="25">
        <v>2</v>
      </c>
      <c r="B13" s="342">
        <v>46174</v>
      </c>
      <c r="C13" s="348">
        <v>1658</v>
      </c>
      <c r="D13" s="347" t="s">
        <v>88</v>
      </c>
      <c r="E13" s="341" t="s">
        <v>47</v>
      </c>
      <c r="F13" s="343">
        <v>46114</v>
      </c>
      <c r="G13" s="11">
        <v>6294</v>
      </c>
      <c r="H13" s="30">
        <f t="shared" ref="H13:H19" si="0">G13</f>
        <v>6294</v>
      </c>
      <c r="I13" s="57">
        <v>46203</v>
      </c>
      <c r="J13" s="339" t="s">
        <v>32</v>
      </c>
      <c r="K13" s="340" t="s">
        <v>43</v>
      </c>
    </row>
    <row r="14" spans="1:11" ht="15" x14ac:dyDescent="0.35">
      <c r="A14" s="25">
        <v>3</v>
      </c>
      <c r="B14" s="342">
        <v>46174</v>
      </c>
      <c r="C14" s="31">
        <v>1656</v>
      </c>
      <c r="D14" s="29" t="s">
        <v>87</v>
      </c>
      <c r="E14" s="343" t="s">
        <v>47</v>
      </c>
      <c r="F14" s="343">
        <v>46115</v>
      </c>
      <c r="G14" s="11">
        <v>2421</v>
      </c>
      <c r="H14" s="30">
        <f t="shared" si="0"/>
        <v>2421</v>
      </c>
      <c r="I14" s="57">
        <v>46203</v>
      </c>
      <c r="J14" s="342" t="s">
        <v>32</v>
      </c>
      <c r="K14" s="43" t="s">
        <v>43</v>
      </c>
    </row>
    <row r="15" spans="1:11" ht="15" x14ac:dyDescent="0.35">
      <c r="A15" s="25">
        <v>4</v>
      </c>
      <c r="B15" s="342">
        <v>46174</v>
      </c>
      <c r="C15" s="31">
        <v>1657</v>
      </c>
      <c r="D15" s="29" t="s">
        <v>89</v>
      </c>
      <c r="E15" s="343" t="s">
        <v>47</v>
      </c>
      <c r="F15" s="343">
        <v>46116</v>
      </c>
      <c r="G15" s="64">
        <v>12214</v>
      </c>
      <c r="H15" s="30">
        <f t="shared" si="0"/>
        <v>12214</v>
      </c>
      <c r="I15" s="57">
        <v>46203</v>
      </c>
      <c r="J15" s="342" t="s">
        <v>32</v>
      </c>
      <c r="K15" s="43" t="s">
        <v>43</v>
      </c>
    </row>
    <row r="16" spans="1:11" ht="15" x14ac:dyDescent="0.35">
      <c r="A16" s="25">
        <v>5</v>
      </c>
      <c r="B16" s="342">
        <v>46174</v>
      </c>
      <c r="C16" s="31">
        <v>1670</v>
      </c>
      <c r="D16" s="29" t="s">
        <v>90</v>
      </c>
      <c r="E16" s="343" t="s">
        <v>47</v>
      </c>
      <c r="F16" s="343">
        <v>46117</v>
      </c>
      <c r="G16" s="64">
        <v>57664</v>
      </c>
      <c r="H16" s="30">
        <f t="shared" si="0"/>
        <v>57664</v>
      </c>
      <c r="I16" s="57">
        <v>46203</v>
      </c>
      <c r="J16" s="342" t="s">
        <v>32</v>
      </c>
      <c r="K16" s="43" t="s">
        <v>43</v>
      </c>
    </row>
    <row r="17" spans="1:11" ht="15" x14ac:dyDescent="0.35">
      <c r="A17" s="25">
        <v>6</v>
      </c>
      <c r="B17" s="342">
        <v>46174</v>
      </c>
      <c r="C17" s="31">
        <v>1661</v>
      </c>
      <c r="D17" s="29" t="s">
        <v>109</v>
      </c>
      <c r="E17" s="341" t="s">
        <v>47</v>
      </c>
      <c r="F17" s="343">
        <v>46118</v>
      </c>
      <c r="G17" s="11">
        <v>37174</v>
      </c>
      <c r="H17" s="30">
        <f t="shared" si="0"/>
        <v>37174</v>
      </c>
      <c r="I17" s="57">
        <v>46180</v>
      </c>
      <c r="J17" s="339" t="s">
        <v>32</v>
      </c>
      <c r="K17" s="340" t="s">
        <v>43</v>
      </c>
    </row>
    <row r="18" spans="1:11" ht="15" x14ac:dyDescent="0.35">
      <c r="A18" s="25">
        <v>7</v>
      </c>
      <c r="B18" s="342">
        <v>46174</v>
      </c>
      <c r="C18" s="31">
        <v>1662</v>
      </c>
      <c r="D18" s="29" t="s">
        <v>116</v>
      </c>
      <c r="E18" s="343" t="s">
        <v>47</v>
      </c>
      <c r="F18" s="343">
        <v>46119</v>
      </c>
      <c r="G18" s="11">
        <v>19098</v>
      </c>
      <c r="H18" s="30">
        <f t="shared" si="0"/>
        <v>19098</v>
      </c>
      <c r="I18" s="57">
        <v>46180</v>
      </c>
      <c r="J18" s="342" t="s">
        <v>32</v>
      </c>
      <c r="K18" s="43" t="s">
        <v>43</v>
      </c>
    </row>
    <row r="19" spans="1:11" ht="15" x14ac:dyDescent="0.35">
      <c r="A19" s="25">
        <v>8</v>
      </c>
      <c r="B19" s="342">
        <v>46174</v>
      </c>
      <c r="C19" s="31">
        <v>1659</v>
      </c>
      <c r="D19" s="29" t="s">
        <v>91</v>
      </c>
      <c r="E19" s="343" t="s">
        <v>47</v>
      </c>
      <c r="F19" s="343">
        <v>46120</v>
      </c>
      <c r="G19" s="64">
        <v>10237</v>
      </c>
      <c r="H19" s="30">
        <f t="shared" si="0"/>
        <v>10237</v>
      </c>
      <c r="I19" s="57">
        <v>46180</v>
      </c>
      <c r="J19" s="342" t="s">
        <v>32</v>
      </c>
      <c r="K19" s="43" t="s">
        <v>43</v>
      </c>
    </row>
    <row r="20" spans="1:11" ht="15" x14ac:dyDescent="0.35">
      <c r="A20" s="333"/>
      <c r="B20" s="49"/>
      <c r="C20" s="49"/>
      <c r="D20" s="49"/>
      <c r="E20" s="49"/>
      <c r="F20" s="49"/>
      <c r="G20" s="50"/>
      <c r="H20" s="47">
        <f>SUM(H12:H19)</f>
        <v>246745</v>
      </c>
      <c r="I20" s="12"/>
      <c r="J20" s="411"/>
      <c r="K20" s="412"/>
    </row>
    <row r="21" spans="1:11" x14ac:dyDescent="0.35">
      <c r="A21" s="25"/>
      <c r="B21" s="368" t="s">
        <v>204</v>
      </c>
      <c r="C21" s="368"/>
      <c r="D21" s="368"/>
      <c r="E21" s="368"/>
      <c r="F21" s="368"/>
      <c r="G21" s="368"/>
      <c r="H21" s="368"/>
      <c r="I21" s="368"/>
      <c r="J21" s="368"/>
      <c r="K21" s="368"/>
    </row>
    <row r="22" spans="1:11" x14ac:dyDescent="0.35">
      <c r="A22" s="48"/>
      <c r="B22" s="1"/>
      <c r="C22" s="1"/>
      <c r="D22" s="1"/>
      <c r="E22" s="1"/>
      <c r="F22" s="1"/>
      <c r="G22" s="1"/>
      <c r="H22" s="1"/>
      <c r="I22" s="1"/>
      <c r="J22" s="1"/>
      <c r="K22" s="1"/>
    </row>
    <row r="23" spans="1:11" x14ac:dyDescent="0.35">
      <c r="A23" s="48"/>
      <c r="B23" s="1"/>
      <c r="C23" s="1"/>
      <c r="D23" s="1"/>
      <c r="E23" s="1"/>
      <c r="F23" s="1"/>
      <c r="G23" s="1"/>
      <c r="H23" s="1"/>
      <c r="I23" s="1"/>
      <c r="J23" s="1"/>
      <c r="K23" s="1"/>
    </row>
    <row r="24" spans="1:11" x14ac:dyDescent="0.35">
      <c r="A24" s="1"/>
      <c r="B24" s="1"/>
      <c r="C24" s="1"/>
      <c r="D24" s="1"/>
      <c r="E24" s="1"/>
      <c r="F24" s="1"/>
      <c r="G24" s="1"/>
      <c r="H24" s="1"/>
      <c r="I24" s="1"/>
      <c r="J24" s="1"/>
      <c r="K24" s="1"/>
    </row>
    <row r="25" spans="1:11" x14ac:dyDescent="0.35">
      <c r="A25" s="48"/>
      <c r="B25" s="1"/>
      <c r="C25" s="1"/>
      <c r="D25" s="1"/>
      <c r="E25" s="1"/>
      <c r="F25" s="1"/>
      <c r="G25" s="20"/>
      <c r="H25" s="1"/>
      <c r="I25" s="1"/>
      <c r="J25" s="1"/>
      <c r="K25" s="1"/>
    </row>
    <row r="26" spans="1:11" x14ac:dyDescent="0.35">
      <c r="A26" s="48"/>
      <c r="B26" s="1"/>
      <c r="C26" s="1"/>
      <c r="D26" s="1"/>
      <c r="E26" s="1"/>
      <c r="F26" s="1"/>
      <c r="G26" s="1"/>
      <c r="H26" s="1"/>
      <c r="I26" s="1"/>
      <c r="J26" s="1"/>
      <c r="K26" s="1"/>
    </row>
    <row r="27" spans="1:11" x14ac:dyDescent="0.35">
      <c r="A27" s="73"/>
      <c r="B27" s="73"/>
      <c r="C27" s="73"/>
      <c r="D27" s="73"/>
      <c r="E27" s="73"/>
      <c r="F27" s="73"/>
      <c r="G27" s="73"/>
      <c r="H27" s="1"/>
      <c r="I27" s="1"/>
      <c r="J27" s="1"/>
      <c r="K27" s="1"/>
    </row>
    <row r="28" spans="1:11" x14ac:dyDescent="0.35">
      <c r="A28" s="73"/>
      <c r="B28" s="73"/>
      <c r="C28" s="73"/>
      <c r="D28" s="73"/>
      <c r="E28" s="73"/>
      <c r="F28" s="73"/>
      <c r="G28" s="73"/>
      <c r="H28" s="1"/>
      <c r="I28" s="1"/>
      <c r="J28" s="1"/>
      <c r="K28" s="1"/>
    </row>
    <row r="29" spans="1:11" x14ac:dyDescent="0.35">
      <c r="A29" s="73"/>
      <c r="B29" s="73"/>
      <c r="C29" s="73"/>
      <c r="D29" s="73"/>
      <c r="E29" s="73"/>
      <c r="F29" s="73"/>
      <c r="G29" s="73"/>
      <c r="H29" s="1"/>
      <c r="I29" s="1"/>
      <c r="J29" s="1"/>
      <c r="K29" s="1"/>
    </row>
    <row r="30" spans="1:11" x14ac:dyDescent="0.35">
      <c r="A30" s="73"/>
      <c r="B30" s="73"/>
      <c r="C30" s="73"/>
      <c r="D30" s="73"/>
      <c r="E30" s="73"/>
      <c r="F30" s="73"/>
      <c r="G30" s="73"/>
      <c r="H30" s="1"/>
      <c r="I30" s="1"/>
      <c r="J30" s="1"/>
      <c r="K30" s="1"/>
    </row>
    <row r="31" spans="1:11" x14ac:dyDescent="0.35">
      <c r="A31" s="73"/>
      <c r="B31" s="73"/>
      <c r="C31" s="73"/>
      <c r="D31" s="73"/>
      <c r="E31" s="73"/>
      <c r="F31" s="73"/>
      <c r="G31" s="73"/>
      <c r="H31" s="1"/>
      <c r="I31" s="1"/>
      <c r="J31" s="1"/>
      <c r="K31" s="1"/>
    </row>
    <row r="32" spans="1:11" x14ac:dyDescent="0.35">
      <c r="A32" s="48"/>
      <c r="B32" s="1"/>
      <c r="C32" s="1"/>
      <c r="D32" s="1"/>
      <c r="E32" s="1"/>
      <c r="F32" s="1"/>
      <c r="G32" s="1"/>
      <c r="H32" s="1"/>
      <c r="I32" s="1"/>
      <c r="J32" s="1"/>
      <c r="K32" s="1"/>
    </row>
    <row r="33" spans="1:11" x14ac:dyDescent="0.35">
      <c r="A33" s="48"/>
      <c r="B33" s="1"/>
      <c r="C33" s="1"/>
      <c r="D33" s="1"/>
      <c r="E33" s="1"/>
      <c r="F33" s="1"/>
      <c r="G33" s="1"/>
      <c r="H33" s="1"/>
      <c r="I33" s="1"/>
      <c r="J33" s="1"/>
      <c r="K33" s="1"/>
    </row>
    <row r="34" spans="1:11" x14ac:dyDescent="0.35">
      <c r="A34" s="51"/>
      <c r="B34" s="1"/>
      <c r="C34" s="1"/>
      <c r="D34" s="1"/>
      <c r="E34" s="1"/>
      <c r="F34" s="1"/>
      <c r="G34" s="1"/>
      <c r="H34" s="1"/>
      <c r="I34" s="1"/>
      <c r="J34" s="1"/>
      <c r="K34" s="1"/>
    </row>
    <row r="35" spans="1:11" x14ac:dyDescent="0.35">
      <c r="A35" s="14"/>
      <c r="B35" s="336"/>
      <c r="C35" s="336"/>
      <c r="D35" s="1"/>
      <c r="E35" s="336" t="s">
        <v>34</v>
      </c>
      <c r="F35" s="336"/>
      <c r="H35" s="20"/>
      <c r="I35" s="20"/>
      <c r="J35" s="20"/>
      <c r="K35" s="338"/>
    </row>
    <row r="36" spans="1:11" x14ac:dyDescent="0.35">
      <c r="A36" s="337" t="s">
        <v>19</v>
      </c>
      <c r="B36" s="344"/>
      <c r="C36" s="344"/>
      <c r="E36" s="338" t="s">
        <v>20</v>
      </c>
      <c r="F36" s="338"/>
      <c r="G36" s="349" t="s">
        <v>21</v>
      </c>
      <c r="H36" s="338"/>
      <c r="I36" s="338"/>
      <c r="J36" s="410" t="s">
        <v>22</v>
      </c>
      <c r="K36" s="410"/>
    </row>
    <row r="37" spans="1:11" x14ac:dyDescent="0.35">
      <c r="A37" s="334" t="s">
        <v>82</v>
      </c>
      <c r="B37" s="345"/>
      <c r="C37" s="345"/>
      <c r="E37" s="334" t="s">
        <v>23</v>
      </c>
      <c r="F37" s="334"/>
      <c r="G37" s="334" t="s">
        <v>24</v>
      </c>
      <c r="H37" s="334"/>
      <c r="I37" s="334"/>
      <c r="J37" s="389" t="s">
        <v>25</v>
      </c>
      <c r="K37" s="389"/>
    </row>
    <row r="38" spans="1:11" x14ac:dyDescent="0.35">
      <c r="A38" s="335" t="s">
        <v>85</v>
      </c>
      <c r="B38" s="346"/>
      <c r="C38" s="346"/>
      <c r="E38" s="335" t="s">
        <v>41</v>
      </c>
      <c r="F38" s="335"/>
      <c r="G38" s="335" t="s">
        <v>166</v>
      </c>
      <c r="H38" s="335"/>
      <c r="I38" s="335"/>
      <c r="J38" s="390" t="s">
        <v>26</v>
      </c>
      <c r="K38" s="390"/>
    </row>
    <row r="39" spans="1:11" x14ac:dyDescent="0.35">
      <c r="A39" s="335" t="s">
        <v>27</v>
      </c>
      <c r="B39" s="346"/>
      <c r="C39" s="346"/>
      <c r="E39" s="335" t="s">
        <v>27</v>
      </c>
      <c r="F39" s="335"/>
      <c r="G39" s="335" t="s">
        <v>27</v>
      </c>
      <c r="H39" s="335"/>
      <c r="I39" s="335"/>
      <c r="J39" s="1"/>
      <c r="K39" s="335"/>
    </row>
  </sheetData>
  <mergeCells count="15">
    <mergeCell ref="J36:K36"/>
    <mergeCell ref="J37:K37"/>
    <mergeCell ref="J38:K38"/>
    <mergeCell ref="B7:K7"/>
    <mergeCell ref="B8:K8"/>
    <mergeCell ref="B9:K9"/>
    <mergeCell ref="B10:K10"/>
    <mergeCell ref="J20:K20"/>
    <mergeCell ref="B21:K21"/>
    <mergeCell ref="B6:K6"/>
    <mergeCell ref="A1:K1"/>
    <mergeCell ref="B2:K2"/>
    <mergeCell ref="B3:K3"/>
    <mergeCell ref="B4:K4"/>
    <mergeCell ref="B5:K5"/>
  </mergeCells>
  <pageMargins left="0.25" right="0.25" top="0.75" bottom="0.75" header="0.3" footer="0.3"/>
  <pageSetup paperSize="9" scale="7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68</vt:i4>
      </vt:variant>
      <vt:variant>
        <vt:lpstr>Named Ranges</vt:lpstr>
      </vt:variant>
      <vt:variant>
        <vt:i4>9</vt:i4>
      </vt:variant>
    </vt:vector>
  </HeadingPairs>
  <TitlesOfParts>
    <vt:vector size="77" baseType="lpstr">
      <vt:lpstr>Sep'23 BR</vt:lpstr>
      <vt:lpstr>Aug'23 BR</vt:lpstr>
      <vt:lpstr>BR</vt:lpstr>
      <vt:lpstr>BR (2)</vt:lpstr>
      <vt:lpstr>BR (3)</vt:lpstr>
      <vt:lpstr>BR (4)</vt:lpstr>
      <vt:lpstr>BR (5)</vt:lpstr>
      <vt:lpstr>BR (6)</vt:lpstr>
      <vt:lpstr>July'23 Akhaura BR</vt:lpstr>
      <vt:lpstr>Sheet1</vt:lpstr>
      <vt:lpstr>Sheet3</vt:lpstr>
      <vt:lpstr>Sheet4</vt:lpstr>
      <vt:lpstr>Sheet10</vt:lpstr>
      <vt:lpstr>Sheet8</vt:lpstr>
      <vt:lpstr>Sheet9</vt:lpstr>
      <vt:lpstr>Sheet31</vt:lpstr>
      <vt:lpstr>Sheet12</vt:lpstr>
      <vt:lpstr>Sheet5</vt:lpstr>
      <vt:lpstr>Sheet6</vt:lpstr>
      <vt:lpstr>Sheet11</vt:lpstr>
      <vt:lpstr>Sheet2</vt:lpstr>
      <vt:lpstr>Sheet7</vt:lpstr>
      <vt:lpstr>Sheet32</vt:lpstr>
      <vt:lpstr>Sheet13</vt:lpstr>
      <vt:lpstr>Sheet14</vt:lpstr>
      <vt:lpstr>Sheet16</vt:lpstr>
      <vt:lpstr>Sheet23</vt:lpstr>
      <vt:lpstr>Sheet20</vt:lpstr>
      <vt:lpstr>Sheet19</vt:lpstr>
      <vt:lpstr>Sheet15</vt:lpstr>
      <vt:lpstr>Sheet18</vt:lpstr>
      <vt:lpstr>Sheet22</vt:lpstr>
      <vt:lpstr>Sheet17</vt:lpstr>
      <vt:lpstr>Sheet21</vt:lpstr>
      <vt:lpstr>Sheet26</vt:lpstr>
      <vt:lpstr>Sheet28</vt:lpstr>
      <vt:lpstr>Sheet29</vt:lpstr>
      <vt:lpstr>Sheet34</vt:lpstr>
      <vt:lpstr>Sheet24</vt:lpstr>
      <vt:lpstr>Sheet27</vt:lpstr>
      <vt:lpstr>Sheet25</vt:lpstr>
      <vt:lpstr>Sheet30</vt:lpstr>
      <vt:lpstr>Sheet33</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lpstr>Sheet48</vt:lpstr>
      <vt:lpstr>Sheet49</vt:lpstr>
      <vt:lpstr>Sheet50</vt:lpstr>
      <vt:lpstr>Sheet51</vt:lpstr>
      <vt:lpstr>Sheet52</vt:lpstr>
      <vt:lpstr>Sheet53</vt:lpstr>
      <vt:lpstr>Sheet54</vt:lpstr>
      <vt:lpstr>Sheet55</vt:lpstr>
      <vt:lpstr>Sheet56</vt:lpstr>
      <vt:lpstr>Sheet58</vt:lpstr>
      <vt:lpstr>Sheet59</vt:lpstr>
      <vt:lpstr>Sheet57</vt:lpstr>
      <vt:lpstr>'Aug''23 BR'!Print_Area</vt:lpstr>
      <vt:lpstr>BR!Print_Area</vt:lpstr>
      <vt:lpstr>'BR (2)'!Print_Area</vt:lpstr>
      <vt:lpstr>'BR (3)'!Print_Area</vt:lpstr>
      <vt:lpstr>'BR (4)'!Print_Area</vt:lpstr>
      <vt:lpstr>'BR (5)'!Print_Area</vt:lpstr>
      <vt:lpstr>'BR (6)'!Print_Area</vt:lpstr>
      <vt:lpstr>'July''23 Akhaura BR'!Print_Area</vt:lpstr>
      <vt:lpstr>'Sep''23 BR'!Print_Area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Masuka Khan</dc:creator>
  <cp:lastModifiedBy>Kh. Nafiz Rahman/Administration SComm</cp:lastModifiedBy>
  <cp:lastPrinted>2026-06-10T06:07:48Z</cp:lastPrinted>
  <dcterms:created xsi:type="dcterms:W3CDTF">2021-12-27T05:47:06Z</dcterms:created>
  <dcterms:modified xsi:type="dcterms:W3CDTF">2026-06-10T07:27:58Z</dcterms:modified>
</cp:coreProperties>
</file>