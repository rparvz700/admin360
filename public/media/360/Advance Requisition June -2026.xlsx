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ew Dektop Files\Electricity Bill\05. ELECTRICITY BILL MAY &amp; JUNE 2026\"/>
    </mc:Choice>
  </mc:AlternateContent>
  <xr:revisionPtr revIDLastSave="0" documentId="13_ncr:1_{FAB3E050-E753-48CE-BCF5-7F3997325BE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ay-01" sheetId="18" r:id="rId1"/>
    <sheet name="May-02" sheetId="13" r:id="rId2"/>
    <sheet name="May-03" sheetId="19" r:id="rId3"/>
    <sheet name="May-004" sheetId="20" r:id="rId4"/>
  </sheets>
  <externalReferences>
    <externalReference r:id="rId5"/>
  </externalReferences>
  <definedNames>
    <definedName name="_xlnm._FilterDatabase" localSheetId="3" hidden="1">'May-004'!$A$13:$W$16</definedName>
    <definedName name="_xlnm._FilterDatabase" localSheetId="0" hidden="1">'May-01'!$A$13:$U$19</definedName>
    <definedName name="_xlnm._FilterDatabase" localSheetId="1" hidden="1">'May-02'!$A$13:$V$22</definedName>
    <definedName name="_xlnm._FilterDatabase" localSheetId="2" hidden="1">'May-03'!$A$13:$X$28</definedName>
    <definedName name="_xlnm.Print_Area" localSheetId="3">'May-004'!$A$1:$W$34</definedName>
    <definedName name="_xlnm.Print_Area" localSheetId="0">'May-01'!$A$1:$P$30</definedName>
    <definedName name="_xlnm.Print_Area" localSheetId="1">'May-02'!$A$1:$Q$33</definedName>
    <definedName name="_xlnm.Print_Area" localSheetId="2">'May-03'!$A$1:$W$39</definedName>
    <definedName name="_xlnm.Print_Titles" localSheetId="3">'May-004'!$1:$13</definedName>
    <definedName name="_xlnm.Print_Titles" localSheetId="2">'May-03'!$1:$13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13" l="1"/>
  <c r="I15" i="20" l="1"/>
  <c r="G21" i="20" s="1"/>
  <c r="B9" i="20" l="1"/>
  <c r="I27" i="19"/>
  <c r="B9" i="19" s="1"/>
  <c r="J14" i="19"/>
  <c r="H14" i="19"/>
  <c r="D14" i="19"/>
  <c r="I18" i="18" l="1"/>
  <c r="B9" i="18" l="1"/>
  <c r="B9" i="13" l="1"/>
</calcChain>
</file>

<file path=xl/sharedStrings.xml><?xml version="1.0" encoding="utf-8"?>
<sst xmlns="http://schemas.openxmlformats.org/spreadsheetml/2006/main" count="520" uniqueCount="201">
  <si>
    <t>Project:</t>
  </si>
  <si>
    <t>Ref. No</t>
  </si>
  <si>
    <t>Purposes:</t>
  </si>
  <si>
    <t>HR ID:</t>
  </si>
  <si>
    <t>0967</t>
  </si>
  <si>
    <t>Name:</t>
  </si>
  <si>
    <t>Ruhi Afroze Hassan</t>
  </si>
  <si>
    <t>Designation:</t>
  </si>
  <si>
    <t>Total ( BDT)</t>
  </si>
  <si>
    <t xml:space="preserve">Deadline of Recharge. </t>
  </si>
  <si>
    <t>Tentative Adjust Date:</t>
  </si>
  <si>
    <t>Description of Bill</t>
  </si>
  <si>
    <t>SL No</t>
  </si>
  <si>
    <t>Site/ Office/ POP Neme</t>
  </si>
  <si>
    <t xml:space="preserve">Location / District </t>
  </si>
  <si>
    <t>Site Code</t>
  </si>
  <si>
    <t>Site Type</t>
  </si>
  <si>
    <t xml:space="preserve">Maintain from </t>
  </si>
  <si>
    <t xml:space="preserve">Required Amount (BDT) </t>
  </si>
  <si>
    <t>Last Recharge Amount (BDT)</t>
  </si>
  <si>
    <t>Line Owner</t>
  </si>
  <si>
    <t>HR ID</t>
  </si>
  <si>
    <t>Name</t>
  </si>
  <si>
    <t>Designation</t>
  </si>
  <si>
    <t>A/C Number</t>
  </si>
  <si>
    <t>POP</t>
  </si>
  <si>
    <t>Office Assistant</t>
  </si>
  <si>
    <t>Amount in Word:</t>
  </si>
  <si>
    <t xml:space="preserve">                                                      </t>
  </si>
  <si>
    <t xml:space="preserve">                                                               </t>
  </si>
  <si>
    <t xml:space="preserve">                                             </t>
  </si>
  <si>
    <t xml:space="preserve">                                                       </t>
  </si>
  <si>
    <t>Requisition By</t>
  </si>
  <si>
    <t>Checked By</t>
  </si>
  <si>
    <t>Recommended By</t>
  </si>
  <si>
    <t>Kazi Shawon</t>
  </si>
  <si>
    <t>Md. Abdur Rashed</t>
  </si>
  <si>
    <t>Brig. Gen. Ali Murtoza Khan (Retd.)</t>
  </si>
  <si>
    <t>Chief Corporate Affairs Officer</t>
  </si>
  <si>
    <t>Administration</t>
  </si>
  <si>
    <t>BO</t>
  </si>
  <si>
    <t>Savar</t>
  </si>
  <si>
    <t>Total amount for each site</t>
  </si>
  <si>
    <t>Md. Humayun Kabir</t>
  </si>
  <si>
    <t>0333</t>
  </si>
  <si>
    <t xml:space="preserve">Admin Assistant
</t>
  </si>
  <si>
    <t>Deputy Manager</t>
  </si>
  <si>
    <t>Approved By</t>
  </si>
  <si>
    <t>;</t>
  </si>
  <si>
    <t>Narayangonj Palli Bidyut Samity-1</t>
  </si>
  <si>
    <t>Dhaka</t>
  </si>
  <si>
    <t>Uttara</t>
  </si>
  <si>
    <t>0327</t>
  </si>
  <si>
    <t>Paltan</t>
  </si>
  <si>
    <t xml:space="preserve">4893-4005-0015-9045
</t>
  </si>
  <si>
    <t xml:space="preserve">Md. Rasel
</t>
  </si>
  <si>
    <t>Tongi PGCB</t>
  </si>
  <si>
    <t>0930</t>
  </si>
  <si>
    <t>0180</t>
  </si>
  <si>
    <t>Savar Bazar POP</t>
  </si>
  <si>
    <t xml:space="preserve">Admin Assistant
</t>
  </si>
  <si>
    <t>4893-4027-7497-8571</t>
  </si>
  <si>
    <t>SCL-0967</t>
  </si>
  <si>
    <t>4893 4052 6140 2682</t>
  </si>
  <si>
    <t xml:space="preserve">Sr. Executive
</t>
  </si>
  <si>
    <t>Power Authority</t>
  </si>
  <si>
    <t>DESCO</t>
  </si>
  <si>
    <t>Dhaka Palli Bidyut Samity-3</t>
  </si>
  <si>
    <t>41063955</t>
  </si>
  <si>
    <t>Prepaid Meter/ Account  No</t>
  </si>
  <si>
    <t>DPDC</t>
  </si>
  <si>
    <t>Ashulia Warehouse</t>
  </si>
  <si>
    <t>Ashulia</t>
  </si>
  <si>
    <t>0437</t>
  </si>
  <si>
    <t>Birulia Warehouse</t>
  </si>
  <si>
    <t>Warehouse</t>
  </si>
  <si>
    <t>040130004140</t>
  </si>
  <si>
    <t>Dhaka Palli Bidyut Samity-1</t>
  </si>
  <si>
    <t>4893-4047-4670-0661</t>
  </si>
  <si>
    <t>Md. Munna Munsi</t>
  </si>
  <si>
    <t>0688</t>
  </si>
  <si>
    <t>Last Recharge Date</t>
  </si>
  <si>
    <t>Balance After Last Recharge</t>
  </si>
  <si>
    <t>Scomm</t>
  </si>
  <si>
    <t>Sonargaon</t>
  </si>
  <si>
    <t>Narayanganj</t>
  </si>
  <si>
    <t>0392</t>
  </si>
  <si>
    <t>040610163488</t>
  </si>
  <si>
    <t>Requisition for Prepaid Meter Recharge (Bkash)</t>
  </si>
  <si>
    <t>Dhanmondi Office</t>
  </si>
  <si>
    <t>1090</t>
  </si>
  <si>
    <t>Office</t>
  </si>
  <si>
    <t>Dhanmondi</t>
  </si>
  <si>
    <t>26146238</t>
  </si>
  <si>
    <t xml:space="preserve">Deadline of Recharge </t>
  </si>
  <si>
    <t>Purbanchal warehouse</t>
  </si>
  <si>
    <t>41311724</t>
  </si>
  <si>
    <t>Note: We and landlord both are using this prepaid meter. We will use this meter untill our new meter connected.</t>
  </si>
  <si>
    <t>1686</t>
  </si>
  <si>
    <t>Mirpur Access POP</t>
  </si>
  <si>
    <t>Mirpur</t>
  </si>
  <si>
    <t>2006</t>
  </si>
  <si>
    <t>Auto Recharge</t>
  </si>
  <si>
    <t>Assistant Manager</t>
  </si>
  <si>
    <t>Deputy General Manager</t>
  </si>
  <si>
    <t>Deputy Gen. Manager</t>
  </si>
  <si>
    <t>Info Sarker Phase -3</t>
  </si>
  <si>
    <t xml:space="preserve">Prepaid Meter / Consumer Number </t>
  </si>
  <si>
    <t>Pay in May</t>
  </si>
  <si>
    <t>Amount should be disburse</t>
  </si>
  <si>
    <t>Narsingdi Sadar</t>
  </si>
  <si>
    <t>Narsingdi</t>
  </si>
  <si>
    <t>Narsingdi Palli Bidyut Samity-2</t>
  </si>
  <si>
    <t>SComm</t>
  </si>
  <si>
    <t>EZSComm644</t>
  </si>
  <si>
    <t xml:space="preserve">Md. Sohel Rana
</t>
  </si>
  <si>
    <t xml:space="preserve">Office Assistant
</t>
  </si>
  <si>
    <t xml:space="preserve">
'4893-4005-0097-5002</t>
  </si>
  <si>
    <t xml:space="preserve">Shibpur </t>
  </si>
  <si>
    <t>0692</t>
  </si>
  <si>
    <t>Turag</t>
  </si>
  <si>
    <t>0544</t>
  </si>
  <si>
    <t>22050549</t>
  </si>
  <si>
    <t>Uttarkhan</t>
  </si>
  <si>
    <t>0547</t>
  </si>
  <si>
    <t>25028498</t>
  </si>
  <si>
    <t>Dokkhinkhan</t>
  </si>
  <si>
    <t>41348896</t>
  </si>
  <si>
    <t>0708</t>
  </si>
  <si>
    <t xml:space="preserve">Md. Riaz
</t>
  </si>
  <si>
    <t>4893 4005 7139 3648</t>
  </si>
  <si>
    <t>Khilkhet</t>
  </si>
  <si>
    <t>0863</t>
  </si>
  <si>
    <t>21020739</t>
  </si>
  <si>
    <t>Biman Bandar</t>
  </si>
  <si>
    <t>0942</t>
  </si>
  <si>
    <t>41136301</t>
  </si>
  <si>
    <t>Araihazar</t>
  </si>
  <si>
    <t>Narayangonj</t>
  </si>
  <si>
    <t>0792</t>
  </si>
  <si>
    <t>Narayanganj Palli Bidyut Samity-2</t>
  </si>
  <si>
    <t>040310009248</t>
  </si>
  <si>
    <t>0430</t>
  </si>
  <si>
    <t>Rubel</t>
  </si>
  <si>
    <t>Admin Assistant</t>
  </si>
  <si>
    <t>4893-4023-7486-9089</t>
  </si>
  <si>
    <t>Bandar Narayanganj</t>
  </si>
  <si>
    <t>0757</t>
  </si>
  <si>
    <t>Narayanganj Palli Bidyut Samity-1</t>
  </si>
  <si>
    <t>Kamrangir Chor</t>
  </si>
  <si>
    <t>0680</t>
  </si>
  <si>
    <t>31045141</t>
  </si>
  <si>
    <t xml:space="preserve">Auto Recharge </t>
  </si>
  <si>
    <t>Kadamtoli</t>
  </si>
  <si>
    <t>0777</t>
  </si>
  <si>
    <t>Dhaka Palli Bidyut Samity-4</t>
  </si>
  <si>
    <t>40510405550</t>
  </si>
  <si>
    <t>Sabujbag</t>
  </si>
  <si>
    <t>0820</t>
  </si>
  <si>
    <t>21788018</t>
  </si>
  <si>
    <t>Badda</t>
  </si>
  <si>
    <t>0826</t>
  </si>
  <si>
    <t>Banani</t>
  </si>
  <si>
    <t>Acknowledged By</t>
  </si>
  <si>
    <t>Md. Tahmidur Rahman</t>
  </si>
  <si>
    <t xml:space="preserve"> Manager</t>
  </si>
  <si>
    <t>Central Implementation &amp; Governance</t>
  </si>
  <si>
    <t>Advance Requisition for Prepaid Meter Recharge (Cash)</t>
  </si>
  <si>
    <t>Jatrabari</t>
  </si>
  <si>
    <t>0679</t>
  </si>
  <si>
    <t>12534534</t>
  </si>
  <si>
    <t>0459</t>
  </si>
  <si>
    <t>Sobuj</t>
  </si>
  <si>
    <t>4893-4000-9644-7713</t>
  </si>
  <si>
    <t>Twenty  Five Thousand Taka Only</t>
  </si>
  <si>
    <t>EBL Account Information</t>
  </si>
  <si>
    <t>SL NO</t>
  </si>
  <si>
    <t>EBL A/C Number</t>
  </si>
  <si>
    <t>Amount</t>
  </si>
  <si>
    <t>Contact Number</t>
  </si>
  <si>
    <t>Md. Sabuj</t>
  </si>
  <si>
    <t>4893-3900-0264-5486</t>
  </si>
  <si>
    <t>01857189855</t>
  </si>
  <si>
    <t>41383635</t>
  </si>
  <si>
    <t>040330000059</t>
  </si>
  <si>
    <t xml:space="preserve"> 
40,000/-,  40,000/- 40,000/-, 40,000/-
</t>
  </si>
  <si>
    <t>Approx. Existing Balance on 3rd May</t>
  </si>
  <si>
    <t>Per Day Usage</t>
  </si>
  <si>
    <t>Admin/DSR/E-bill/Adv/2026/22/05/ Jun-02</t>
  </si>
  <si>
    <t>Prepaid meter recharge for the month of  June-2026</t>
  </si>
  <si>
    <t>37,500
37,500</t>
  </si>
  <si>
    <t>Approx. Existing Balance on 22nd May</t>
  </si>
  <si>
    <t>Per day Usage</t>
  </si>
  <si>
    <t>Eighty Eight Thousand Taka Only</t>
  </si>
  <si>
    <t>Admin /DSR /E-bill/ Adv / 2026/ 05/ 22/ Jun-01</t>
  </si>
  <si>
    <t>One Lac Twenty Seven Thousand  Taka Only</t>
  </si>
  <si>
    <t xml:space="preserve">57,756/-, 97,756/-, 137,756/-, 177,756/-
</t>
  </si>
  <si>
    <t>Admin/DSR/E-bill/Adv/2026/05/23/ Jun-01</t>
  </si>
  <si>
    <t>Two Lac Taka Only</t>
  </si>
  <si>
    <t>Approx. Existing Balance on 2nd Jun</t>
  </si>
  <si>
    <t>Admin/DSR/E-bill/Adv/2026/06/2/ Jun-04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</si>
</sst>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F800]dddd\,\ mmmm\ dd\,\ yyyy"/>
    <numFmt numFmtId="165" formatCode="_(* #,##0_);_(* \(#,##0\);_(* &quot;-&quot;??_);_(@_)"/>
    <numFmt numFmtId="166" formatCode="[$-409]mmmm\-yy;@"/>
    <numFmt numFmtId="167" formatCode="[$-409]d\-mmm\-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b/>
      <sz val="11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sz val="12"/>
      <color theme="1"/>
      <name val="Cambria"/>
      <family val="1"/>
    </font>
    <font>
      <u/>
      <sz val="11"/>
      <color theme="1"/>
      <name val="Cambria"/>
      <family val="1"/>
    </font>
    <font>
      <u/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name val="Cambria"/>
      <family val="1"/>
    </font>
    <font>
      <sz val="10"/>
      <color theme="1"/>
      <name val="Cambria"/>
      <family val="1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mbria"/>
      <family val="1"/>
    </font>
    <font>
      <u/>
      <sz val="12"/>
      <color theme="1"/>
      <name val="Cambria"/>
      <family val="1"/>
    </font>
    <font>
      <u/>
      <sz val="12"/>
      <color theme="1"/>
      <name val="Calibri"/>
      <family val="2"/>
      <scheme val="minor"/>
    </font>
    <font>
      <b/>
      <sz val="18"/>
      <color theme="1"/>
      <name val="Cambria"/>
      <family val="1"/>
    </font>
    <font>
      <sz val="16"/>
      <color theme="1"/>
      <name val="Cambria"/>
      <family val="1"/>
    </font>
    <font>
      <b/>
      <sz val="13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7" fillId="5" borderId="1" xfId="0" quotePrefix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/>
    <xf numFmtId="0" fontId="5" fillId="5" borderId="0" xfId="0" applyNumberFormat="1" applyFont="1" applyFill="1" applyBorder="1" applyAlignment="1"/>
    <xf numFmtId="0" fontId="5" fillId="5" borderId="0" xfId="0" applyFont="1" applyFill="1" applyAlignment="1">
      <alignment horizontal="center" vertical="center"/>
    </xf>
    <xf numFmtId="0" fontId="5" fillId="5" borderId="0" xfId="0" applyFont="1" applyFill="1"/>
    <xf numFmtId="0" fontId="5" fillId="5" borderId="0" xfId="0" applyFont="1" applyFill="1" applyAlignment="1">
      <alignment wrapText="1"/>
    </xf>
    <xf numFmtId="0" fontId="3" fillId="0" borderId="1" xfId="0" applyFont="1" applyBorder="1" applyAlignment="1">
      <alignment horizontal="right" vertical="center" wrapText="1"/>
    </xf>
    <xf numFmtId="0" fontId="5" fillId="0" borderId="0" xfId="0" applyNumberFormat="1" applyFont="1" applyBorder="1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NumberFormat="1" applyFont="1"/>
    <xf numFmtId="0" fontId="9" fillId="0" borderId="6" xfId="0" applyFont="1" applyBorder="1"/>
    <xf numFmtId="0" fontId="10" fillId="0" borderId="0" xfId="0" applyFont="1" applyAlignment="1"/>
    <xf numFmtId="0" fontId="3" fillId="0" borderId="0" xfId="0" applyFont="1" applyAlignment="1">
      <alignment vertical="center"/>
    </xf>
    <xf numFmtId="165" fontId="3" fillId="5" borderId="1" xfId="1" applyNumberFormat="1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6" xfId="0" applyBorder="1"/>
    <xf numFmtId="165" fontId="7" fillId="5" borderId="1" xfId="1" applyNumberFormat="1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6" xfId="0" applyFont="1" applyBorder="1"/>
    <xf numFmtId="0" fontId="8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7" fillId="5" borderId="1" xfId="0" quotePrefix="1" applyNumberFormat="1" applyFont="1" applyFill="1" applyBorder="1" applyAlignment="1">
      <alignment horizontal="center" vertical="center"/>
    </xf>
    <xf numFmtId="165" fontId="7" fillId="5" borderId="1" xfId="1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5" fontId="7" fillId="5" borderId="1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7" fillId="5" borderId="1" xfId="1" applyNumberFormat="1" applyFont="1" applyFill="1" applyBorder="1" applyAlignment="1">
      <alignment horizontal="center" vertical="center"/>
    </xf>
    <xf numFmtId="0" fontId="5" fillId="0" borderId="0" xfId="0" applyFont="1" applyBorder="1" applyAlignment="1"/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165" fontId="7" fillId="5" borderId="2" xfId="1" applyNumberFormat="1" applyFont="1" applyFill="1" applyBorder="1" applyAlignment="1">
      <alignment vertical="center"/>
    </xf>
    <xf numFmtId="49" fontId="7" fillId="5" borderId="1" xfId="0" quotePrefix="1" applyNumberFormat="1" applyFont="1" applyFill="1" applyBorder="1" applyAlignment="1">
      <alignment horizontal="center" vertical="center" wrapText="1"/>
    </xf>
    <xf numFmtId="0" fontId="12" fillId="5" borderId="0" xfId="0" applyFont="1" applyFill="1"/>
    <xf numFmtId="165" fontId="11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5" borderId="1" xfId="0" applyFont="1" applyFill="1" applyBorder="1" applyAlignment="1">
      <alignment horizontal="left" vertical="center"/>
    </xf>
    <xf numFmtId="0" fontId="5" fillId="0" borderId="0" xfId="0" applyFont="1" applyBorder="1"/>
    <xf numFmtId="0" fontId="5" fillId="5" borderId="1" xfId="0" applyFont="1" applyFill="1" applyBorder="1" applyAlignment="1">
      <alignment horizontal="center" vertical="center" wrapText="1"/>
    </xf>
    <xf numFmtId="165" fontId="14" fillId="5" borderId="2" xfId="1" applyNumberFormat="1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" xfId="0" quotePrefix="1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165" fontId="7" fillId="6" borderId="1" xfId="1" applyNumberFormat="1" applyFont="1" applyFill="1" applyBorder="1" applyAlignment="1">
      <alignment vertical="center"/>
    </xf>
    <xf numFmtId="165" fontId="7" fillId="6" borderId="1" xfId="1" applyNumberFormat="1" applyFont="1" applyFill="1" applyBorder="1" applyAlignment="1">
      <alignment horizontal="center" vertical="center"/>
    </xf>
    <xf numFmtId="49" fontId="7" fillId="6" borderId="1" xfId="0" quotePrefix="1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9" fontId="5" fillId="6" borderId="1" xfId="0" quotePrefix="1" applyNumberFormat="1" applyFont="1" applyFill="1" applyBorder="1" applyAlignment="1">
      <alignment horizontal="center" vertical="center" wrapText="1"/>
    </xf>
    <xf numFmtId="165" fontId="5" fillId="5" borderId="2" xfId="1" applyNumberFormat="1" applyFont="1" applyFill="1" applyBorder="1" applyAlignment="1">
      <alignment vertical="center"/>
    </xf>
    <xf numFmtId="165" fontId="7" fillId="5" borderId="1" xfId="1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165" fontId="4" fillId="5" borderId="1" xfId="1" applyNumberFormat="1" applyFont="1" applyFill="1" applyBorder="1" applyAlignment="1">
      <alignment vertical="center"/>
    </xf>
    <xf numFmtId="165" fontId="4" fillId="5" borderId="2" xfId="1" applyNumberFormat="1" applyFont="1" applyFill="1" applyBorder="1" applyAlignment="1">
      <alignment vertical="center"/>
    </xf>
    <xf numFmtId="167" fontId="4" fillId="5" borderId="1" xfId="1" applyNumberFormat="1" applyFont="1" applyFill="1" applyBorder="1" applyAlignment="1">
      <alignment horizontal="center" vertical="center" wrapText="1"/>
    </xf>
    <xf numFmtId="165" fontId="4" fillId="5" borderId="1" xfId="1" applyNumberFormat="1" applyFont="1" applyFill="1" applyBorder="1" applyAlignment="1">
      <alignment horizontal="center" vertical="center" wrapText="1"/>
    </xf>
    <xf numFmtId="0" fontId="16" fillId="5" borderId="0" xfId="0" applyFont="1" applyFill="1"/>
    <xf numFmtId="0" fontId="4" fillId="5" borderId="1" xfId="0" quotePrefix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165" fontId="7" fillId="5" borderId="2" xfId="1" applyNumberFormat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right" vertical="center" wrapText="1"/>
    </xf>
    <xf numFmtId="49" fontId="4" fillId="5" borderId="10" xfId="0" applyNumberFormat="1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165" fontId="4" fillId="5" borderId="10" xfId="1" applyNumberFormat="1" applyFont="1" applyFill="1" applyBorder="1" applyAlignment="1">
      <alignment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21" xfId="0" quotePrefix="1" applyFont="1" applyFill="1" applyBorder="1" applyAlignment="1">
      <alignment horizontal="center" vertical="center" wrapText="1"/>
    </xf>
    <xf numFmtId="0" fontId="4" fillId="5" borderId="22" xfId="0" quotePrefix="1" applyFont="1" applyFill="1" applyBorder="1" applyAlignment="1">
      <alignment horizontal="center" vertical="center" wrapText="1"/>
    </xf>
    <xf numFmtId="49" fontId="4" fillId="5" borderId="5" xfId="0" quotePrefix="1" applyNumberFormat="1" applyFont="1" applyFill="1" applyBorder="1" applyAlignment="1">
      <alignment horizontal="center" vertical="center"/>
    </xf>
    <xf numFmtId="37" fontId="4" fillId="5" borderId="5" xfId="1" applyNumberFormat="1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0" xfId="0" applyFont="1" applyFill="1"/>
    <xf numFmtId="165" fontId="4" fillId="5" borderId="2" xfId="1" applyNumberFormat="1" applyFont="1" applyFill="1" applyBorder="1" applyAlignment="1">
      <alignment horizontal="center" vertical="center"/>
    </xf>
    <xf numFmtId="49" fontId="4" fillId="5" borderId="7" xfId="0" quotePrefix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49" fontId="4" fillId="5" borderId="7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5" fontId="6" fillId="5" borderId="5" xfId="0" applyNumberFormat="1" applyFont="1" applyFill="1" applyBorder="1" applyAlignment="1">
      <alignment horizontal="center" vertical="center"/>
    </xf>
    <xf numFmtId="165" fontId="6" fillId="5" borderId="1" xfId="1" applyNumberFormat="1" applyFont="1" applyFill="1" applyBorder="1" applyAlignment="1">
      <alignment vertical="center" wrapText="1"/>
    </xf>
    <xf numFmtId="0" fontId="4" fillId="5" borderId="1" xfId="0" applyFont="1" applyFill="1" applyBorder="1"/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wrapText="1"/>
    </xf>
    <xf numFmtId="0" fontId="16" fillId="0" borderId="0" xfId="0" applyFont="1"/>
    <xf numFmtId="0" fontId="2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12" fillId="0" borderId="0" xfId="0" applyFont="1"/>
    <xf numFmtId="165" fontId="12" fillId="0" borderId="0" xfId="0" applyNumberFormat="1" applyFont="1"/>
    <xf numFmtId="0" fontId="12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9" fillId="0" borderId="6" xfId="0" applyFont="1" applyBorder="1"/>
    <xf numFmtId="0" fontId="6" fillId="0" borderId="0" xfId="0" applyFont="1"/>
    <xf numFmtId="165" fontId="6" fillId="0" borderId="0" xfId="0" applyNumberFormat="1" applyFont="1" applyAlignment="1">
      <alignment horizontal="center"/>
    </xf>
    <xf numFmtId="0" fontId="11" fillId="0" borderId="0" xfId="0" applyFont="1"/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0" fillId="0" borderId="0" xfId="0" applyNumberFormat="1"/>
    <xf numFmtId="165" fontId="16" fillId="0" borderId="0" xfId="0" applyNumberFormat="1" applyFont="1"/>
    <xf numFmtId="0" fontId="16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4" fillId="5" borderId="10" xfId="1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/>
    </xf>
    <xf numFmtId="165" fontId="5" fillId="0" borderId="2" xfId="1" applyNumberFormat="1" applyFont="1" applyFill="1" applyBorder="1" applyAlignment="1">
      <alignment horizontal="center" vertical="center"/>
    </xf>
    <xf numFmtId="167" fontId="4" fillId="0" borderId="1" xfId="1" applyNumberFormat="1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6" fillId="4" borderId="0" xfId="0" applyFont="1" applyFill="1"/>
    <xf numFmtId="0" fontId="6" fillId="0" borderId="1" xfId="0" applyFont="1" applyBorder="1" applyAlignment="1">
      <alignment horizontal="right" vertical="center" wrapText="1"/>
    </xf>
    <xf numFmtId="0" fontId="2" fillId="0" borderId="26" xfId="0" applyFont="1" applyBorder="1" applyAlignment="1">
      <alignment horizontal="center" vertical="center"/>
    </xf>
    <xf numFmtId="165" fontId="2" fillId="5" borderId="26" xfId="1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26" xfId="0" quotePrefix="1" applyFont="1" applyBorder="1" applyAlignment="1">
      <alignment horizontal="center" vertical="center"/>
    </xf>
    <xf numFmtId="165" fontId="2" fillId="5" borderId="26" xfId="1" quotePrefix="1" applyNumberFormat="1" applyFont="1" applyFill="1" applyBorder="1" applyAlignment="1">
      <alignment horizontal="center" vertical="center"/>
    </xf>
    <xf numFmtId="165" fontId="2" fillId="5" borderId="16" xfId="1" quotePrefix="1" applyNumberFormat="1" applyFont="1" applyFill="1" applyBorder="1" applyAlignment="1">
      <alignment horizontal="center" vertical="center"/>
    </xf>
    <xf numFmtId="0" fontId="7" fillId="0" borderId="6" xfId="0" applyFont="1" applyBorder="1"/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49" fontId="21" fillId="5" borderId="1" xfId="0" quotePrefix="1" applyNumberFormat="1" applyFont="1" applyFill="1" applyBorder="1" applyAlignment="1">
      <alignment horizontal="center" vertical="center"/>
    </xf>
    <xf numFmtId="0" fontId="21" fillId="5" borderId="1" xfId="0" quotePrefix="1" applyFont="1" applyFill="1" applyBorder="1" applyAlignment="1">
      <alignment horizontal="left" vertical="center"/>
    </xf>
    <xf numFmtId="0" fontId="21" fillId="5" borderId="1" xfId="0" quotePrefix="1" applyFont="1" applyFill="1" applyBorder="1" applyAlignment="1">
      <alignment horizontal="center" vertical="center"/>
    </xf>
    <xf numFmtId="165" fontId="21" fillId="5" borderId="1" xfId="1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5" fontId="21" fillId="5" borderId="2" xfId="1" applyNumberFormat="1" applyFont="1" applyFill="1" applyBorder="1" applyAlignment="1">
      <alignment horizontal="center" vertical="center" wrapText="1"/>
    </xf>
    <xf numFmtId="167" fontId="21" fillId="5" borderId="1" xfId="1" applyNumberFormat="1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/>
    </xf>
    <xf numFmtId="0" fontId="15" fillId="5" borderId="0" xfId="0" applyFont="1" applyFill="1"/>
    <xf numFmtId="0" fontId="4" fillId="4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5" fillId="0" borderId="11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65" fontId="14" fillId="5" borderId="5" xfId="1" applyNumberFormat="1" applyFont="1" applyFill="1" applyBorder="1" applyAlignment="1">
      <alignment horizontal="center" vertical="center" wrapText="1"/>
    </xf>
    <xf numFmtId="165" fontId="14" fillId="5" borderId="10" xfId="1" applyNumberFormat="1" applyFont="1" applyFill="1" applyBorder="1" applyAlignment="1">
      <alignment horizontal="center" vertical="center" wrapText="1"/>
    </xf>
    <xf numFmtId="165" fontId="14" fillId="5" borderId="7" xfId="1" applyNumberFormat="1" applyFont="1" applyFill="1" applyBorder="1" applyAlignment="1">
      <alignment horizontal="center" vertical="center" wrapText="1"/>
    </xf>
    <xf numFmtId="167" fontId="7" fillId="5" borderId="5" xfId="1" applyNumberFormat="1" applyFont="1" applyFill="1" applyBorder="1" applyAlignment="1">
      <alignment horizontal="center" vertical="center"/>
    </xf>
    <xf numFmtId="167" fontId="7" fillId="5" borderId="10" xfId="1" applyNumberFormat="1" applyFont="1" applyFill="1" applyBorder="1" applyAlignment="1">
      <alignment horizontal="center" vertical="center"/>
    </xf>
    <xf numFmtId="167" fontId="7" fillId="5" borderId="7" xfId="1" applyNumberFormat="1" applyFont="1" applyFill="1" applyBorder="1" applyAlignment="1">
      <alignment horizontal="center" vertical="center"/>
    </xf>
    <xf numFmtId="165" fontId="7" fillId="5" borderId="5" xfId="1" applyNumberFormat="1" applyFont="1" applyFill="1" applyBorder="1" applyAlignment="1">
      <alignment horizontal="center" vertical="center"/>
    </xf>
    <xf numFmtId="165" fontId="7" fillId="5" borderId="10" xfId="1" applyNumberFormat="1" applyFont="1" applyFill="1" applyBorder="1" applyAlignment="1">
      <alignment horizontal="center" vertical="center"/>
    </xf>
    <xf numFmtId="165" fontId="7" fillId="5" borderId="7" xfId="1" applyNumberFormat="1" applyFont="1" applyFill="1" applyBorder="1" applyAlignment="1">
      <alignment horizontal="center" vertical="center"/>
    </xf>
    <xf numFmtId="0" fontId="5" fillId="5" borderId="1" xfId="0" quotePrefix="1" applyFont="1" applyFill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 vertical="center"/>
    </xf>
    <xf numFmtId="0" fontId="3" fillId="0" borderId="3" xfId="0" quotePrefix="1" applyFont="1" applyBorder="1" applyAlignment="1">
      <alignment horizontal="left" vertical="center"/>
    </xf>
    <xf numFmtId="0" fontId="3" fillId="0" borderId="4" xfId="0" quotePrefix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3" fontId="3" fillId="0" borderId="2" xfId="1" applyNumberFormat="1" applyFont="1" applyBorder="1" applyAlignment="1">
      <alignment horizontal="left" vertical="center"/>
    </xf>
    <xf numFmtId="3" fontId="3" fillId="0" borderId="3" xfId="1" applyNumberFormat="1" applyFont="1" applyBorder="1" applyAlignment="1">
      <alignment horizontal="left" vertical="center"/>
    </xf>
    <xf numFmtId="3" fontId="3" fillId="0" borderId="4" xfId="1" applyNumberFormat="1" applyFont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1" xfId="0" quotePrefix="1" applyFont="1" applyFill="1" applyBorder="1" applyAlignment="1">
      <alignment horizontal="center" wrapText="1"/>
    </xf>
    <xf numFmtId="0" fontId="5" fillId="6" borderId="1" xfId="0" quotePrefix="1" applyFont="1" applyFill="1" applyBorder="1" applyAlignment="1">
      <alignment horizontal="center" vertical="center" wrapText="1"/>
    </xf>
    <xf numFmtId="165" fontId="7" fillId="5" borderId="5" xfId="1" applyNumberFormat="1" applyFont="1" applyFill="1" applyBorder="1" applyAlignment="1">
      <alignment horizontal="center" vertical="center" wrapText="1"/>
    </xf>
    <xf numFmtId="167" fontId="7" fillId="5" borderId="5" xfId="1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quotePrefix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165" fontId="22" fillId="0" borderId="3" xfId="0" applyNumberFormat="1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165" fontId="5" fillId="0" borderId="3" xfId="0" applyNumberFormat="1" applyFont="1" applyBorder="1" applyAlignment="1">
      <alignment horizontal="left" vertical="center"/>
    </xf>
    <xf numFmtId="165" fontId="3" fillId="0" borderId="3" xfId="0" applyNumberFormat="1" applyFont="1" applyBorder="1" applyAlignment="1">
      <alignment horizontal="left" vertical="center"/>
    </xf>
    <xf numFmtId="165" fontId="3" fillId="0" borderId="3" xfId="0" quotePrefix="1" applyNumberFormat="1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left" vertical="center"/>
    </xf>
    <xf numFmtId="165" fontId="3" fillId="0" borderId="3" xfId="1" applyNumberFormat="1" applyFont="1" applyBorder="1" applyAlignment="1">
      <alignment horizontal="left" vertical="center"/>
    </xf>
    <xf numFmtId="165" fontId="4" fillId="5" borderId="5" xfId="1" applyNumberFormat="1" applyFont="1" applyFill="1" applyBorder="1" applyAlignment="1">
      <alignment horizontal="center" vertical="center"/>
    </xf>
    <xf numFmtId="165" fontId="4" fillId="5" borderId="10" xfId="1" applyNumberFormat="1" applyFont="1" applyFill="1" applyBorder="1" applyAlignment="1">
      <alignment horizontal="center" vertical="center"/>
    </xf>
    <xf numFmtId="165" fontId="4" fillId="5" borderId="7" xfId="1" applyNumberFormat="1" applyFont="1" applyFill="1" applyBorder="1" applyAlignment="1">
      <alignment horizontal="center" vertical="center"/>
    </xf>
    <xf numFmtId="49" fontId="4" fillId="5" borderId="5" xfId="0" quotePrefix="1" applyNumberFormat="1" applyFont="1" applyFill="1" applyBorder="1" applyAlignment="1">
      <alignment horizontal="center" vertical="center" wrapText="1"/>
    </xf>
    <xf numFmtId="49" fontId="4" fillId="5" borderId="10" xfId="0" applyNumberFormat="1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165" fontId="4" fillId="5" borderId="5" xfId="1" applyNumberFormat="1" applyFont="1" applyFill="1" applyBorder="1" applyAlignment="1">
      <alignment vertical="center" wrapText="1"/>
    </xf>
    <xf numFmtId="165" fontId="4" fillId="5" borderId="10" xfId="1" applyNumberFormat="1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9" xfId="0" quotePrefix="1" applyFont="1" applyFill="1" applyBorder="1" applyAlignment="1">
      <alignment horizontal="center" vertical="center" wrapText="1"/>
    </xf>
    <xf numFmtId="0" fontId="4" fillId="5" borderId="20" xfId="0" quotePrefix="1" applyFont="1" applyFill="1" applyBorder="1" applyAlignment="1">
      <alignment horizontal="center" vertical="center" wrapText="1"/>
    </xf>
    <xf numFmtId="0" fontId="4" fillId="5" borderId="21" xfId="0" quotePrefix="1" applyFont="1" applyFill="1" applyBorder="1" applyAlignment="1">
      <alignment horizontal="center" vertical="center" wrapText="1"/>
    </xf>
    <xf numFmtId="0" fontId="4" fillId="5" borderId="22" xfId="0" quotePrefix="1" applyFont="1" applyFill="1" applyBorder="1" applyAlignment="1">
      <alignment horizontal="center" vertical="center" wrapText="1"/>
    </xf>
    <xf numFmtId="0" fontId="4" fillId="5" borderId="5" xfId="0" quotePrefix="1" applyFont="1" applyFill="1" applyBorder="1" applyAlignment="1">
      <alignment horizontal="center" vertical="center" wrapText="1"/>
    </xf>
    <xf numFmtId="0" fontId="4" fillId="5" borderId="7" xfId="0" quotePrefix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165" fontId="4" fillId="5" borderId="1" xfId="1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8" xfId="0" quotePrefix="1" applyFont="1" applyFill="1" applyBorder="1" applyAlignment="1">
      <alignment horizontal="center" vertical="center" wrapText="1"/>
    </xf>
    <xf numFmtId="0" fontId="4" fillId="5" borderId="9" xfId="0" quotePrefix="1" applyFont="1" applyFill="1" applyBorder="1" applyAlignment="1">
      <alignment horizontal="center" vertical="center" wrapText="1"/>
    </xf>
    <xf numFmtId="49" fontId="4" fillId="5" borderId="10" xfId="0" quotePrefix="1" applyNumberFormat="1" applyFont="1" applyFill="1" applyBorder="1" applyAlignment="1">
      <alignment horizontal="center" vertical="center"/>
    </xf>
    <xf numFmtId="49" fontId="5" fillId="5" borderId="7" xfId="0" quotePrefix="1" applyNumberFormat="1" applyFont="1" applyFill="1" applyBorder="1" applyAlignment="1">
      <alignment horizontal="center" vertical="center"/>
    </xf>
    <xf numFmtId="37" fontId="4" fillId="5" borderId="1" xfId="1" applyNumberFormat="1" applyFont="1" applyFill="1" applyBorder="1" applyAlignment="1">
      <alignment vertical="center" wrapText="1"/>
    </xf>
    <xf numFmtId="37" fontId="5" fillId="5" borderId="7" xfId="1" applyNumberFormat="1" applyFont="1" applyFill="1" applyBorder="1" applyAlignment="1">
      <alignment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quotePrefix="1" applyFont="1" applyFill="1" applyBorder="1" applyAlignment="1">
      <alignment horizontal="center" vertical="center" wrapText="1"/>
    </xf>
    <xf numFmtId="0" fontId="5" fillId="5" borderId="9" xfId="0" quotePrefix="1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37" fontId="5" fillId="5" borderId="10" xfId="1" applyNumberFormat="1" applyFont="1" applyFill="1" applyBorder="1" applyAlignment="1">
      <alignment vertical="center" wrapText="1"/>
    </xf>
    <xf numFmtId="37" fontId="4" fillId="5" borderId="7" xfId="1" applyNumberFormat="1" applyFont="1" applyFill="1" applyBorder="1" applyAlignment="1">
      <alignment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5" borderId="21" xfId="0" quotePrefix="1" applyFont="1" applyFill="1" applyBorder="1" applyAlignment="1">
      <alignment horizontal="center" vertical="center" wrapText="1"/>
    </xf>
    <xf numFmtId="0" fontId="5" fillId="5" borderId="22" xfId="0" quotePrefix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quotePrefix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6" fillId="5" borderId="1" xfId="0" applyFont="1" applyFill="1" applyBorder="1" applyAlignment="1">
      <alignment horizontal="right" vertical="center"/>
    </xf>
    <xf numFmtId="165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0" borderId="1" xfId="0" applyNumberFormat="1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4" xfId="0" quotePrefix="1" applyFont="1" applyBorder="1" applyAlignment="1">
      <alignment horizontal="center" vertical="center"/>
    </xf>
    <xf numFmtId="0" fontId="2" fillId="0" borderId="25" xfId="0" quotePrefix="1" applyFont="1" applyBorder="1" applyAlignment="1">
      <alignment horizontal="center" vertical="center"/>
    </xf>
    <xf numFmtId="0" fontId="2" fillId="0" borderId="27" xfId="0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569669</xdr:colOff>
      <xdr:row>26</xdr:row>
      <xdr:rowOff>0</xdr:rowOff>
    </xdr:from>
    <xdr:to>
      <xdr:col>1</xdr:col>
      <xdr:colOff>935281</xdr:colOff>
      <xdr:row>26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FAE4020-E618-4C23-8362-63B0526B435E}"/>
            </a:ext>
          </a:extLst>
        </xdr:cNvPr>
        <xdr:cNvCxnSpPr/>
      </xdr:nvCxnSpPr>
      <xdr:spPr>
        <a:xfrm>
          <a:off x="569669" y="8896350"/>
          <a:ext cx="153401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546247</xdr:colOff>
      <xdr:row>26</xdr:row>
      <xdr:rowOff>0</xdr:rowOff>
    </xdr:from>
    <xdr:to>
      <xdr:col>10</xdr:col>
      <xdr:colOff>789884</xdr:colOff>
      <xdr:row>26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B9C14D4-43FC-4B8B-8BAB-D2D340ACEDD0}"/>
            </a:ext>
          </a:extLst>
        </xdr:cNvPr>
        <xdr:cNvCxnSpPr/>
      </xdr:nvCxnSpPr>
      <xdr:spPr>
        <a:xfrm>
          <a:off x="10191897" y="8972550"/>
          <a:ext cx="148823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349230</xdr:colOff>
      <xdr:row>26</xdr:row>
      <xdr:rowOff>0</xdr:rowOff>
    </xdr:from>
    <xdr:to>
      <xdr:col>7</xdr:col>
      <xdr:colOff>776075</xdr:colOff>
      <xdr:row>26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AF90468-E720-43D5-AAC0-6FA9BB8D59FC}"/>
            </a:ext>
          </a:extLst>
        </xdr:cNvPr>
        <xdr:cNvCxnSpPr/>
      </xdr:nvCxnSpPr>
      <xdr:spPr>
        <a:xfrm>
          <a:off x="6717373" y="9234714"/>
          <a:ext cx="164241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1070419</xdr:colOff>
      <xdr:row>26</xdr:row>
      <xdr:rowOff>3</xdr:rowOff>
    </xdr:from>
    <xdr:to>
      <xdr:col>12</xdr:col>
      <xdr:colOff>969342</xdr:colOff>
      <xdr:row>26</xdr:row>
      <xdr:rowOff>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969960E-56D2-4772-9B72-79E09791C76D}"/>
            </a:ext>
          </a:extLst>
        </xdr:cNvPr>
        <xdr:cNvCxnSpPr/>
      </xdr:nvCxnSpPr>
      <xdr:spPr>
        <a:xfrm>
          <a:off x="13434776" y="10060217"/>
          <a:ext cx="14864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63501</xdr:colOff>
      <xdr:row>0</xdr:row>
      <xdr:rowOff>54429</xdr:rowOff>
    </xdr:from>
    <xdr:to>
      <xdr:col>1</xdr:col>
      <xdr:colOff>117929</xdr:colOff>
      <xdr:row>0</xdr:row>
      <xdr:rowOff>560317</xdr:rowOff>
    </xdr:to>
    <xdr:pic>
      <xdr:nvPicPr>
        <xdr:cNvPr id="7" name="Picture 6" descr="https://www.summitcommunications.net/images/logo.png">
          <a:extLst>
            <a:ext uri="{FF2B5EF4-FFF2-40B4-BE49-F238E27FC236}">
              <a16:creationId xmlns:a16="http://schemas.microsoft.com/office/drawing/2014/main" id="{048EB0DB-4B5B-4B92-AC45-4DC11E9AE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1" y="54429"/>
          <a:ext cx="1224642" cy="50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802806</xdr:colOff>
      <xdr:row>27</xdr:row>
      <xdr:rowOff>0</xdr:rowOff>
    </xdr:from>
    <xdr:to>
      <xdr:col>1</xdr:col>
      <xdr:colOff>1037026</xdr:colOff>
      <xdr:row>27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C332F13-DBDB-4710-BF59-A0FBE299BCF7}"/>
            </a:ext>
          </a:extLst>
        </xdr:cNvPr>
        <xdr:cNvCxnSpPr/>
      </xdr:nvCxnSpPr>
      <xdr:spPr>
        <a:xfrm>
          <a:off x="802806" y="10196286"/>
          <a:ext cx="140443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546247</xdr:colOff>
      <xdr:row>27</xdr:row>
      <xdr:rowOff>0</xdr:rowOff>
    </xdr:from>
    <xdr:to>
      <xdr:col>10</xdr:col>
      <xdr:colOff>789884</xdr:colOff>
      <xdr:row>27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FE90CC3-3D18-43B0-939D-1F7F9DD3F6AF}"/>
            </a:ext>
          </a:extLst>
        </xdr:cNvPr>
        <xdr:cNvCxnSpPr/>
      </xdr:nvCxnSpPr>
      <xdr:spPr>
        <a:xfrm>
          <a:off x="9953318" y="7765143"/>
          <a:ext cx="14864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875376</xdr:colOff>
      <xdr:row>27</xdr:row>
      <xdr:rowOff>0</xdr:rowOff>
    </xdr:from>
    <xdr:to>
      <xdr:col>7</xdr:col>
      <xdr:colOff>277149</xdr:colOff>
      <xdr:row>27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3226422-C68E-4B63-BD30-CB019CC6204B}"/>
            </a:ext>
          </a:extLst>
        </xdr:cNvPr>
        <xdr:cNvCxnSpPr/>
      </xdr:nvCxnSpPr>
      <xdr:spPr>
        <a:xfrm>
          <a:off x="6218447" y="9833429"/>
          <a:ext cx="164241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780138</xdr:colOff>
      <xdr:row>27</xdr:row>
      <xdr:rowOff>3</xdr:rowOff>
    </xdr:from>
    <xdr:to>
      <xdr:col>12</xdr:col>
      <xdr:colOff>679061</xdr:colOff>
      <xdr:row>27</xdr:row>
      <xdr:rowOff>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D5039F0-0E6B-43A8-BCC4-EED70009FFD1}"/>
            </a:ext>
          </a:extLst>
        </xdr:cNvPr>
        <xdr:cNvCxnSpPr/>
      </xdr:nvCxnSpPr>
      <xdr:spPr>
        <a:xfrm>
          <a:off x="12845138" y="7765146"/>
          <a:ext cx="14864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9071</xdr:colOff>
      <xdr:row>0</xdr:row>
      <xdr:rowOff>0</xdr:rowOff>
    </xdr:from>
    <xdr:to>
      <xdr:col>0</xdr:col>
      <xdr:colOff>1097642</xdr:colOff>
      <xdr:row>1</xdr:row>
      <xdr:rowOff>14250</xdr:rowOff>
    </xdr:to>
    <xdr:pic>
      <xdr:nvPicPr>
        <xdr:cNvPr id="7" name="Picture 6" descr="https://www.summitcommunications.net/images/logo.png">
          <a:extLst>
            <a:ext uri="{FF2B5EF4-FFF2-40B4-BE49-F238E27FC236}">
              <a16:creationId xmlns:a16="http://schemas.microsoft.com/office/drawing/2014/main" id="{D51B4F11-906D-4A83-8D50-940601793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1" y="0"/>
          <a:ext cx="1088571" cy="449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1151458</xdr:colOff>
      <xdr:row>30</xdr:row>
      <xdr:rowOff>0</xdr:rowOff>
    </xdr:from>
    <xdr:to>
      <xdr:col>1</xdr:col>
      <xdr:colOff>1141933</xdr:colOff>
      <xdr:row>30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BBA05EC-14F1-435E-A59E-4F2379B318FA}"/>
            </a:ext>
          </a:extLst>
        </xdr:cNvPr>
        <xdr:cNvCxnSpPr/>
      </xdr:nvCxnSpPr>
      <xdr:spPr>
        <a:xfrm>
          <a:off x="1151458" y="10083800"/>
          <a:ext cx="19335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424491</xdr:colOff>
      <xdr:row>29</xdr:row>
      <xdr:rowOff>1394108</xdr:rowOff>
    </xdr:from>
    <xdr:to>
      <xdr:col>10</xdr:col>
      <xdr:colOff>1184705</xdr:colOff>
      <xdr:row>29</xdr:row>
      <xdr:rowOff>1394108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363295A-049E-40AD-8E12-9102D84AA167}"/>
            </a:ext>
          </a:extLst>
        </xdr:cNvPr>
        <xdr:cNvCxnSpPr/>
      </xdr:nvCxnSpPr>
      <xdr:spPr>
        <a:xfrm>
          <a:off x="12946691" y="12176408"/>
          <a:ext cx="22334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720799</xdr:colOff>
      <xdr:row>30</xdr:row>
      <xdr:rowOff>0</xdr:rowOff>
    </xdr:from>
    <xdr:to>
      <xdr:col>5</xdr:col>
      <xdr:colOff>1070190</xdr:colOff>
      <xdr:row>30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81A6E83-B136-4AF8-A324-4348B4675A65}"/>
            </a:ext>
          </a:extLst>
        </xdr:cNvPr>
        <xdr:cNvCxnSpPr/>
      </xdr:nvCxnSpPr>
      <xdr:spPr>
        <a:xfrm>
          <a:off x="7083499" y="10083800"/>
          <a:ext cx="157494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50513</xdr:colOff>
      <xdr:row>29</xdr:row>
      <xdr:rowOff>1378673</xdr:rowOff>
    </xdr:from>
    <xdr:to>
      <xdr:col>15</xdr:col>
      <xdr:colOff>154657</xdr:colOff>
      <xdr:row>29</xdr:row>
      <xdr:rowOff>1378673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57AB6D9-B6AD-4EEE-A155-DDF8391FF4E1}"/>
            </a:ext>
          </a:extLst>
        </xdr:cNvPr>
        <xdr:cNvCxnSpPr/>
      </xdr:nvCxnSpPr>
      <xdr:spPr>
        <a:xfrm>
          <a:off x="18935413" y="12160973"/>
          <a:ext cx="1831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1369785</xdr:colOff>
      <xdr:row>35</xdr:row>
      <xdr:rowOff>3619</xdr:rowOff>
    </xdr:from>
    <xdr:to>
      <xdr:col>7</xdr:col>
      <xdr:colOff>1624273</xdr:colOff>
      <xdr:row>35</xdr:row>
      <xdr:rowOff>3619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0DCC427-9D92-41FB-AD67-F477C4BDF3CB}"/>
            </a:ext>
          </a:extLst>
        </xdr:cNvPr>
        <xdr:cNvCxnSpPr/>
      </xdr:nvCxnSpPr>
      <xdr:spPr>
        <a:xfrm>
          <a:off x="10329635" y="12055919"/>
          <a:ext cx="194358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105833</xdr:colOff>
      <xdr:row>0</xdr:row>
      <xdr:rowOff>52916</xdr:rowOff>
    </xdr:from>
    <xdr:to>
      <xdr:col>0</xdr:col>
      <xdr:colOff>1322917</xdr:colOff>
      <xdr:row>0</xdr:row>
      <xdr:rowOff>555683</xdr:rowOff>
    </xdr:to>
    <xdr:pic>
      <xdr:nvPicPr>
        <xdr:cNvPr id="7" name="Picture 6" descr="https://www.summitcommunications.net/images/logo.png">
          <a:extLst>
            <a:ext uri="{FF2B5EF4-FFF2-40B4-BE49-F238E27FC236}">
              <a16:creationId xmlns:a16="http://schemas.microsoft.com/office/drawing/2014/main" id="{E07FC8E5-B9C8-4B76-851C-B2C935872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52916"/>
          <a:ext cx="1217084" cy="502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0</xdr:col>
      <xdr:colOff>1047750</xdr:colOff>
      <xdr:row>22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7A47C94-CE0D-4BFE-A034-CDFBBF2B23C4}"/>
            </a:ext>
          </a:extLst>
        </xdr:cNvPr>
        <xdr:cNvCxnSpPr/>
      </xdr:nvCxnSpPr>
      <xdr:spPr>
        <a:xfrm>
          <a:off x="0" y="8851900"/>
          <a:ext cx="1047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1151458</xdr:colOff>
      <xdr:row>22</xdr:row>
      <xdr:rowOff>0</xdr:rowOff>
    </xdr:from>
    <xdr:to>
      <xdr:col>1</xdr:col>
      <xdr:colOff>1141933</xdr:colOff>
      <xdr:row>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84EE50B-D00C-4900-8FAC-9985513ACB29}"/>
            </a:ext>
          </a:extLst>
        </xdr:cNvPr>
        <xdr:cNvCxnSpPr/>
      </xdr:nvCxnSpPr>
      <xdr:spPr>
        <a:xfrm>
          <a:off x="1151458" y="8851900"/>
          <a:ext cx="1539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303564</xdr:colOff>
      <xdr:row>22</xdr:row>
      <xdr:rowOff>5</xdr:rowOff>
    </xdr:from>
    <xdr:to>
      <xdr:col>10</xdr:col>
      <xdr:colOff>1046187</xdr:colOff>
      <xdr:row>22</xdr:row>
      <xdr:rowOff>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C2592F6-D87E-491F-967A-A9D5F45D5B79}"/>
            </a:ext>
          </a:extLst>
        </xdr:cNvPr>
        <xdr:cNvCxnSpPr/>
      </xdr:nvCxnSpPr>
      <xdr:spPr>
        <a:xfrm>
          <a:off x="9892064" y="8844648"/>
          <a:ext cx="16497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933207</xdr:colOff>
      <xdr:row>21</xdr:row>
      <xdr:rowOff>1351643</xdr:rowOff>
    </xdr:from>
    <xdr:to>
      <xdr:col>7</xdr:col>
      <xdr:colOff>162623</xdr:colOff>
      <xdr:row>21</xdr:row>
      <xdr:rowOff>1351643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72E4CCE-B0B0-471C-9495-09CC10FE7F61}"/>
            </a:ext>
          </a:extLst>
        </xdr:cNvPr>
        <xdr:cNvCxnSpPr/>
      </xdr:nvCxnSpPr>
      <xdr:spPr>
        <a:xfrm>
          <a:off x="6419607" y="8850993"/>
          <a:ext cx="15852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690572</xdr:colOff>
      <xdr:row>22</xdr:row>
      <xdr:rowOff>1140</xdr:rowOff>
    </xdr:from>
    <xdr:to>
      <xdr:col>13</xdr:col>
      <xdr:colOff>1104916</xdr:colOff>
      <xdr:row>22</xdr:row>
      <xdr:rowOff>1140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304213A-48B4-4BF1-B62C-194AD20AF971}"/>
            </a:ext>
          </a:extLst>
        </xdr:cNvPr>
        <xdr:cNvCxnSpPr/>
      </xdr:nvCxnSpPr>
      <xdr:spPr>
        <a:xfrm>
          <a:off x="13708072" y="8853040"/>
          <a:ext cx="13795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1076999</xdr:colOff>
      <xdr:row>29</xdr:row>
      <xdr:rowOff>172353</xdr:rowOff>
    </xdr:from>
    <xdr:to>
      <xdr:col>7</xdr:col>
      <xdr:colOff>1663060</xdr:colOff>
      <xdr:row>29</xdr:row>
      <xdr:rowOff>172353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79E5388-295E-4AB4-9679-38BFBDFA5972}"/>
            </a:ext>
          </a:extLst>
        </xdr:cNvPr>
        <xdr:cNvCxnSpPr/>
      </xdr:nvCxnSpPr>
      <xdr:spPr>
        <a:xfrm>
          <a:off x="7592099" y="10795903"/>
          <a:ext cx="191321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90714</xdr:colOff>
      <xdr:row>0</xdr:row>
      <xdr:rowOff>72571</xdr:rowOff>
    </xdr:from>
    <xdr:to>
      <xdr:col>0</xdr:col>
      <xdr:colOff>1179285</xdr:colOff>
      <xdr:row>0</xdr:row>
      <xdr:rowOff>522250</xdr:rowOff>
    </xdr:to>
    <xdr:pic>
      <xdr:nvPicPr>
        <xdr:cNvPr id="8" name="Picture 7" descr="https://www.summitcommunications.net/images/logo.png">
          <a:extLst>
            <a:ext uri="{FF2B5EF4-FFF2-40B4-BE49-F238E27FC236}">
              <a16:creationId xmlns:a16="http://schemas.microsoft.com/office/drawing/2014/main" id="{91BB1FB2-6C66-46CF-B8EF-E9F43E8E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14" y="72571"/>
          <a:ext cx="1088571" cy="449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hi.afroze\Dropbox\SCL%20Admin%20updated\RUHI%20ELECTRICITY%20BILL%20DETAILS%20(CURRENT)\ELECTRICITY%20BILL%20DEC%20&amp;%20JAN-2020\Advance%20Requisition%20DEC%20&amp;%20JAN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2"/>
      <sheetName val="Sheet11"/>
      <sheetName val="SCL ALL"/>
      <sheetName val="INFO ALL"/>
      <sheetName val="Jan-001"/>
      <sheetName val="Jan-002"/>
      <sheetName val="Jan-03"/>
      <sheetName val="Jan-04"/>
      <sheetName val="Jan-05"/>
      <sheetName val="Jan-06"/>
      <sheetName val="Jan-07"/>
      <sheetName val="Jan-08"/>
      <sheetName val="Jan-09"/>
      <sheetName val="Jan-10"/>
      <sheetName val="Jan-11"/>
      <sheetName val="Sheet24"/>
      <sheetName val="DEC-04"/>
      <sheetName val="DEC-05"/>
      <sheetName val="DEC-006"/>
      <sheetName val="DEC-07"/>
      <sheetName val="DEC-08"/>
      <sheetName val="DEC-09"/>
      <sheetName val="DEC-10"/>
      <sheetName val="Sheet23"/>
      <sheetName val="NOV-004"/>
      <sheetName val="NOV-005"/>
      <sheetName val="NOV-006"/>
      <sheetName val="OCT-004"/>
      <sheetName val="OCT-006"/>
      <sheetName val="OCT-007"/>
      <sheetName val="OCT-009"/>
      <sheetName val="OCT-010"/>
      <sheetName val="Sheet 21"/>
      <sheetName val="Sheet22"/>
      <sheetName val="SEP-006"/>
      <sheetName val="SEP-007"/>
      <sheetName val="SEP-009"/>
      <sheetName val="Sheet19"/>
      <sheetName val="AUG-005"/>
      <sheetName val="AUG-007"/>
      <sheetName val="AUG-006"/>
      <sheetName val="AUG-009"/>
      <sheetName val="AUG-010"/>
      <sheetName val="AUG-011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1</v>
          </cell>
        </row>
        <row r="23">
          <cell r="D23" t="str">
            <v>0503</v>
          </cell>
          <cell r="G23" t="str">
            <v>40130002156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2927-E8B8-4AA5-9813-4C2BECDC1632}">
  <sheetPr>
    <tabColor rgb="FFFFFF00"/>
  </sheetPr>
  <dimension ref="A1:U36"/>
  <sheetViews>
    <sheetView view="pageBreakPreview" topLeftCell="A11" zoomScale="70" zoomScaleNormal="100" zoomScaleSheetLayoutView="70" workbookViewId="0">
      <selection activeCell="E16" sqref="E16"/>
    </sheetView>
  </sheetViews>
  <sheetFormatPr defaultRowHeight="14.5" x14ac:dyDescent="0.35"/>
  <cols>
    <col min="1" max="1" width="16.7265625" style="25" customWidth="1"/>
    <col min="2" max="2" width="22.1796875" style="25" bestFit="1" customWidth="1"/>
    <col min="3" max="3" width="15" style="25" bestFit="1" customWidth="1"/>
    <col min="4" max="4" width="10.7265625" style="25" customWidth="1"/>
    <col min="5" max="5" width="11.7265625" style="25" bestFit="1" customWidth="1"/>
    <col min="6" max="6" width="14.7265625" style="25" bestFit="1" customWidth="1"/>
    <col min="7" max="7" width="17.453125" style="25" customWidth="1"/>
    <col min="8" max="8" width="18" style="25" customWidth="1"/>
    <col min="9" max="9" width="12.26953125" style="25" bestFit="1" customWidth="1"/>
    <col min="10" max="10" width="17.81640625" style="25" customWidth="1"/>
    <col min="11" max="11" width="20.26953125" style="25" customWidth="1"/>
    <col min="12" max="12" width="22.7265625" style="22" customWidth="1"/>
    <col min="13" max="13" width="21.81640625" style="22" customWidth="1"/>
    <col min="14" max="14" width="7.90625" style="25" customWidth="1"/>
    <col min="15" max="15" width="13.7265625" style="25" hidden="1" customWidth="1"/>
    <col min="16" max="16" width="1.08984375" style="25" hidden="1" customWidth="1"/>
    <col min="17" max="17" width="9" style="25" hidden="1" customWidth="1"/>
    <col min="18" max="18" width="10" style="25" hidden="1" customWidth="1"/>
    <col min="19" max="19" width="13.54296875" style="25" hidden="1" customWidth="1"/>
    <col min="20" max="20" width="9.1796875" style="25" hidden="1" customWidth="1"/>
    <col min="21" max="21" width="13.54296875" style="25" hidden="1" customWidth="1"/>
    <col min="22" max="16384" width="8.7265625" style="25"/>
  </cols>
  <sheetData>
    <row r="1" spans="1:21" ht="46.5" customHeight="1" x14ac:dyDescent="0.35">
      <c r="A1" s="223" t="s">
        <v>88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</row>
    <row r="2" spans="1:21" ht="17.5" x14ac:dyDescent="0.35">
      <c r="A2" s="26" t="s">
        <v>0</v>
      </c>
      <c r="B2" s="224" t="s">
        <v>83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6"/>
    </row>
    <row r="3" spans="1:21" x14ac:dyDescent="0.35">
      <c r="A3" s="26" t="s">
        <v>1</v>
      </c>
      <c r="B3" s="227" t="s">
        <v>197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9"/>
    </row>
    <row r="4" spans="1:21" x14ac:dyDescent="0.35">
      <c r="A4" s="26" t="s">
        <v>2</v>
      </c>
      <c r="B4" s="230" t="s">
        <v>189</v>
      </c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2"/>
    </row>
    <row r="5" spans="1:21" x14ac:dyDescent="0.35">
      <c r="A5" s="26" t="s">
        <v>48</v>
      </c>
      <c r="B5" s="233">
        <v>46165</v>
      </c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5"/>
    </row>
    <row r="6" spans="1:21" x14ac:dyDescent="0.35">
      <c r="A6" s="26" t="s">
        <v>3</v>
      </c>
      <c r="B6" s="236" t="s">
        <v>4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8"/>
    </row>
    <row r="7" spans="1:21" x14ac:dyDescent="0.35">
      <c r="A7" s="26" t="s">
        <v>5</v>
      </c>
      <c r="B7" s="230" t="s">
        <v>6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2"/>
    </row>
    <row r="8" spans="1:21" x14ac:dyDescent="0.35">
      <c r="A8" s="26" t="s">
        <v>7</v>
      </c>
      <c r="B8" s="239" t="s">
        <v>103</v>
      </c>
      <c r="C8" s="239"/>
      <c r="D8" s="239"/>
      <c r="E8" s="239"/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</row>
    <row r="9" spans="1:21" x14ac:dyDescent="0.35">
      <c r="A9" s="26" t="s">
        <v>8</v>
      </c>
      <c r="B9" s="240">
        <f>I18</f>
        <v>200000</v>
      </c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2"/>
    </row>
    <row r="10" spans="1:21" ht="28" x14ac:dyDescent="0.35">
      <c r="A10" s="1" t="s">
        <v>94</v>
      </c>
      <c r="B10" s="233">
        <v>46177</v>
      </c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5"/>
    </row>
    <row r="11" spans="1:21" ht="27.5" customHeight="1" x14ac:dyDescent="0.35">
      <c r="A11" s="1" t="s">
        <v>10</v>
      </c>
      <c r="B11" s="233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5"/>
    </row>
    <row r="12" spans="1:21" ht="25.5" customHeight="1" x14ac:dyDescent="0.35">
      <c r="A12" s="221" t="s">
        <v>11</v>
      </c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</row>
    <row r="13" spans="1:21" ht="60.5" customHeight="1" x14ac:dyDescent="0.35">
      <c r="A13" s="27" t="s">
        <v>12</v>
      </c>
      <c r="B13" s="28" t="s">
        <v>13</v>
      </c>
      <c r="C13" s="28" t="s">
        <v>14</v>
      </c>
      <c r="D13" s="28" t="s">
        <v>15</v>
      </c>
      <c r="E13" s="28" t="s">
        <v>16</v>
      </c>
      <c r="F13" s="29" t="s">
        <v>17</v>
      </c>
      <c r="G13" s="29" t="s">
        <v>65</v>
      </c>
      <c r="H13" s="29" t="s">
        <v>69</v>
      </c>
      <c r="I13" s="29" t="s">
        <v>18</v>
      </c>
      <c r="J13" s="29" t="s">
        <v>186</v>
      </c>
      <c r="K13" s="29" t="s">
        <v>19</v>
      </c>
      <c r="L13" s="29" t="s">
        <v>81</v>
      </c>
      <c r="M13" s="29" t="s">
        <v>82</v>
      </c>
      <c r="N13" s="29" t="s">
        <v>20</v>
      </c>
      <c r="O13" s="2" t="s">
        <v>42</v>
      </c>
      <c r="P13" s="27" t="s">
        <v>21</v>
      </c>
      <c r="Q13" s="218" t="s">
        <v>22</v>
      </c>
      <c r="R13" s="219"/>
      <c r="S13" s="29" t="s">
        <v>23</v>
      </c>
      <c r="T13" s="218" t="s">
        <v>24</v>
      </c>
      <c r="U13" s="220"/>
    </row>
    <row r="14" spans="1:21" s="50" customFormat="1" ht="56" customHeight="1" x14ac:dyDescent="0.35">
      <c r="A14" s="34">
        <v>1</v>
      </c>
      <c r="B14" s="55" t="s">
        <v>89</v>
      </c>
      <c r="C14" s="3" t="s">
        <v>50</v>
      </c>
      <c r="D14" s="36" t="s">
        <v>90</v>
      </c>
      <c r="E14" s="34" t="s">
        <v>91</v>
      </c>
      <c r="F14" s="3" t="s">
        <v>92</v>
      </c>
      <c r="G14" s="46" t="s">
        <v>70</v>
      </c>
      <c r="H14" s="6" t="s">
        <v>93</v>
      </c>
      <c r="I14" s="37">
        <v>50000</v>
      </c>
      <c r="J14" s="213">
        <v>70000</v>
      </c>
      <c r="K14" s="207" t="s">
        <v>185</v>
      </c>
      <c r="L14" s="210">
        <v>46153</v>
      </c>
      <c r="M14" s="207" t="s">
        <v>196</v>
      </c>
      <c r="N14" s="4" t="s">
        <v>40</v>
      </c>
      <c r="O14" s="37">
        <v>50000</v>
      </c>
      <c r="P14" s="49" t="s">
        <v>52</v>
      </c>
      <c r="Q14" s="193" t="s">
        <v>55</v>
      </c>
      <c r="R14" s="194"/>
      <c r="S14" s="57" t="s">
        <v>45</v>
      </c>
      <c r="T14" s="216" t="s">
        <v>54</v>
      </c>
      <c r="U14" s="216"/>
    </row>
    <row r="15" spans="1:21" s="50" customFormat="1" ht="56" customHeight="1" x14ac:dyDescent="0.35">
      <c r="A15" s="34">
        <v>2</v>
      </c>
      <c r="B15" s="55" t="s">
        <v>89</v>
      </c>
      <c r="C15" s="3" t="s">
        <v>50</v>
      </c>
      <c r="D15" s="36" t="s">
        <v>90</v>
      </c>
      <c r="E15" s="34" t="s">
        <v>91</v>
      </c>
      <c r="F15" s="3" t="s">
        <v>92</v>
      </c>
      <c r="G15" s="46" t="s">
        <v>70</v>
      </c>
      <c r="H15" s="6" t="s">
        <v>93</v>
      </c>
      <c r="I15" s="37">
        <v>50000</v>
      </c>
      <c r="J15" s="214"/>
      <c r="K15" s="208"/>
      <c r="L15" s="211"/>
      <c r="M15" s="208"/>
      <c r="N15" s="4" t="s">
        <v>40</v>
      </c>
      <c r="O15" s="37">
        <v>50000</v>
      </c>
      <c r="P15" s="49" t="s">
        <v>52</v>
      </c>
      <c r="Q15" s="193" t="s">
        <v>55</v>
      </c>
      <c r="R15" s="194"/>
      <c r="S15" s="57" t="s">
        <v>45</v>
      </c>
      <c r="T15" s="216" t="s">
        <v>54</v>
      </c>
      <c r="U15" s="216"/>
    </row>
    <row r="16" spans="1:21" s="50" customFormat="1" ht="56" customHeight="1" x14ac:dyDescent="0.35">
      <c r="A16" s="34">
        <v>3</v>
      </c>
      <c r="B16" s="55" t="s">
        <v>89</v>
      </c>
      <c r="C16" s="3" t="s">
        <v>50</v>
      </c>
      <c r="D16" s="36" t="s">
        <v>90</v>
      </c>
      <c r="E16" s="34" t="s">
        <v>91</v>
      </c>
      <c r="F16" s="3" t="s">
        <v>92</v>
      </c>
      <c r="G16" s="46" t="s">
        <v>70</v>
      </c>
      <c r="H16" s="6" t="s">
        <v>93</v>
      </c>
      <c r="I16" s="37">
        <v>50000</v>
      </c>
      <c r="J16" s="214"/>
      <c r="K16" s="208"/>
      <c r="L16" s="211"/>
      <c r="M16" s="208"/>
      <c r="N16" s="4" t="s">
        <v>40</v>
      </c>
      <c r="O16" s="37">
        <v>50000</v>
      </c>
      <c r="P16" s="49" t="s">
        <v>52</v>
      </c>
      <c r="Q16" s="193" t="s">
        <v>55</v>
      </c>
      <c r="R16" s="194"/>
      <c r="S16" s="57" t="s">
        <v>45</v>
      </c>
      <c r="T16" s="216" t="s">
        <v>54</v>
      </c>
      <c r="U16" s="216"/>
    </row>
    <row r="17" spans="1:21" s="50" customFormat="1" ht="56" customHeight="1" x14ac:dyDescent="0.35">
      <c r="A17" s="34">
        <v>4</v>
      </c>
      <c r="B17" s="55" t="s">
        <v>89</v>
      </c>
      <c r="C17" s="3" t="s">
        <v>50</v>
      </c>
      <c r="D17" s="36" t="s">
        <v>90</v>
      </c>
      <c r="E17" s="34" t="s">
        <v>91</v>
      </c>
      <c r="F17" s="3" t="s">
        <v>92</v>
      </c>
      <c r="G17" s="46" t="s">
        <v>70</v>
      </c>
      <c r="H17" s="6" t="s">
        <v>93</v>
      </c>
      <c r="I17" s="37">
        <v>50000</v>
      </c>
      <c r="J17" s="215"/>
      <c r="K17" s="209"/>
      <c r="L17" s="212"/>
      <c r="M17" s="209"/>
      <c r="N17" s="4" t="s">
        <v>40</v>
      </c>
      <c r="O17" s="37">
        <v>50000</v>
      </c>
      <c r="P17" s="49" t="s">
        <v>52</v>
      </c>
      <c r="Q17" s="193" t="s">
        <v>55</v>
      </c>
      <c r="R17" s="194"/>
      <c r="S17" s="57" t="s">
        <v>45</v>
      </c>
      <c r="T17" s="216" t="s">
        <v>54</v>
      </c>
      <c r="U17" s="216"/>
    </row>
    <row r="18" spans="1:21" ht="45" customHeight="1" x14ac:dyDescent="0.35">
      <c r="A18" s="205" t="s">
        <v>8</v>
      </c>
      <c r="B18" s="205"/>
      <c r="C18" s="205"/>
      <c r="D18" s="205"/>
      <c r="E18" s="205"/>
      <c r="F18" s="205"/>
      <c r="G18" s="205"/>
      <c r="H18" s="205"/>
      <c r="I18" s="51">
        <f>SUM(I14:I17)</f>
        <v>200000</v>
      </c>
      <c r="J18" s="7"/>
      <c r="K18" s="58"/>
      <c r="L18" s="20"/>
      <c r="M18" s="20"/>
      <c r="N18" s="8"/>
      <c r="O18" s="9"/>
      <c r="P18" s="10"/>
      <c r="Q18" s="11"/>
      <c r="R18" s="11"/>
      <c r="S18" s="12"/>
      <c r="T18" s="11"/>
      <c r="U18" s="11"/>
    </row>
    <row r="19" spans="1:21" ht="45" customHeight="1" x14ac:dyDescent="0.35">
      <c r="A19" s="13" t="s">
        <v>27</v>
      </c>
      <c r="B19" s="206" t="s">
        <v>198</v>
      </c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14"/>
      <c r="P19" s="53"/>
      <c r="Q19" s="30"/>
      <c r="R19" s="30"/>
      <c r="S19" s="15"/>
      <c r="T19" s="30"/>
      <c r="U19" s="30"/>
    </row>
    <row r="20" spans="1:21" ht="45" customHeight="1" thickBot="1" x14ac:dyDescent="0.4">
      <c r="A20" s="30"/>
      <c r="B20" s="30"/>
      <c r="C20" s="30"/>
      <c r="D20" s="30"/>
      <c r="E20" s="30"/>
      <c r="F20" s="30"/>
      <c r="G20" s="30"/>
      <c r="H20" s="30"/>
      <c r="I20" s="31"/>
      <c r="J20" s="31"/>
      <c r="K20" s="31"/>
      <c r="L20" s="21"/>
      <c r="M20" s="21"/>
      <c r="N20" s="30"/>
      <c r="O20" s="16"/>
      <c r="P20" s="53"/>
      <c r="Q20" s="30"/>
      <c r="R20" s="30"/>
      <c r="S20" s="15"/>
      <c r="T20" s="30"/>
      <c r="U20" s="30"/>
    </row>
    <row r="21" spans="1:21" ht="14.5" customHeight="1" x14ac:dyDescent="0.35">
      <c r="A21" s="196" t="s">
        <v>97</v>
      </c>
      <c r="B21" s="197"/>
      <c r="C21" s="197"/>
      <c r="D21" s="197"/>
      <c r="E21" s="197"/>
      <c r="F21" s="197"/>
      <c r="G21" s="198"/>
    </row>
    <row r="22" spans="1:21" x14ac:dyDescent="0.35">
      <c r="A22" s="199"/>
      <c r="B22" s="200"/>
      <c r="C22" s="200"/>
      <c r="D22" s="200"/>
      <c r="E22" s="200"/>
      <c r="F22" s="200"/>
      <c r="G22" s="201"/>
    </row>
    <row r="23" spans="1:21" ht="34.5" customHeight="1" thickBot="1" x14ac:dyDescent="0.4">
      <c r="A23" s="202"/>
      <c r="B23" s="203"/>
      <c r="C23" s="203"/>
      <c r="D23" s="203"/>
      <c r="E23" s="203"/>
      <c r="F23" s="203"/>
      <c r="G23" s="204"/>
    </row>
    <row r="25" spans="1:21" ht="67.5" customHeight="1" x14ac:dyDescent="0.35"/>
    <row r="26" spans="1:21" x14ac:dyDescent="0.35">
      <c r="A26" s="56"/>
      <c r="B26" s="195" t="s">
        <v>28</v>
      </c>
      <c r="C26" s="195"/>
      <c r="D26" s="195"/>
      <c r="E26" s="195" t="s">
        <v>29</v>
      </c>
      <c r="F26" s="195"/>
      <c r="G26" s="54"/>
      <c r="H26" s="195" t="s">
        <v>30</v>
      </c>
      <c r="I26" s="195"/>
      <c r="J26" s="33"/>
      <c r="K26" s="33"/>
      <c r="L26" s="45" t="s">
        <v>31</v>
      </c>
      <c r="M26" s="45"/>
      <c r="N26" s="45"/>
      <c r="O26" s="17"/>
      <c r="P26" s="17"/>
      <c r="Q26" s="23"/>
    </row>
    <row r="27" spans="1:21" x14ac:dyDescent="0.35">
      <c r="A27" s="190" t="s">
        <v>32</v>
      </c>
      <c r="B27" s="190"/>
      <c r="C27" s="18"/>
      <c r="D27" s="191"/>
      <c r="E27" s="191"/>
      <c r="F27" s="192" t="s">
        <v>33</v>
      </c>
      <c r="G27" s="192"/>
      <c r="H27" s="192"/>
      <c r="I27" s="192"/>
      <c r="J27" s="192" t="s">
        <v>34</v>
      </c>
      <c r="K27" s="192"/>
      <c r="L27" s="192" t="s">
        <v>47</v>
      </c>
      <c r="M27" s="192"/>
      <c r="N27" s="192"/>
      <c r="O27" s="192"/>
      <c r="P27" s="192"/>
      <c r="Q27" s="192"/>
    </row>
    <row r="28" spans="1:21" x14ac:dyDescent="0.35">
      <c r="A28" s="191" t="s">
        <v>6</v>
      </c>
      <c r="B28" s="191"/>
      <c r="C28" s="19"/>
      <c r="D28" s="217"/>
      <c r="E28" s="217"/>
      <c r="F28" s="191" t="s">
        <v>35</v>
      </c>
      <c r="G28" s="191"/>
      <c r="H28" s="191"/>
      <c r="I28" s="191"/>
      <c r="J28" s="191" t="s">
        <v>36</v>
      </c>
      <c r="K28" s="191"/>
      <c r="L28" s="191" t="s">
        <v>37</v>
      </c>
      <c r="M28" s="191"/>
      <c r="N28" s="191"/>
      <c r="O28" s="52"/>
      <c r="P28" s="19"/>
      <c r="Q28" s="19"/>
    </row>
    <row r="29" spans="1:21" x14ac:dyDescent="0.35">
      <c r="A29" s="217" t="s">
        <v>103</v>
      </c>
      <c r="B29" s="217"/>
      <c r="C29" s="31"/>
      <c r="D29" s="217"/>
      <c r="E29" s="217"/>
      <c r="F29" s="217" t="s">
        <v>46</v>
      </c>
      <c r="G29" s="217"/>
      <c r="H29" s="217"/>
      <c r="I29" s="217"/>
      <c r="J29" s="217" t="s">
        <v>104</v>
      </c>
      <c r="K29" s="217"/>
      <c r="L29" s="217" t="s">
        <v>38</v>
      </c>
      <c r="M29" s="217"/>
      <c r="N29" s="217"/>
      <c r="O29" s="217"/>
      <c r="P29" s="217"/>
      <c r="Q29" s="217"/>
    </row>
    <row r="30" spans="1:21" x14ac:dyDescent="0.35">
      <c r="A30" s="217" t="s">
        <v>39</v>
      </c>
      <c r="B30" s="217"/>
      <c r="C30" s="31"/>
      <c r="D30" s="31"/>
      <c r="E30" s="31"/>
      <c r="F30" s="217" t="s">
        <v>39</v>
      </c>
      <c r="G30" s="217"/>
      <c r="H30" s="217"/>
      <c r="I30" s="217"/>
      <c r="J30" s="217" t="s">
        <v>39</v>
      </c>
      <c r="K30" s="217"/>
      <c r="L30" s="31"/>
      <c r="M30" s="53"/>
      <c r="N30" s="31"/>
    </row>
    <row r="31" spans="1:21" x14ac:dyDescent="0.35">
      <c r="A31" s="59"/>
      <c r="B31" s="59"/>
      <c r="C31" s="31"/>
      <c r="D31" s="31"/>
      <c r="E31" s="31"/>
      <c r="F31" s="31"/>
      <c r="G31" s="31"/>
      <c r="H31" s="59"/>
      <c r="I31" s="59"/>
      <c r="J31" s="59"/>
      <c r="K31" s="59"/>
      <c r="L31" s="31"/>
      <c r="M31" s="59"/>
      <c r="N31" s="31"/>
    </row>
    <row r="32" spans="1:21" x14ac:dyDescent="0.35">
      <c r="A32" s="59"/>
      <c r="B32" s="59"/>
      <c r="C32" s="31"/>
      <c r="D32" s="31"/>
      <c r="E32" s="31"/>
      <c r="F32" s="31"/>
      <c r="G32" s="31"/>
      <c r="H32" s="59"/>
      <c r="I32" s="59"/>
      <c r="J32" s="59"/>
      <c r="K32" s="59"/>
      <c r="L32" s="31"/>
      <c r="M32" s="59"/>
      <c r="N32" s="31"/>
    </row>
    <row r="33" spans="1:14" x14ac:dyDescent="0.35">
      <c r="A33" s="59"/>
      <c r="B33" s="59"/>
      <c r="C33" s="31"/>
      <c r="D33" s="31"/>
      <c r="E33" s="31"/>
      <c r="F33" s="31"/>
      <c r="G33" s="31"/>
      <c r="H33" s="59"/>
      <c r="I33" s="59"/>
      <c r="J33" s="59"/>
      <c r="K33" s="59"/>
      <c r="L33" s="31"/>
      <c r="M33" s="59"/>
      <c r="N33" s="31"/>
    </row>
    <row r="34" spans="1:14" x14ac:dyDescent="0.35">
      <c r="A34" s="59"/>
      <c r="B34" s="59"/>
      <c r="C34" s="31"/>
      <c r="D34" s="31"/>
      <c r="E34" s="31"/>
      <c r="F34" s="31"/>
      <c r="G34" s="31"/>
      <c r="H34" s="59"/>
      <c r="I34" s="59"/>
      <c r="J34" s="59"/>
      <c r="K34" s="59"/>
      <c r="L34" s="31"/>
      <c r="M34" s="59"/>
      <c r="N34" s="31"/>
    </row>
    <row r="35" spans="1:14" x14ac:dyDescent="0.35">
      <c r="A35" s="59"/>
      <c r="B35" s="59"/>
      <c r="C35" s="31"/>
      <c r="D35" s="31"/>
      <c r="E35" s="31"/>
      <c r="F35" s="31"/>
      <c r="G35" s="31"/>
      <c r="H35" s="59"/>
      <c r="I35" s="59"/>
      <c r="J35" s="59"/>
      <c r="K35" s="59"/>
      <c r="L35" s="31"/>
      <c r="M35" s="59"/>
      <c r="N35" s="31"/>
    </row>
    <row r="36" spans="1:14" x14ac:dyDescent="0.35">
      <c r="A36" s="59"/>
      <c r="B36" s="59"/>
      <c r="C36" s="31"/>
      <c r="D36" s="31"/>
      <c r="E36" s="31"/>
      <c r="F36" s="31"/>
      <c r="G36" s="31"/>
      <c r="H36" s="59"/>
      <c r="I36" s="59"/>
      <c r="J36" s="59"/>
      <c r="K36" s="59"/>
      <c r="L36" s="31"/>
      <c r="M36" s="59"/>
      <c r="N36" s="31"/>
    </row>
  </sheetData>
  <autoFilter ref="A13:U19" xr:uid="{00000000-0009-0000-0000-000003000000}">
    <filterColumn colId="16" showButton="0"/>
    <filterColumn colId="19" showButton="0"/>
  </autoFilter>
  <mergeCells count="50">
    <mergeCell ref="A12:U12"/>
    <mergeCell ref="A1:U1"/>
    <mergeCell ref="B2:U2"/>
    <mergeCell ref="B3:U3"/>
    <mergeCell ref="B4:U4"/>
    <mergeCell ref="B5:U5"/>
    <mergeCell ref="B6:U6"/>
    <mergeCell ref="B7:U7"/>
    <mergeCell ref="B8:U8"/>
    <mergeCell ref="B9:U9"/>
    <mergeCell ref="B10:U10"/>
    <mergeCell ref="B11:U11"/>
    <mergeCell ref="Q13:R13"/>
    <mergeCell ref="Q16:R16"/>
    <mergeCell ref="T16:U16"/>
    <mergeCell ref="Q15:R15"/>
    <mergeCell ref="T15:U15"/>
    <mergeCell ref="Q14:R14"/>
    <mergeCell ref="T14:U14"/>
    <mergeCell ref="T13:U13"/>
    <mergeCell ref="T17:U17"/>
    <mergeCell ref="A30:B30"/>
    <mergeCell ref="J30:K30"/>
    <mergeCell ref="A29:B29"/>
    <mergeCell ref="D29:E29"/>
    <mergeCell ref="J29:K29"/>
    <mergeCell ref="F29:I29"/>
    <mergeCell ref="F30:I30"/>
    <mergeCell ref="L29:Q29"/>
    <mergeCell ref="L27:Q27"/>
    <mergeCell ref="A28:B28"/>
    <mergeCell ref="D28:E28"/>
    <mergeCell ref="J28:K28"/>
    <mergeCell ref="L28:N28"/>
    <mergeCell ref="J27:K27"/>
    <mergeCell ref="B26:D26"/>
    <mergeCell ref="A27:B27"/>
    <mergeCell ref="D27:E27"/>
    <mergeCell ref="F27:I27"/>
    <mergeCell ref="F28:I28"/>
    <mergeCell ref="Q17:R17"/>
    <mergeCell ref="E26:F26"/>
    <mergeCell ref="H26:I26"/>
    <mergeCell ref="A21:G23"/>
    <mergeCell ref="A18:H18"/>
    <mergeCell ref="B19:N19"/>
    <mergeCell ref="K14:K17"/>
    <mergeCell ref="M14:M17"/>
    <mergeCell ref="L14:L17"/>
    <mergeCell ref="J14:J17"/>
  </mergeCells>
  <pageMargins left="0.17" right="0.17" top="0.75" bottom="0.41" header="0.3" footer="0.3"/>
  <pageSetup paperSize="9"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E56F-5F56-4D4D-8514-1E45E7D869AE}">
  <sheetPr filterMode="1">
    <tabColor rgb="FFFFFF00"/>
  </sheetPr>
  <dimension ref="A1:V32"/>
  <sheetViews>
    <sheetView view="pageBreakPreview" topLeftCell="B1" zoomScale="70" zoomScaleNormal="100" zoomScaleSheetLayoutView="70" workbookViewId="0">
      <selection activeCell="L13" sqref="L13"/>
    </sheetView>
  </sheetViews>
  <sheetFormatPr defaultRowHeight="14.5" x14ac:dyDescent="0.35"/>
  <cols>
    <col min="1" max="1" width="16.7265625" style="25" customWidth="1"/>
    <col min="2" max="2" width="22.1796875" style="25" bestFit="1" customWidth="1"/>
    <col min="3" max="3" width="15" style="25" bestFit="1" customWidth="1"/>
    <col min="4" max="4" width="10.7265625" style="25" customWidth="1"/>
    <col min="5" max="5" width="11.7265625" style="25" bestFit="1" customWidth="1"/>
    <col min="6" max="6" width="14.7265625" style="25" bestFit="1" customWidth="1"/>
    <col min="7" max="7" width="17.453125" style="25" customWidth="1"/>
    <col min="8" max="8" width="18" style="25" customWidth="1"/>
    <col min="9" max="9" width="11.54296875" style="25" bestFit="1" customWidth="1"/>
    <col min="10" max="10" width="17.81640625" style="25" customWidth="1"/>
    <col min="11" max="11" width="20.26953125" style="25" customWidth="1"/>
    <col min="12" max="12" width="22.7265625" style="22" customWidth="1"/>
    <col min="13" max="13" width="18.81640625" style="22" customWidth="1"/>
    <col min="14" max="14" width="18.81640625" style="22" hidden="1" customWidth="1"/>
    <col min="15" max="15" width="15.36328125" style="25" customWidth="1"/>
    <col min="16" max="18" width="15.36328125" style="25" hidden="1" customWidth="1"/>
    <col min="19" max="22" width="5.7265625" style="25" hidden="1" customWidth="1"/>
    <col min="23" max="23" width="5.7265625" style="25" customWidth="1"/>
    <col min="24" max="16384" width="8.7265625" style="25"/>
  </cols>
  <sheetData>
    <row r="1" spans="1:22" ht="34.5" customHeight="1" x14ac:dyDescent="0.35">
      <c r="A1" s="253" t="s">
        <v>88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5"/>
      <c r="P1" s="77"/>
      <c r="Q1" s="77"/>
      <c r="R1" s="77"/>
      <c r="S1" s="77"/>
      <c r="T1" s="77"/>
      <c r="U1" s="77"/>
      <c r="V1" s="77"/>
    </row>
    <row r="2" spans="1:22" ht="17.5" x14ac:dyDescent="0.35">
      <c r="A2" s="26" t="s">
        <v>0</v>
      </c>
      <c r="B2" s="252" t="s">
        <v>113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6"/>
    </row>
    <row r="3" spans="1:22" x14ac:dyDescent="0.35">
      <c r="A3" s="26" t="s">
        <v>1</v>
      </c>
      <c r="B3" s="227" t="s">
        <v>188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9"/>
    </row>
    <row r="4" spans="1:22" x14ac:dyDescent="0.35">
      <c r="A4" s="26" t="s">
        <v>2</v>
      </c>
      <c r="B4" s="230" t="s">
        <v>189</v>
      </c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2"/>
    </row>
    <row r="5" spans="1:22" x14ac:dyDescent="0.35">
      <c r="A5" s="26" t="s">
        <v>48</v>
      </c>
      <c r="B5" s="233">
        <v>46164</v>
      </c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5"/>
    </row>
    <row r="6" spans="1:22" x14ac:dyDescent="0.35">
      <c r="A6" s="26" t="s">
        <v>3</v>
      </c>
      <c r="B6" s="236" t="s">
        <v>4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8"/>
    </row>
    <row r="7" spans="1:22" x14ac:dyDescent="0.35">
      <c r="A7" s="26" t="s">
        <v>5</v>
      </c>
      <c r="B7" s="230" t="s">
        <v>6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2"/>
    </row>
    <row r="8" spans="1:22" x14ac:dyDescent="0.35">
      <c r="A8" s="26" t="s">
        <v>7</v>
      </c>
      <c r="B8" s="239" t="s">
        <v>103</v>
      </c>
      <c r="C8" s="239"/>
      <c r="D8" s="239"/>
      <c r="E8" s="239"/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  <c r="V8" s="239"/>
    </row>
    <row r="9" spans="1:22" x14ac:dyDescent="0.35">
      <c r="A9" s="26" t="s">
        <v>8</v>
      </c>
      <c r="B9" s="240">
        <f>I21</f>
        <v>88000</v>
      </c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2"/>
    </row>
    <row r="10" spans="1:22" ht="28" x14ac:dyDescent="0.35">
      <c r="A10" s="1" t="s">
        <v>9</v>
      </c>
      <c r="B10" s="233">
        <v>46176</v>
      </c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5"/>
    </row>
    <row r="11" spans="1:22" ht="27.5" customHeight="1" x14ac:dyDescent="0.35">
      <c r="A11" s="1" t="s">
        <v>10</v>
      </c>
      <c r="B11" s="233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5"/>
    </row>
    <row r="12" spans="1:22" ht="17.5" x14ac:dyDescent="0.35">
      <c r="A12" s="221" t="s">
        <v>11</v>
      </c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</row>
    <row r="13" spans="1:22" ht="60.5" customHeight="1" x14ac:dyDescent="0.35">
      <c r="A13" s="27" t="s">
        <v>12</v>
      </c>
      <c r="B13" s="28" t="s">
        <v>13</v>
      </c>
      <c r="C13" s="28" t="s">
        <v>14</v>
      </c>
      <c r="D13" s="28" t="s">
        <v>15</v>
      </c>
      <c r="E13" s="28" t="s">
        <v>16</v>
      </c>
      <c r="F13" s="29" t="s">
        <v>17</v>
      </c>
      <c r="G13" s="29" t="s">
        <v>65</v>
      </c>
      <c r="H13" s="29" t="s">
        <v>69</v>
      </c>
      <c r="I13" s="29" t="s">
        <v>18</v>
      </c>
      <c r="J13" s="29" t="s">
        <v>191</v>
      </c>
      <c r="K13" s="29" t="s">
        <v>19</v>
      </c>
      <c r="L13" s="29" t="s">
        <v>81</v>
      </c>
      <c r="M13" s="29" t="s">
        <v>82</v>
      </c>
      <c r="N13" s="29" t="s">
        <v>192</v>
      </c>
      <c r="O13" s="29" t="s">
        <v>20</v>
      </c>
      <c r="P13" s="2" t="s">
        <v>42</v>
      </c>
      <c r="Q13" s="27" t="s">
        <v>21</v>
      </c>
      <c r="R13" s="218" t="s">
        <v>22</v>
      </c>
      <c r="S13" s="219"/>
      <c r="T13" s="29" t="s">
        <v>23</v>
      </c>
      <c r="U13" s="218" t="s">
        <v>24</v>
      </c>
      <c r="V13" s="220"/>
    </row>
    <row r="14" spans="1:22" s="50" customFormat="1" ht="45.5" customHeight="1" x14ac:dyDescent="0.35">
      <c r="A14" s="34">
        <v>1</v>
      </c>
      <c r="B14" s="55" t="s">
        <v>56</v>
      </c>
      <c r="C14" s="3" t="s">
        <v>50</v>
      </c>
      <c r="D14" s="36" t="s">
        <v>57</v>
      </c>
      <c r="E14" s="34" t="s">
        <v>25</v>
      </c>
      <c r="F14" s="3" t="s">
        <v>51</v>
      </c>
      <c r="G14" s="46" t="s">
        <v>66</v>
      </c>
      <c r="H14" s="6" t="s">
        <v>68</v>
      </c>
      <c r="I14" s="37">
        <v>25000</v>
      </c>
      <c r="J14" s="213">
        <v>44000</v>
      </c>
      <c r="K14" s="247" t="s">
        <v>190</v>
      </c>
      <c r="L14" s="248">
        <v>46153</v>
      </c>
      <c r="M14" s="213">
        <v>75944</v>
      </c>
      <c r="N14" s="213">
        <v>3000</v>
      </c>
      <c r="O14" s="4" t="s">
        <v>83</v>
      </c>
      <c r="P14" s="68">
        <v>50000</v>
      </c>
      <c r="Q14" s="70" t="s">
        <v>52</v>
      </c>
      <c r="R14" s="243" t="s">
        <v>55</v>
      </c>
      <c r="S14" s="244"/>
      <c r="T14" s="75" t="s">
        <v>45</v>
      </c>
      <c r="U14" s="245" t="s">
        <v>54</v>
      </c>
      <c r="V14" s="245"/>
    </row>
    <row r="15" spans="1:22" s="50" customFormat="1" ht="47.5" customHeight="1" x14ac:dyDescent="0.35">
      <c r="A15" s="34">
        <v>2</v>
      </c>
      <c r="B15" s="55" t="s">
        <v>56</v>
      </c>
      <c r="C15" s="3" t="s">
        <v>50</v>
      </c>
      <c r="D15" s="36" t="s">
        <v>57</v>
      </c>
      <c r="E15" s="34" t="s">
        <v>25</v>
      </c>
      <c r="F15" s="3" t="s">
        <v>51</v>
      </c>
      <c r="G15" s="46" t="s">
        <v>66</v>
      </c>
      <c r="H15" s="6" t="s">
        <v>68</v>
      </c>
      <c r="I15" s="37">
        <v>25000</v>
      </c>
      <c r="J15" s="215"/>
      <c r="K15" s="215"/>
      <c r="L15" s="212"/>
      <c r="M15" s="215"/>
      <c r="N15" s="215"/>
      <c r="O15" s="4" t="s">
        <v>83</v>
      </c>
      <c r="P15" s="68">
        <v>50000</v>
      </c>
      <c r="Q15" s="70" t="s">
        <v>52</v>
      </c>
      <c r="R15" s="243" t="s">
        <v>55</v>
      </c>
      <c r="S15" s="244"/>
      <c r="T15" s="71" t="s">
        <v>45</v>
      </c>
      <c r="U15" s="245" t="s">
        <v>54</v>
      </c>
      <c r="V15" s="245"/>
    </row>
    <row r="16" spans="1:22" s="50" customFormat="1" ht="47.5" customHeight="1" x14ac:dyDescent="0.35">
      <c r="A16" s="34">
        <v>3</v>
      </c>
      <c r="B16" s="55" t="s">
        <v>99</v>
      </c>
      <c r="C16" s="3" t="s">
        <v>50</v>
      </c>
      <c r="D16" s="36" t="s">
        <v>101</v>
      </c>
      <c r="E16" s="34" t="s">
        <v>25</v>
      </c>
      <c r="F16" s="3" t="s">
        <v>100</v>
      </c>
      <c r="G16" s="46" t="s">
        <v>66</v>
      </c>
      <c r="H16" s="6">
        <v>41400084</v>
      </c>
      <c r="I16" s="37">
        <v>10000</v>
      </c>
      <c r="J16" s="48">
        <v>12000</v>
      </c>
      <c r="K16" s="37">
        <v>20000</v>
      </c>
      <c r="L16" s="44">
        <v>46153</v>
      </c>
      <c r="M16" s="74" t="s">
        <v>102</v>
      </c>
      <c r="N16" s="74">
        <v>500</v>
      </c>
      <c r="O16" s="4" t="s">
        <v>83</v>
      </c>
      <c r="P16" s="37"/>
      <c r="Q16" s="49"/>
      <c r="R16" s="64"/>
      <c r="S16" s="65"/>
      <c r="T16" s="67"/>
      <c r="U16" s="66"/>
      <c r="V16" s="66"/>
    </row>
    <row r="17" spans="1:22" s="5" customFormat="1" ht="46" customHeight="1" x14ac:dyDescent="0.35">
      <c r="A17" s="34">
        <v>4</v>
      </c>
      <c r="B17" s="38" t="s">
        <v>59</v>
      </c>
      <c r="C17" s="3" t="s">
        <v>41</v>
      </c>
      <c r="D17" s="36" t="s">
        <v>58</v>
      </c>
      <c r="E17" s="34" t="s">
        <v>25</v>
      </c>
      <c r="F17" s="38" t="s">
        <v>41</v>
      </c>
      <c r="G17" s="76" t="s">
        <v>67</v>
      </c>
      <c r="H17" s="6" t="s">
        <v>87</v>
      </c>
      <c r="I17" s="37">
        <v>8000</v>
      </c>
      <c r="J17" s="73">
        <v>6000</v>
      </c>
      <c r="K17" s="37">
        <v>7000</v>
      </c>
      <c r="L17" s="44">
        <v>46157</v>
      </c>
      <c r="M17" s="74">
        <v>9176</v>
      </c>
      <c r="N17" s="74">
        <v>350</v>
      </c>
      <c r="O17" s="4" t="s">
        <v>40</v>
      </c>
      <c r="P17" s="69">
        <v>5000</v>
      </c>
      <c r="Q17" s="72" t="s">
        <v>44</v>
      </c>
      <c r="R17" s="251" t="s">
        <v>43</v>
      </c>
      <c r="S17" s="251"/>
      <c r="T17" s="71" t="s">
        <v>60</v>
      </c>
      <c r="U17" s="246" t="s">
        <v>61</v>
      </c>
      <c r="V17" s="246"/>
    </row>
    <row r="18" spans="1:22" s="50" customFormat="1" ht="43" hidden="1" customHeight="1" x14ac:dyDescent="0.35">
      <c r="A18" s="34">
        <v>5</v>
      </c>
      <c r="B18" s="38" t="s">
        <v>71</v>
      </c>
      <c r="C18" s="3" t="s">
        <v>72</v>
      </c>
      <c r="D18" s="36" t="s">
        <v>73</v>
      </c>
      <c r="E18" s="34" t="s">
        <v>75</v>
      </c>
      <c r="F18" s="38" t="s">
        <v>74</v>
      </c>
      <c r="G18" s="47" t="s">
        <v>77</v>
      </c>
      <c r="H18" s="6" t="s">
        <v>76</v>
      </c>
      <c r="I18" s="37">
        <v>0</v>
      </c>
      <c r="J18" s="48">
        <v>10000</v>
      </c>
      <c r="K18" s="37">
        <v>10000</v>
      </c>
      <c r="L18" s="44">
        <v>46160</v>
      </c>
      <c r="M18" s="41">
        <v>12958</v>
      </c>
      <c r="N18" s="41">
        <v>300</v>
      </c>
      <c r="O18" s="4" t="s">
        <v>40</v>
      </c>
      <c r="P18" s="69">
        <v>5000</v>
      </c>
      <c r="Q18" s="70" t="s">
        <v>80</v>
      </c>
      <c r="R18" s="251" t="s">
        <v>79</v>
      </c>
      <c r="S18" s="251"/>
      <c r="T18" s="71" t="s">
        <v>26</v>
      </c>
      <c r="U18" s="246" t="s">
        <v>78</v>
      </c>
      <c r="V18" s="246"/>
    </row>
    <row r="19" spans="1:22" s="50" customFormat="1" ht="48" hidden="1" customHeight="1" x14ac:dyDescent="0.35">
      <c r="A19" s="34">
        <v>6</v>
      </c>
      <c r="B19" s="188" t="s">
        <v>95</v>
      </c>
      <c r="C19" s="3" t="s">
        <v>50</v>
      </c>
      <c r="D19" s="36" t="s">
        <v>98</v>
      </c>
      <c r="E19" s="34" t="s">
        <v>75</v>
      </c>
      <c r="F19" s="38" t="s">
        <v>53</v>
      </c>
      <c r="G19" s="47" t="s">
        <v>66</v>
      </c>
      <c r="H19" s="6" t="s">
        <v>96</v>
      </c>
      <c r="I19" s="37">
        <v>0</v>
      </c>
      <c r="J19" s="48">
        <v>16000</v>
      </c>
      <c r="K19" s="37">
        <v>10000</v>
      </c>
      <c r="L19" s="44">
        <v>46083</v>
      </c>
      <c r="M19" s="41" t="s">
        <v>102</v>
      </c>
      <c r="N19" s="41"/>
      <c r="O19" s="4" t="s">
        <v>83</v>
      </c>
      <c r="P19" s="24">
        <v>5000</v>
      </c>
      <c r="Q19" s="49" t="s">
        <v>80</v>
      </c>
      <c r="R19" s="249" t="s">
        <v>79</v>
      </c>
      <c r="S19" s="249"/>
      <c r="T19" s="39" t="s">
        <v>26</v>
      </c>
      <c r="U19" s="250" t="s">
        <v>78</v>
      </c>
      <c r="V19" s="250"/>
    </row>
    <row r="20" spans="1:22" s="50" customFormat="1" ht="51" customHeight="1" x14ac:dyDescent="0.35">
      <c r="A20" s="34">
        <v>5</v>
      </c>
      <c r="B20" s="38" t="s">
        <v>84</v>
      </c>
      <c r="C20" s="3" t="s">
        <v>85</v>
      </c>
      <c r="D20" s="36" t="s">
        <v>86</v>
      </c>
      <c r="E20" s="34" t="s">
        <v>25</v>
      </c>
      <c r="F20" s="38" t="s">
        <v>85</v>
      </c>
      <c r="G20" s="47" t="s">
        <v>49</v>
      </c>
      <c r="H20" s="6" t="s">
        <v>184</v>
      </c>
      <c r="I20" s="37">
        <v>20000</v>
      </c>
      <c r="J20" s="48">
        <v>39000</v>
      </c>
      <c r="K20" s="37">
        <v>30000</v>
      </c>
      <c r="L20" s="44">
        <v>46163</v>
      </c>
      <c r="M20" s="41">
        <v>39058</v>
      </c>
      <c r="N20" s="41">
        <v>1300</v>
      </c>
      <c r="O20" s="4" t="s">
        <v>83</v>
      </c>
      <c r="P20" s="69">
        <v>20000</v>
      </c>
      <c r="Q20" s="70" t="s">
        <v>62</v>
      </c>
      <c r="R20" s="251" t="s">
        <v>6</v>
      </c>
      <c r="S20" s="251"/>
      <c r="T20" s="71" t="s">
        <v>64</v>
      </c>
      <c r="U20" s="246" t="s">
        <v>63</v>
      </c>
      <c r="V20" s="246"/>
    </row>
    <row r="21" spans="1:22" ht="41" customHeight="1" x14ac:dyDescent="0.35">
      <c r="A21" s="205" t="s">
        <v>8</v>
      </c>
      <c r="B21" s="205"/>
      <c r="C21" s="205"/>
      <c r="D21" s="205"/>
      <c r="E21" s="205"/>
      <c r="F21" s="205"/>
      <c r="G21" s="205"/>
      <c r="H21" s="205"/>
      <c r="I21" s="51">
        <f>SUM(I14:I20)</f>
        <v>88000</v>
      </c>
      <c r="J21" s="7"/>
      <c r="K21" s="7"/>
      <c r="L21" s="20"/>
      <c r="M21" s="20"/>
      <c r="N21" s="20"/>
      <c r="O21" s="8"/>
      <c r="P21" s="9"/>
      <c r="Q21" s="10"/>
      <c r="R21" s="11"/>
      <c r="S21" s="11"/>
      <c r="T21" s="12"/>
      <c r="U21" s="11"/>
      <c r="V21" s="11"/>
    </row>
    <row r="22" spans="1:22" ht="30.75" customHeight="1" x14ac:dyDescent="0.35">
      <c r="A22" s="13" t="s">
        <v>27</v>
      </c>
      <c r="B22" s="206" t="s">
        <v>193</v>
      </c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14"/>
      <c r="Q22" s="35"/>
      <c r="R22" s="30"/>
      <c r="S22" s="30"/>
      <c r="T22" s="15"/>
      <c r="U22" s="30"/>
      <c r="V22" s="30"/>
    </row>
    <row r="23" spans="1:22" ht="30.75" customHeight="1" x14ac:dyDescent="0.35">
      <c r="A23" s="30"/>
      <c r="B23" s="30"/>
      <c r="C23" s="30"/>
      <c r="D23" s="30"/>
      <c r="E23" s="30"/>
      <c r="F23" s="30"/>
      <c r="G23" s="30"/>
      <c r="H23" s="30"/>
      <c r="I23" s="31"/>
      <c r="J23" s="31"/>
      <c r="K23" s="31"/>
      <c r="L23" s="21"/>
      <c r="M23" s="21"/>
      <c r="N23" s="21"/>
      <c r="O23" s="30"/>
      <c r="P23" s="16"/>
      <c r="Q23" s="35"/>
      <c r="R23" s="30"/>
      <c r="S23" s="30"/>
      <c r="T23" s="15"/>
      <c r="U23" s="30"/>
      <c r="V23" s="30"/>
    </row>
    <row r="27" spans="1:22" x14ac:dyDescent="0.35">
      <c r="A27" s="32"/>
      <c r="B27" s="195" t="s">
        <v>28</v>
      </c>
      <c r="C27" s="195"/>
      <c r="D27" s="195"/>
      <c r="E27" s="195" t="s">
        <v>29</v>
      </c>
      <c r="F27" s="195"/>
      <c r="G27" s="40"/>
      <c r="H27" s="195" t="s">
        <v>30</v>
      </c>
      <c r="I27" s="195"/>
      <c r="J27" s="33"/>
      <c r="K27" s="33"/>
      <c r="L27" s="45" t="s">
        <v>31</v>
      </c>
      <c r="M27" s="45"/>
      <c r="N27" s="45"/>
      <c r="O27" s="45"/>
      <c r="P27" s="17"/>
      <c r="Q27" s="17"/>
      <c r="R27" s="23"/>
    </row>
    <row r="28" spans="1:22" x14ac:dyDescent="0.35">
      <c r="A28" s="190" t="s">
        <v>32</v>
      </c>
      <c r="B28" s="190"/>
      <c r="C28" s="18"/>
      <c r="D28" s="62"/>
      <c r="E28" s="18"/>
      <c r="F28" s="192" t="s">
        <v>33</v>
      </c>
      <c r="G28" s="192"/>
      <c r="H28" s="192"/>
      <c r="I28" s="18"/>
      <c r="J28" s="192" t="s">
        <v>34</v>
      </c>
      <c r="K28" s="192"/>
      <c r="L28" s="192" t="s">
        <v>47</v>
      </c>
      <c r="M28" s="192"/>
      <c r="N28" s="192"/>
      <c r="O28" s="192"/>
      <c r="P28" s="192"/>
      <c r="Q28" s="192"/>
      <c r="R28" s="192"/>
    </row>
    <row r="29" spans="1:22" x14ac:dyDescent="0.35">
      <c r="A29" s="191" t="s">
        <v>6</v>
      </c>
      <c r="B29" s="191"/>
      <c r="C29" s="19"/>
      <c r="D29" s="61"/>
      <c r="E29" s="19"/>
      <c r="F29" s="191" t="s">
        <v>35</v>
      </c>
      <c r="G29" s="191"/>
      <c r="H29" s="191"/>
      <c r="I29" s="19"/>
      <c r="J29" s="191" t="s">
        <v>36</v>
      </c>
      <c r="K29" s="191"/>
      <c r="L29" s="191" t="s">
        <v>37</v>
      </c>
      <c r="M29" s="191"/>
      <c r="N29" s="191"/>
      <c r="O29" s="191"/>
      <c r="P29" s="43"/>
      <c r="Q29" s="19"/>
      <c r="R29" s="19"/>
    </row>
    <row r="30" spans="1:22" x14ac:dyDescent="0.35">
      <c r="A30" s="217" t="s">
        <v>103</v>
      </c>
      <c r="B30" s="217"/>
      <c r="C30" s="31"/>
      <c r="D30" s="61"/>
      <c r="E30" s="19"/>
      <c r="F30" s="191" t="s">
        <v>46</v>
      </c>
      <c r="G30" s="191"/>
      <c r="H30" s="191"/>
      <c r="I30" s="19"/>
      <c r="J30" s="217" t="s">
        <v>105</v>
      </c>
      <c r="K30" s="217"/>
      <c r="L30" s="217" t="s">
        <v>38</v>
      </c>
      <c r="M30" s="217"/>
      <c r="N30" s="217"/>
      <c r="O30" s="217"/>
      <c r="P30" s="217"/>
      <c r="Q30" s="217"/>
      <c r="R30" s="217"/>
    </row>
    <row r="31" spans="1:22" x14ac:dyDescent="0.35">
      <c r="A31" s="217" t="s">
        <v>39</v>
      </c>
      <c r="B31" s="217"/>
      <c r="C31" s="31"/>
      <c r="D31" s="60"/>
      <c r="E31" s="31"/>
      <c r="F31" s="217" t="s">
        <v>39</v>
      </c>
      <c r="G31" s="217"/>
      <c r="H31" s="217"/>
      <c r="I31" s="31"/>
      <c r="J31" s="217" t="s">
        <v>39</v>
      </c>
      <c r="K31" s="217"/>
      <c r="L31" s="31"/>
      <c r="M31" s="42"/>
      <c r="N31" s="189"/>
      <c r="O31" s="31"/>
    </row>
    <row r="32" spans="1:22" x14ac:dyDescent="0.35">
      <c r="D32" s="63"/>
    </row>
  </sheetData>
  <autoFilter ref="A13:V22" xr:uid="{B14183E9-C985-41E3-A9A1-AD74F49B1AEE}">
    <filterColumn colId="8">
      <filters blank="1">
        <filter val="10,000"/>
        <filter val="20,000"/>
        <filter val="25,000"/>
        <filter val="8,000"/>
        <filter val="88,000"/>
      </filters>
    </filterColumn>
    <filterColumn colId="17" showButton="0"/>
    <filterColumn colId="20" showButton="0"/>
  </autoFilter>
  <mergeCells count="51">
    <mergeCell ref="A21:H21"/>
    <mergeCell ref="B22:O22"/>
    <mergeCell ref="B27:D27"/>
    <mergeCell ref="E27:F27"/>
    <mergeCell ref="H27:I27"/>
    <mergeCell ref="B2:V2"/>
    <mergeCell ref="B3:V3"/>
    <mergeCell ref="B4:V4"/>
    <mergeCell ref="B5:V5"/>
    <mergeCell ref="A1:O1"/>
    <mergeCell ref="B6:V6"/>
    <mergeCell ref="R13:S13"/>
    <mergeCell ref="U13:V13"/>
    <mergeCell ref="B7:V7"/>
    <mergeCell ref="B8:V8"/>
    <mergeCell ref="B9:V9"/>
    <mergeCell ref="B10:V10"/>
    <mergeCell ref="B11:V11"/>
    <mergeCell ref="A12:V12"/>
    <mergeCell ref="J30:K30"/>
    <mergeCell ref="L28:R28"/>
    <mergeCell ref="L29:O29"/>
    <mergeCell ref="L30:R30"/>
    <mergeCell ref="A31:B31"/>
    <mergeCell ref="A28:B28"/>
    <mergeCell ref="A29:B29"/>
    <mergeCell ref="A30:B30"/>
    <mergeCell ref="F28:H28"/>
    <mergeCell ref="F29:H29"/>
    <mergeCell ref="F30:H30"/>
    <mergeCell ref="F31:H31"/>
    <mergeCell ref="J31:K31"/>
    <mergeCell ref="J28:K28"/>
    <mergeCell ref="J29:K29"/>
    <mergeCell ref="R19:S19"/>
    <mergeCell ref="U19:V19"/>
    <mergeCell ref="R20:S20"/>
    <mergeCell ref="U20:V20"/>
    <mergeCell ref="R17:S17"/>
    <mergeCell ref="R18:S18"/>
    <mergeCell ref="M14:M15"/>
    <mergeCell ref="J14:J15"/>
    <mergeCell ref="R14:S14"/>
    <mergeCell ref="U14:V14"/>
    <mergeCell ref="U18:V18"/>
    <mergeCell ref="U15:V15"/>
    <mergeCell ref="R15:S15"/>
    <mergeCell ref="K14:K15"/>
    <mergeCell ref="L14:L15"/>
    <mergeCell ref="U17:V17"/>
    <mergeCell ref="N14:N15"/>
  </mergeCells>
  <pageMargins left="0.17" right="0.17" top="0.75" bottom="0.41" header="0.3" footer="0.3"/>
  <pageSetup paperSize="9" scale="5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0E1E-FE3C-4F26-BCE6-E7B3C1C88D12}">
  <sheetPr filterMode="1">
    <tabColor rgb="FFFFFF00"/>
  </sheetPr>
  <dimension ref="A1:X40"/>
  <sheetViews>
    <sheetView view="pageBreakPreview" topLeftCell="A18" zoomScale="50" zoomScaleNormal="100" zoomScaleSheetLayoutView="50" workbookViewId="0">
      <selection activeCell="L32" sqref="L32"/>
    </sheetView>
  </sheetViews>
  <sheetFormatPr defaultRowHeight="14.5" x14ac:dyDescent="0.35"/>
  <cols>
    <col min="1" max="1" width="27.81640625" style="25" customWidth="1"/>
    <col min="2" max="2" width="26.7265625" style="25" customWidth="1"/>
    <col min="3" max="3" width="20.08984375" style="25" customWidth="1"/>
    <col min="4" max="4" width="16.453125" style="25" customWidth="1"/>
    <col min="5" max="5" width="17.54296875" style="25" customWidth="1"/>
    <col min="6" max="6" width="19.6328125" style="25" customWidth="1"/>
    <col min="7" max="7" width="24.1796875" style="25" customWidth="1"/>
    <col min="8" max="8" width="26.54296875" style="25" customWidth="1"/>
    <col min="9" max="9" width="21.08984375" style="25" customWidth="1"/>
    <col min="10" max="10" width="1.1796875" style="25" hidden="1" customWidth="1"/>
    <col min="11" max="11" width="25" style="136" customWidth="1"/>
    <col min="12" max="12" width="26.90625" style="136" customWidth="1"/>
    <col min="13" max="13" width="18" style="22" customWidth="1"/>
    <col min="14" max="14" width="24.7265625" style="22" customWidth="1"/>
    <col min="15" max="15" width="24.7265625" style="22" hidden="1" customWidth="1"/>
    <col min="16" max="16" width="21.81640625" style="25" customWidth="1"/>
    <col min="17" max="17" width="13.7265625" style="25" hidden="1" customWidth="1"/>
    <col min="18" max="18" width="13" style="25" hidden="1" customWidth="1"/>
    <col min="19" max="19" width="9" style="25" hidden="1" customWidth="1"/>
    <col min="20" max="20" width="10" style="25" hidden="1" customWidth="1"/>
    <col min="21" max="21" width="13" style="25" hidden="1" customWidth="1"/>
    <col min="22" max="22" width="13.54296875" style="25" hidden="1" customWidth="1"/>
    <col min="23" max="23" width="9.1796875" style="25" hidden="1" customWidth="1"/>
    <col min="24" max="24" width="0.1796875" style="25" customWidth="1"/>
    <col min="25" max="16384" width="8.7265625" style="25"/>
  </cols>
  <sheetData>
    <row r="1" spans="1:24" ht="46" customHeight="1" x14ac:dyDescent="0.35">
      <c r="A1" s="223" t="s">
        <v>88</v>
      </c>
      <c r="B1" s="223"/>
      <c r="C1" s="223"/>
      <c r="D1" s="223"/>
      <c r="E1" s="223"/>
      <c r="F1" s="223"/>
      <c r="G1" s="223"/>
      <c r="H1" s="223"/>
      <c r="I1" s="223"/>
      <c r="J1" s="223"/>
      <c r="K1" s="257"/>
      <c r="L1" s="257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</row>
    <row r="2" spans="1:24" ht="17.5" x14ac:dyDescent="0.35">
      <c r="A2" s="26" t="s">
        <v>0</v>
      </c>
      <c r="B2" s="224" t="s">
        <v>106</v>
      </c>
      <c r="C2" s="225"/>
      <c r="D2" s="225"/>
      <c r="E2" s="225"/>
      <c r="F2" s="225"/>
      <c r="G2" s="225"/>
      <c r="H2" s="225"/>
      <c r="I2" s="225"/>
      <c r="J2" s="225"/>
      <c r="K2" s="258"/>
      <c r="L2" s="258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6"/>
    </row>
    <row r="3" spans="1:24" ht="21.5" customHeight="1" x14ac:dyDescent="0.35">
      <c r="A3" s="26" t="s">
        <v>1</v>
      </c>
      <c r="B3" s="259" t="s">
        <v>194</v>
      </c>
      <c r="C3" s="260"/>
      <c r="D3" s="260"/>
      <c r="E3" s="260"/>
      <c r="F3" s="260"/>
      <c r="G3" s="260"/>
      <c r="H3" s="260"/>
      <c r="I3" s="260"/>
      <c r="J3" s="228"/>
      <c r="K3" s="261"/>
      <c r="L3" s="261"/>
      <c r="M3" s="260"/>
      <c r="N3" s="260"/>
      <c r="O3" s="260"/>
      <c r="P3" s="260"/>
      <c r="Q3" s="228"/>
      <c r="R3" s="228"/>
      <c r="S3" s="228"/>
      <c r="T3" s="228"/>
      <c r="U3" s="228"/>
      <c r="V3" s="228"/>
      <c r="W3" s="228"/>
      <c r="X3" s="262"/>
    </row>
    <row r="4" spans="1:24" x14ac:dyDescent="0.35">
      <c r="A4" s="26" t="s">
        <v>2</v>
      </c>
      <c r="B4" s="230" t="s">
        <v>189</v>
      </c>
      <c r="C4" s="231"/>
      <c r="D4" s="231"/>
      <c r="E4" s="231"/>
      <c r="F4" s="231"/>
      <c r="G4" s="231"/>
      <c r="H4" s="231"/>
      <c r="I4" s="231"/>
      <c r="J4" s="231"/>
      <c r="K4" s="263"/>
      <c r="L4" s="263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2"/>
    </row>
    <row r="5" spans="1:24" x14ac:dyDescent="0.35">
      <c r="A5" s="26" t="s">
        <v>48</v>
      </c>
      <c r="B5" s="233">
        <v>46164</v>
      </c>
      <c r="C5" s="234"/>
      <c r="D5" s="234"/>
      <c r="E5" s="234"/>
      <c r="F5" s="234"/>
      <c r="G5" s="234"/>
      <c r="H5" s="234"/>
      <c r="I5" s="234"/>
      <c r="J5" s="234"/>
      <c r="K5" s="264"/>
      <c r="L5" s="26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5"/>
    </row>
    <row r="6" spans="1:24" x14ac:dyDescent="0.35">
      <c r="A6" s="26" t="s">
        <v>3</v>
      </c>
      <c r="B6" s="236" t="s">
        <v>4</v>
      </c>
      <c r="C6" s="237"/>
      <c r="D6" s="237"/>
      <c r="E6" s="237"/>
      <c r="F6" s="237"/>
      <c r="G6" s="237"/>
      <c r="H6" s="237"/>
      <c r="I6" s="237"/>
      <c r="J6" s="237"/>
      <c r="K6" s="265"/>
      <c r="L6" s="265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8"/>
    </row>
    <row r="7" spans="1:24" x14ac:dyDescent="0.35">
      <c r="A7" s="26" t="s">
        <v>5</v>
      </c>
      <c r="B7" s="230" t="s">
        <v>6</v>
      </c>
      <c r="C7" s="231"/>
      <c r="D7" s="231"/>
      <c r="E7" s="231"/>
      <c r="F7" s="231"/>
      <c r="G7" s="231"/>
      <c r="H7" s="231"/>
      <c r="I7" s="231"/>
      <c r="J7" s="231"/>
      <c r="K7" s="263"/>
      <c r="L7" s="263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2"/>
    </row>
    <row r="8" spans="1:24" x14ac:dyDescent="0.35">
      <c r="A8" s="26" t="s">
        <v>7</v>
      </c>
      <c r="B8" s="239" t="s">
        <v>103</v>
      </c>
      <c r="C8" s="239"/>
      <c r="D8" s="239"/>
      <c r="E8" s="239"/>
      <c r="F8" s="239"/>
      <c r="G8" s="239"/>
      <c r="H8" s="239"/>
      <c r="I8" s="239"/>
      <c r="J8" s="239"/>
      <c r="K8" s="266"/>
      <c r="L8" s="266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</row>
    <row r="9" spans="1:24" x14ac:dyDescent="0.35">
      <c r="A9" s="26" t="s">
        <v>8</v>
      </c>
      <c r="B9" s="240">
        <f>I27</f>
        <v>127000</v>
      </c>
      <c r="C9" s="241"/>
      <c r="D9" s="241"/>
      <c r="E9" s="241"/>
      <c r="F9" s="241"/>
      <c r="G9" s="241"/>
      <c r="H9" s="241"/>
      <c r="I9" s="241"/>
      <c r="J9" s="241"/>
      <c r="K9" s="267"/>
      <c r="L9" s="267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2"/>
    </row>
    <row r="10" spans="1:24" x14ac:dyDescent="0.35">
      <c r="A10" s="26" t="s">
        <v>9</v>
      </c>
      <c r="B10" s="233">
        <v>46176</v>
      </c>
      <c r="C10" s="234"/>
      <c r="D10" s="234"/>
      <c r="E10" s="234"/>
      <c r="F10" s="234"/>
      <c r="G10" s="234"/>
      <c r="H10" s="234"/>
      <c r="I10" s="234"/>
      <c r="J10" s="234"/>
      <c r="K10" s="264"/>
      <c r="L10" s="26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5"/>
    </row>
    <row r="11" spans="1:24" x14ac:dyDescent="0.35">
      <c r="A11" s="1" t="s">
        <v>10</v>
      </c>
      <c r="B11" s="233"/>
      <c r="C11" s="234"/>
      <c r="D11" s="234"/>
      <c r="E11" s="234"/>
      <c r="F11" s="234"/>
      <c r="G11" s="234"/>
      <c r="H11" s="234"/>
      <c r="I11" s="234"/>
      <c r="J11" s="234"/>
      <c r="K11" s="264"/>
      <c r="L11" s="26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5"/>
    </row>
    <row r="12" spans="1:24" ht="17.5" x14ac:dyDescent="0.35">
      <c r="A12" s="221" t="s">
        <v>11</v>
      </c>
      <c r="B12" s="222"/>
      <c r="C12" s="222"/>
      <c r="D12" s="222"/>
      <c r="E12" s="222"/>
      <c r="F12" s="222"/>
      <c r="G12" s="222"/>
      <c r="H12" s="222"/>
      <c r="I12" s="222"/>
      <c r="J12" s="222"/>
      <c r="K12" s="256"/>
      <c r="L12" s="256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</row>
    <row r="13" spans="1:24" ht="73.5" customHeight="1" x14ac:dyDescent="0.35">
      <c r="A13" s="27" t="s">
        <v>12</v>
      </c>
      <c r="B13" s="28" t="s">
        <v>13</v>
      </c>
      <c r="C13" s="28" t="s">
        <v>14</v>
      </c>
      <c r="D13" s="28" t="s">
        <v>15</v>
      </c>
      <c r="E13" s="28" t="s">
        <v>16</v>
      </c>
      <c r="F13" s="29" t="s">
        <v>17</v>
      </c>
      <c r="G13" s="29" t="s">
        <v>65</v>
      </c>
      <c r="H13" s="29" t="s">
        <v>107</v>
      </c>
      <c r="I13" s="29" t="s">
        <v>18</v>
      </c>
      <c r="J13" s="29" t="s">
        <v>108</v>
      </c>
      <c r="K13" s="29" t="s">
        <v>191</v>
      </c>
      <c r="L13" s="29" t="s">
        <v>19</v>
      </c>
      <c r="M13" s="29" t="s">
        <v>81</v>
      </c>
      <c r="N13" s="29" t="s">
        <v>82</v>
      </c>
      <c r="O13" s="29" t="s">
        <v>187</v>
      </c>
      <c r="P13" s="29" t="s">
        <v>20</v>
      </c>
      <c r="Q13" s="29" t="s">
        <v>42</v>
      </c>
      <c r="R13" s="27" t="s">
        <v>21</v>
      </c>
      <c r="S13" s="218" t="s">
        <v>22</v>
      </c>
      <c r="T13" s="219"/>
      <c r="U13" s="79" t="s">
        <v>109</v>
      </c>
      <c r="V13" s="29" t="s">
        <v>23</v>
      </c>
      <c r="W13" s="218" t="s">
        <v>24</v>
      </c>
      <c r="X13" s="220"/>
    </row>
    <row r="14" spans="1:24" s="88" customFormat="1" ht="46.5" customHeight="1" x14ac:dyDescent="0.45">
      <c r="A14" s="80">
        <v>1</v>
      </c>
      <c r="B14" s="81" t="s">
        <v>110</v>
      </c>
      <c r="C14" s="81" t="s">
        <v>111</v>
      </c>
      <c r="D14" s="82" t="str">
        <f>'[1]INFO ALL'!D23</f>
        <v>0503</v>
      </c>
      <c r="E14" s="80" t="s">
        <v>25</v>
      </c>
      <c r="F14" s="81" t="s">
        <v>51</v>
      </c>
      <c r="G14" s="83" t="s">
        <v>112</v>
      </c>
      <c r="H14" s="80" t="str">
        <f>'[1]INFO ALL'!G23</f>
        <v>40130002156</v>
      </c>
      <c r="I14" s="84">
        <v>40000</v>
      </c>
      <c r="J14" s="73" t="e">
        <f>vlo</f>
        <v>#NAME?</v>
      </c>
      <c r="K14" s="85">
        <v>30000</v>
      </c>
      <c r="L14" s="84">
        <v>25000</v>
      </c>
      <c r="M14" s="86">
        <v>46162</v>
      </c>
      <c r="N14" s="87">
        <v>37641</v>
      </c>
      <c r="O14" s="87">
        <v>2100</v>
      </c>
      <c r="P14" s="4" t="s">
        <v>113</v>
      </c>
      <c r="Q14" s="268"/>
      <c r="R14" s="271" t="s">
        <v>114</v>
      </c>
      <c r="S14" s="273" t="s">
        <v>115</v>
      </c>
      <c r="T14" s="274"/>
      <c r="U14" s="277">
        <v>50000</v>
      </c>
      <c r="V14" s="279" t="s">
        <v>116</v>
      </c>
      <c r="W14" s="281" t="s">
        <v>117</v>
      </c>
      <c r="X14" s="282"/>
    </row>
    <row r="15" spans="1:24" s="88" customFormat="1" ht="46.5" customHeight="1" x14ac:dyDescent="0.45">
      <c r="A15" s="80">
        <v>2</v>
      </c>
      <c r="B15" s="81" t="s">
        <v>118</v>
      </c>
      <c r="C15" s="81" t="s">
        <v>111</v>
      </c>
      <c r="D15" s="89" t="s">
        <v>119</v>
      </c>
      <c r="E15" s="80" t="s">
        <v>25</v>
      </c>
      <c r="F15" s="81" t="s">
        <v>51</v>
      </c>
      <c r="G15" s="83" t="s">
        <v>112</v>
      </c>
      <c r="H15" s="80">
        <v>40310029422</v>
      </c>
      <c r="I15" s="90">
        <v>5000</v>
      </c>
      <c r="J15" s="91"/>
      <c r="K15" s="85">
        <v>7000</v>
      </c>
      <c r="L15" s="90">
        <v>5000</v>
      </c>
      <c r="M15" s="86">
        <v>46157</v>
      </c>
      <c r="N15" s="90">
        <v>10297</v>
      </c>
      <c r="O15" s="90">
        <v>300</v>
      </c>
      <c r="P15" s="4" t="s">
        <v>113</v>
      </c>
      <c r="Q15" s="269"/>
      <c r="R15" s="272"/>
      <c r="S15" s="275"/>
      <c r="T15" s="276"/>
      <c r="U15" s="278"/>
      <c r="V15" s="280"/>
      <c r="W15" s="283"/>
      <c r="X15" s="284"/>
    </row>
    <row r="16" spans="1:24" s="88" customFormat="1" ht="35" customHeight="1" x14ac:dyDescent="0.45">
      <c r="A16" s="80">
        <v>3</v>
      </c>
      <c r="B16" s="81" t="s">
        <v>120</v>
      </c>
      <c r="C16" s="81" t="s">
        <v>50</v>
      </c>
      <c r="D16" s="89" t="s">
        <v>121</v>
      </c>
      <c r="E16" s="80" t="s">
        <v>25</v>
      </c>
      <c r="F16" s="81" t="s">
        <v>51</v>
      </c>
      <c r="G16" s="81" t="s">
        <v>66</v>
      </c>
      <c r="H16" s="89" t="s">
        <v>122</v>
      </c>
      <c r="I16" s="90">
        <v>8000</v>
      </c>
      <c r="J16" s="91"/>
      <c r="K16" s="85">
        <v>9000</v>
      </c>
      <c r="L16" s="90">
        <v>8000</v>
      </c>
      <c r="M16" s="86">
        <v>46153</v>
      </c>
      <c r="N16" s="92">
        <v>12815</v>
      </c>
      <c r="O16" s="92">
        <v>350</v>
      </c>
      <c r="P16" s="4" t="s">
        <v>113</v>
      </c>
      <c r="Q16" s="269"/>
      <c r="R16" s="93"/>
      <c r="S16" s="94"/>
      <c r="T16" s="95"/>
      <c r="U16" s="96"/>
      <c r="V16" s="97"/>
      <c r="W16" s="98"/>
      <c r="X16" s="99"/>
    </row>
    <row r="17" spans="1:24" s="88" customFormat="1" ht="35" customHeight="1" x14ac:dyDescent="0.45">
      <c r="A17" s="80">
        <v>4</v>
      </c>
      <c r="B17" s="81" t="s">
        <v>123</v>
      </c>
      <c r="C17" s="81" t="s">
        <v>50</v>
      </c>
      <c r="D17" s="89" t="s">
        <v>124</v>
      </c>
      <c r="E17" s="80" t="s">
        <v>25</v>
      </c>
      <c r="F17" s="81" t="s">
        <v>51</v>
      </c>
      <c r="G17" s="81" t="s">
        <v>66</v>
      </c>
      <c r="H17" s="89" t="s">
        <v>125</v>
      </c>
      <c r="I17" s="90">
        <v>10000</v>
      </c>
      <c r="J17" s="91"/>
      <c r="K17" s="85">
        <v>8000</v>
      </c>
      <c r="L17" s="90">
        <v>5000</v>
      </c>
      <c r="M17" s="86">
        <v>46153</v>
      </c>
      <c r="N17" s="90">
        <v>11596</v>
      </c>
      <c r="O17" s="90">
        <v>270</v>
      </c>
      <c r="P17" s="4" t="s">
        <v>113</v>
      </c>
      <c r="Q17" s="269"/>
      <c r="R17" s="93"/>
      <c r="S17" s="94"/>
      <c r="T17" s="95"/>
      <c r="U17" s="96"/>
      <c r="V17" s="97"/>
      <c r="W17" s="98"/>
      <c r="X17" s="99"/>
    </row>
    <row r="18" spans="1:24" s="88" customFormat="1" ht="46.5" customHeight="1" x14ac:dyDescent="0.45">
      <c r="A18" s="80">
        <v>5</v>
      </c>
      <c r="B18" s="81" t="s">
        <v>126</v>
      </c>
      <c r="C18" s="81" t="s">
        <v>50</v>
      </c>
      <c r="D18" s="89">
        <v>1828</v>
      </c>
      <c r="E18" s="80" t="s">
        <v>25</v>
      </c>
      <c r="F18" s="81" t="s">
        <v>51</v>
      </c>
      <c r="G18" s="81" t="s">
        <v>66</v>
      </c>
      <c r="H18" s="89" t="s">
        <v>127</v>
      </c>
      <c r="I18" s="90">
        <v>8000</v>
      </c>
      <c r="J18" s="91"/>
      <c r="K18" s="85">
        <v>10000</v>
      </c>
      <c r="L18" s="90">
        <v>8000</v>
      </c>
      <c r="M18" s="86">
        <v>46153</v>
      </c>
      <c r="N18" s="90">
        <v>14352</v>
      </c>
      <c r="O18" s="90">
        <v>370</v>
      </c>
      <c r="P18" s="4" t="s">
        <v>113</v>
      </c>
      <c r="Q18" s="269"/>
      <c r="R18" s="100" t="s">
        <v>128</v>
      </c>
      <c r="S18" s="273" t="s">
        <v>129</v>
      </c>
      <c r="T18" s="274"/>
      <c r="U18" s="101">
        <v>45000</v>
      </c>
      <c r="V18" s="102" t="s">
        <v>26</v>
      </c>
      <c r="W18" s="281" t="s">
        <v>130</v>
      </c>
      <c r="X18" s="282"/>
    </row>
    <row r="19" spans="1:24" s="103" customFormat="1" ht="35" hidden="1" customHeight="1" x14ac:dyDescent="0.35">
      <c r="A19" s="80">
        <v>6</v>
      </c>
      <c r="B19" s="185" t="s">
        <v>131</v>
      </c>
      <c r="C19" s="81" t="s">
        <v>50</v>
      </c>
      <c r="D19" s="89" t="s">
        <v>132</v>
      </c>
      <c r="E19" s="80" t="s">
        <v>25</v>
      </c>
      <c r="F19" s="81" t="s">
        <v>51</v>
      </c>
      <c r="G19" s="81" t="s">
        <v>66</v>
      </c>
      <c r="H19" s="89" t="s">
        <v>133</v>
      </c>
      <c r="I19" s="90">
        <v>0</v>
      </c>
      <c r="J19" s="91"/>
      <c r="K19" s="85">
        <v>15000</v>
      </c>
      <c r="L19" s="90">
        <v>8000</v>
      </c>
      <c r="M19" s="86">
        <v>45965</v>
      </c>
      <c r="N19" s="90">
        <v>19374</v>
      </c>
      <c r="O19" s="90"/>
      <c r="P19" s="4" t="s">
        <v>113</v>
      </c>
      <c r="Q19" s="269"/>
      <c r="R19" s="293"/>
      <c r="S19" s="275"/>
      <c r="T19" s="276"/>
      <c r="U19" s="295"/>
      <c r="V19" s="290"/>
      <c r="W19" s="283"/>
      <c r="X19" s="284"/>
    </row>
    <row r="20" spans="1:24" s="88" customFormat="1" ht="35" customHeight="1" x14ac:dyDescent="0.45">
      <c r="A20" s="80">
        <v>6</v>
      </c>
      <c r="B20" s="81" t="s">
        <v>134</v>
      </c>
      <c r="C20" s="81" t="s">
        <v>50</v>
      </c>
      <c r="D20" s="89" t="s">
        <v>135</v>
      </c>
      <c r="E20" s="80" t="s">
        <v>25</v>
      </c>
      <c r="F20" s="81" t="s">
        <v>51</v>
      </c>
      <c r="G20" s="81" t="s">
        <v>66</v>
      </c>
      <c r="H20" s="89" t="s">
        <v>136</v>
      </c>
      <c r="I20" s="90">
        <v>8000</v>
      </c>
      <c r="J20" s="104"/>
      <c r="K20" s="85">
        <v>12000</v>
      </c>
      <c r="L20" s="90">
        <v>8000</v>
      </c>
      <c r="M20" s="86">
        <v>46153</v>
      </c>
      <c r="N20" s="90">
        <v>14093</v>
      </c>
      <c r="O20" s="90"/>
      <c r="P20" s="4" t="s">
        <v>113</v>
      </c>
      <c r="Q20" s="214"/>
      <c r="R20" s="294"/>
      <c r="S20" s="311"/>
      <c r="T20" s="312"/>
      <c r="U20" s="296"/>
      <c r="V20" s="297"/>
      <c r="W20" s="298"/>
      <c r="X20" s="299"/>
    </row>
    <row r="21" spans="1:24" s="88" customFormat="1" ht="46.5" customHeight="1" x14ac:dyDescent="0.45">
      <c r="A21" s="80">
        <v>7</v>
      </c>
      <c r="B21" s="81" t="s">
        <v>137</v>
      </c>
      <c r="C21" s="81" t="s">
        <v>138</v>
      </c>
      <c r="D21" s="105" t="s">
        <v>139</v>
      </c>
      <c r="E21" s="80" t="s">
        <v>25</v>
      </c>
      <c r="F21" s="81" t="s">
        <v>138</v>
      </c>
      <c r="G21" s="83" t="s">
        <v>140</v>
      </c>
      <c r="H21" s="80" t="s">
        <v>141</v>
      </c>
      <c r="I21" s="90">
        <v>5000</v>
      </c>
      <c r="J21" s="106"/>
      <c r="K21" s="85">
        <v>8000</v>
      </c>
      <c r="L21" s="90">
        <v>5000</v>
      </c>
      <c r="M21" s="86">
        <v>46154</v>
      </c>
      <c r="N21" s="90">
        <v>11780</v>
      </c>
      <c r="O21" s="90">
        <v>300</v>
      </c>
      <c r="P21" s="4" t="s">
        <v>113</v>
      </c>
      <c r="Q21" s="269"/>
      <c r="R21" s="285" t="s">
        <v>142</v>
      </c>
      <c r="S21" s="273" t="s">
        <v>143</v>
      </c>
      <c r="T21" s="274"/>
      <c r="U21" s="289">
        <v>15000</v>
      </c>
      <c r="V21" s="290" t="s">
        <v>144</v>
      </c>
      <c r="W21" s="281" t="s">
        <v>145</v>
      </c>
      <c r="X21" s="282"/>
    </row>
    <row r="22" spans="1:24" s="88" customFormat="1" ht="46.5" customHeight="1" x14ac:dyDescent="0.45">
      <c r="A22" s="80">
        <v>8</v>
      </c>
      <c r="B22" s="83" t="s">
        <v>146</v>
      </c>
      <c r="C22" s="81" t="s">
        <v>138</v>
      </c>
      <c r="D22" s="107" t="s">
        <v>147</v>
      </c>
      <c r="E22" s="80" t="s">
        <v>25</v>
      </c>
      <c r="F22" s="81" t="s">
        <v>138</v>
      </c>
      <c r="G22" s="83" t="s">
        <v>148</v>
      </c>
      <c r="H22" s="80">
        <v>40110022010</v>
      </c>
      <c r="I22" s="90">
        <v>8000</v>
      </c>
      <c r="J22" s="106"/>
      <c r="K22" s="85">
        <v>10000</v>
      </c>
      <c r="L22" s="90">
        <v>5000</v>
      </c>
      <c r="M22" s="86">
        <v>46163</v>
      </c>
      <c r="N22" s="90">
        <v>10826</v>
      </c>
      <c r="O22" s="90">
        <v>370</v>
      </c>
      <c r="P22" s="4" t="s">
        <v>113</v>
      </c>
      <c r="Q22" s="269"/>
      <c r="R22" s="286"/>
      <c r="S22" s="287"/>
      <c r="T22" s="288"/>
      <c r="U22" s="289"/>
      <c r="V22" s="290"/>
      <c r="W22" s="291"/>
      <c r="X22" s="292"/>
    </row>
    <row r="23" spans="1:24" s="88" customFormat="1" ht="46.5" hidden="1" customHeight="1" x14ac:dyDescent="0.45">
      <c r="A23" s="80">
        <v>5</v>
      </c>
      <c r="B23" s="185" t="s">
        <v>149</v>
      </c>
      <c r="C23" s="81" t="s">
        <v>50</v>
      </c>
      <c r="D23" s="89" t="s">
        <v>150</v>
      </c>
      <c r="E23" s="80" t="s">
        <v>25</v>
      </c>
      <c r="F23" s="81" t="s">
        <v>53</v>
      </c>
      <c r="G23" s="81" t="s">
        <v>70</v>
      </c>
      <c r="H23" s="89" t="s">
        <v>151</v>
      </c>
      <c r="I23" s="90">
        <v>0</v>
      </c>
      <c r="J23" s="106"/>
      <c r="K23" s="90">
        <v>30000</v>
      </c>
      <c r="L23" s="90">
        <v>10000</v>
      </c>
      <c r="M23" s="86">
        <v>46083</v>
      </c>
      <c r="N23" s="87">
        <v>75000</v>
      </c>
      <c r="O23" s="87">
        <v>560</v>
      </c>
      <c r="P23" s="4" t="s">
        <v>113</v>
      </c>
      <c r="Q23" s="214"/>
      <c r="R23" s="313"/>
      <c r="S23" s="300"/>
      <c r="T23" s="301"/>
      <c r="U23" s="302"/>
      <c r="V23" s="304"/>
      <c r="W23" s="306"/>
      <c r="X23" s="307"/>
    </row>
    <row r="24" spans="1:24" s="88" customFormat="1" ht="46.5" customHeight="1" x14ac:dyDescent="0.45">
      <c r="A24" s="80">
        <v>9</v>
      </c>
      <c r="B24" s="81" t="s">
        <v>153</v>
      </c>
      <c r="C24" s="81" t="s">
        <v>50</v>
      </c>
      <c r="D24" s="80" t="s">
        <v>154</v>
      </c>
      <c r="E24" s="80" t="s">
        <v>25</v>
      </c>
      <c r="F24" s="81" t="s">
        <v>53</v>
      </c>
      <c r="G24" s="83" t="s">
        <v>155</v>
      </c>
      <c r="H24" s="80" t="s">
        <v>156</v>
      </c>
      <c r="I24" s="90">
        <v>20000</v>
      </c>
      <c r="J24" s="106"/>
      <c r="K24" s="104">
        <v>12000</v>
      </c>
      <c r="L24" s="90">
        <v>20000</v>
      </c>
      <c r="M24" s="86">
        <v>46153</v>
      </c>
      <c r="N24" s="87" t="s">
        <v>152</v>
      </c>
      <c r="O24" s="87">
        <v>780</v>
      </c>
      <c r="P24" s="4" t="s">
        <v>113</v>
      </c>
      <c r="Q24" s="214"/>
      <c r="R24" s="313"/>
      <c r="S24" s="300"/>
      <c r="T24" s="301"/>
      <c r="U24" s="302"/>
      <c r="V24" s="304"/>
      <c r="W24" s="306"/>
      <c r="X24" s="307"/>
    </row>
    <row r="25" spans="1:24" s="88" customFormat="1" ht="46.5" customHeight="1" x14ac:dyDescent="0.45">
      <c r="A25" s="80">
        <v>10</v>
      </c>
      <c r="B25" s="81" t="s">
        <v>157</v>
      </c>
      <c r="C25" s="81" t="s">
        <v>50</v>
      </c>
      <c r="D25" s="89" t="s">
        <v>158</v>
      </c>
      <c r="E25" s="80" t="s">
        <v>25</v>
      </c>
      <c r="F25" s="81" t="s">
        <v>53</v>
      </c>
      <c r="G25" s="81" t="s">
        <v>70</v>
      </c>
      <c r="H25" s="89" t="s">
        <v>159</v>
      </c>
      <c r="I25" s="90">
        <v>15000</v>
      </c>
      <c r="J25" s="106"/>
      <c r="K25" s="90">
        <v>3000</v>
      </c>
      <c r="L25" s="90">
        <v>8000</v>
      </c>
      <c r="M25" s="86">
        <v>46153</v>
      </c>
      <c r="N25" s="87" t="s">
        <v>152</v>
      </c>
      <c r="O25" s="87">
        <v>500</v>
      </c>
      <c r="P25" s="4" t="s">
        <v>113</v>
      </c>
      <c r="Q25" s="270"/>
      <c r="R25" s="286"/>
      <c r="S25" s="287"/>
      <c r="T25" s="288"/>
      <c r="U25" s="303"/>
      <c r="V25" s="305"/>
      <c r="W25" s="291"/>
      <c r="X25" s="292"/>
    </row>
    <row r="26" spans="1:24" s="184" customFormat="1" ht="37.5" hidden="1" customHeight="1" x14ac:dyDescent="0.5">
      <c r="A26" s="168">
        <v>1</v>
      </c>
      <c r="B26" s="186" t="s">
        <v>160</v>
      </c>
      <c r="C26" s="169" t="s">
        <v>160</v>
      </c>
      <c r="D26" s="170" t="s">
        <v>161</v>
      </c>
      <c r="E26" s="168" t="s">
        <v>25</v>
      </c>
      <c r="F26" s="169" t="s">
        <v>162</v>
      </c>
      <c r="G26" s="171" t="s">
        <v>66</v>
      </c>
      <c r="H26" s="172" t="s">
        <v>183</v>
      </c>
      <c r="I26" s="173">
        <v>0</v>
      </c>
      <c r="J26" s="174"/>
      <c r="K26" s="175">
        <v>22131</v>
      </c>
      <c r="L26" s="173">
        <v>15000</v>
      </c>
      <c r="M26" s="176">
        <v>46034</v>
      </c>
      <c r="N26" s="173" t="s">
        <v>102</v>
      </c>
      <c r="O26" s="173"/>
      <c r="P26" s="177" t="s">
        <v>83</v>
      </c>
      <c r="Q26" s="178"/>
      <c r="R26" s="179"/>
      <c r="S26" s="180"/>
      <c r="T26" s="181"/>
      <c r="U26" s="182"/>
      <c r="V26" s="178"/>
      <c r="W26" s="180"/>
      <c r="X26" s="183"/>
    </row>
    <row r="27" spans="1:24" s="114" customFormat="1" ht="45.5" customHeight="1" x14ac:dyDescent="0.45">
      <c r="A27" s="317" t="s">
        <v>8</v>
      </c>
      <c r="B27" s="317"/>
      <c r="C27" s="317"/>
      <c r="D27" s="317"/>
      <c r="E27" s="317"/>
      <c r="F27" s="317"/>
      <c r="G27" s="317"/>
      <c r="H27" s="317"/>
      <c r="I27" s="108">
        <f>SUBTOTAL(9,I14:I25)</f>
        <v>127000</v>
      </c>
      <c r="J27" s="7"/>
      <c r="K27" s="109"/>
      <c r="L27" s="109"/>
      <c r="M27" s="110"/>
      <c r="N27" s="110"/>
      <c r="O27" s="110"/>
      <c r="P27" s="111"/>
      <c r="Q27" s="103"/>
      <c r="R27" s="112"/>
      <c r="S27" s="103"/>
      <c r="T27" s="103"/>
      <c r="U27" s="103"/>
      <c r="V27" s="113"/>
      <c r="W27" s="103"/>
      <c r="X27" s="103"/>
    </row>
    <row r="28" spans="1:24" s="114" customFormat="1" ht="36" customHeight="1" x14ac:dyDescent="0.45">
      <c r="A28" s="115" t="s">
        <v>27</v>
      </c>
      <c r="B28" s="314" t="s">
        <v>195</v>
      </c>
      <c r="C28" s="314"/>
      <c r="D28" s="314"/>
      <c r="E28" s="314"/>
      <c r="F28" s="314"/>
      <c r="G28" s="314"/>
      <c r="H28" s="314"/>
      <c r="I28" s="314"/>
      <c r="J28" s="239"/>
      <c r="K28" s="315"/>
      <c r="L28" s="315"/>
      <c r="M28" s="314"/>
      <c r="N28" s="314"/>
      <c r="O28" s="314"/>
      <c r="P28" s="314"/>
      <c r="Q28" s="116"/>
      <c r="R28" s="117"/>
      <c r="S28" s="118"/>
      <c r="T28" s="118"/>
      <c r="U28" s="118"/>
      <c r="V28" s="119"/>
      <c r="W28" s="118"/>
      <c r="X28" s="118"/>
    </row>
    <row r="29" spans="1:24" s="120" customFormat="1" ht="117" hidden="1" customHeight="1" x14ac:dyDescent="0.35">
      <c r="J29" s="25"/>
      <c r="K29" s="121"/>
      <c r="L29" s="121"/>
      <c r="M29" s="122"/>
      <c r="N29" s="122"/>
      <c r="O29" s="122"/>
    </row>
    <row r="30" spans="1:24" s="120" customFormat="1" ht="111" customHeight="1" x14ac:dyDescent="0.35">
      <c r="A30" s="123"/>
      <c r="B30" s="316" t="s">
        <v>28</v>
      </c>
      <c r="C30" s="316"/>
      <c r="D30" s="316"/>
      <c r="E30" s="316" t="s">
        <v>29</v>
      </c>
      <c r="F30" s="316"/>
      <c r="G30" s="124"/>
      <c r="H30" s="316" t="s">
        <v>30</v>
      </c>
      <c r="I30" s="316"/>
      <c r="J30" s="78"/>
      <c r="K30" s="125"/>
      <c r="L30" s="125"/>
      <c r="M30" s="316" t="s">
        <v>31</v>
      </c>
      <c r="N30" s="316"/>
      <c r="O30" s="316"/>
      <c r="P30" s="316"/>
      <c r="Q30" s="126"/>
      <c r="R30" s="126"/>
    </row>
    <row r="31" spans="1:24" s="114" customFormat="1" ht="18.5" x14ac:dyDescent="0.45">
      <c r="A31" s="308" t="s">
        <v>32</v>
      </c>
      <c r="B31" s="308"/>
      <c r="C31" s="127"/>
      <c r="D31" s="309" t="s">
        <v>33</v>
      </c>
      <c r="E31" s="309"/>
      <c r="F31" s="309"/>
      <c r="G31" s="309"/>
      <c r="H31" s="127"/>
      <c r="I31" s="310" t="s">
        <v>34</v>
      </c>
      <c r="J31" s="310"/>
      <c r="K31" s="310"/>
      <c r="L31" s="128"/>
      <c r="M31" s="309" t="s">
        <v>47</v>
      </c>
      <c r="N31" s="309"/>
      <c r="O31" s="309"/>
      <c r="P31" s="309"/>
      <c r="Q31" s="129"/>
      <c r="R31" s="129"/>
      <c r="S31" s="120"/>
      <c r="T31" s="120"/>
      <c r="U31" s="120"/>
      <c r="V31" s="120"/>
      <c r="W31" s="120"/>
    </row>
    <row r="32" spans="1:24" s="114" customFormat="1" ht="18.5" x14ac:dyDescent="0.45">
      <c r="A32" s="308" t="s">
        <v>6</v>
      </c>
      <c r="B32" s="308"/>
      <c r="C32" s="130"/>
      <c r="D32" s="308" t="s">
        <v>35</v>
      </c>
      <c r="E32" s="308"/>
      <c r="F32" s="308"/>
      <c r="G32" s="308"/>
      <c r="H32" s="130"/>
      <c r="I32" s="318" t="s">
        <v>36</v>
      </c>
      <c r="J32" s="318"/>
      <c r="K32" s="318"/>
      <c r="L32" s="131"/>
      <c r="M32" s="308" t="s">
        <v>37</v>
      </c>
      <c r="N32" s="308"/>
      <c r="O32" s="308"/>
      <c r="P32" s="308"/>
      <c r="Q32" s="132"/>
      <c r="R32" s="132"/>
      <c r="S32" s="120"/>
      <c r="T32" s="120"/>
      <c r="U32" s="120"/>
      <c r="V32" s="120"/>
      <c r="W32" s="120"/>
    </row>
    <row r="33" spans="1:23" s="114" customFormat="1" ht="18.5" x14ac:dyDescent="0.45">
      <c r="A33" s="319" t="s">
        <v>103</v>
      </c>
      <c r="B33" s="319"/>
      <c r="C33" s="130"/>
      <c r="D33" s="308" t="s">
        <v>46</v>
      </c>
      <c r="E33" s="308"/>
      <c r="F33" s="308"/>
      <c r="G33" s="308"/>
      <c r="H33" s="130"/>
      <c r="I33" s="320" t="s">
        <v>105</v>
      </c>
      <c r="J33" s="320"/>
      <c r="K33" s="320"/>
      <c r="L33" s="133"/>
      <c r="M33" s="319" t="s">
        <v>38</v>
      </c>
      <c r="N33" s="319"/>
      <c r="O33" s="319"/>
      <c r="P33" s="319"/>
      <c r="Q33" s="134"/>
      <c r="R33" s="134"/>
      <c r="S33" s="120"/>
      <c r="T33" s="120"/>
      <c r="U33" s="120"/>
      <c r="V33" s="120"/>
      <c r="W33" s="120"/>
    </row>
    <row r="34" spans="1:23" s="114" customFormat="1" ht="18.5" x14ac:dyDescent="0.45">
      <c r="A34" s="319" t="s">
        <v>39</v>
      </c>
      <c r="B34" s="319"/>
      <c r="C34" s="135"/>
      <c r="D34" s="319" t="s">
        <v>39</v>
      </c>
      <c r="E34" s="319"/>
      <c r="F34" s="319"/>
      <c r="G34" s="319"/>
      <c r="H34" s="135"/>
      <c r="I34" s="320" t="s">
        <v>39</v>
      </c>
      <c r="J34" s="320"/>
      <c r="K34" s="320"/>
      <c r="L34" s="133"/>
      <c r="M34" s="135"/>
      <c r="N34" s="117"/>
      <c r="O34" s="187"/>
      <c r="P34" s="135"/>
      <c r="Q34" s="120"/>
      <c r="R34" s="120"/>
      <c r="S34" s="120"/>
      <c r="T34" s="120"/>
      <c r="U34" s="120"/>
      <c r="V34" s="120"/>
      <c r="W34" s="120"/>
    </row>
    <row r="35" spans="1:23" ht="89.5" customHeight="1" x14ac:dyDescent="0.35"/>
    <row r="36" spans="1:23" s="114" customFormat="1" ht="18.5" x14ac:dyDescent="0.45">
      <c r="G36" s="309" t="s">
        <v>163</v>
      </c>
      <c r="H36" s="309"/>
      <c r="I36" s="309"/>
      <c r="J36" s="25"/>
      <c r="K36" s="137"/>
      <c r="L36" s="137"/>
      <c r="M36" s="138"/>
      <c r="N36" s="138"/>
      <c r="O36" s="138"/>
      <c r="Q36" s="25"/>
      <c r="R36" s="25"/>
      <c r="S36" s="25"/>
      <c r="T36" s="25"/>
      <c r="U36" s="25"/>
      <c r="V36" s="25"/>
      <c r="W36" s="25"/>
    </row>
    <row r="37" spans="1:23" s="114" customFormat="1" ht="18.5" x14ac:dyDescent="0.45">
      <c r="G37" s="308" t="s">
        <v>164</v>
      </c>
      <c r="H37" s="308"/>
      <c r="I37" s="308"/>
      <c r="J37" s="25"/>
      <c r="K37" s="137"/>
      <c r="L37" s="137"/>
      <c r="M37" s="138"/>
      <c r="N37" s="138"/>
      <c r="O37" s="138"/>
      <c r="Q37" s="25"/>
      <c r="R37" s="25"/>
      <c r="S37" s="25"/>
      <c r="T37" s="25"/>
      <c r="U37" s="25"/>
      <c r="V37" s="25"/>
      <c r="W37" s="25"/>
    </row>
    <row r="38" spans="1:23" s="114" customFormat="1" ht="18.5" x14ac:dyDescent="0.45">
      <c r="G38" s="308" t="s">
        <v>165</v>
      </c>
      <c r="H38" s="308"/>
      <c r="I38" s="308"/>
      <c r="J38" s="25"/>
      <c r="K38" s="137"/>
      <c r="L38" s="137"/>
      <c r="M38" s="138"/>
      <c r="N38" s="138"/>
      <c r="O38" s="138"/>
      <c r="Q38" s="25"/>
      <c r="R38" s="25"/>
      <c r="S38" s="25"/>
      <c r="T38" s="25"/>
      <c r="U38" s="25"/>
      <c r="V38" s="25"/>
      <c r="W38" s="25"/>
    </row>
    <row r="39" spans="1:23" s="114" customFormat="1" ht="18.5" x14ac:dyDescent="0.45">
      <c r="G39" s="319" t="s">
        <v>166</v>
      </c>
      <c r="H39" s="319"/>
      <c r="I39" s="319"/>
      <c r="J39" s="25"/>
      <c r="K39" s="137"/>
      <c r="L39" s="137"/>
      <c r="M39" s="138"/>
      <c r="N39" s="138"/>
      <c r="O39" s="138"/>
      <c r="Q39" s="25"/>
      <c r="R39" s="25"/>
      <c r="S39" s="25"/>
      <c r="T39" s="25"/>
      <c r="U39" s="25"/>
      <c r="V39" s="25"/>
      <c r="W39" s="25"/>
    </row>
    <row r="40" spans="1:23" s="114" customFormat="1" ht="18.5" x14ac:dyDescent="0.45">
      <c r="J40" s="25"/>
      <c r="K40" s="137"/>
      <c r="L40" s="137"/>
      <c r="M40" s="138"/>
      <c r="N40" s="138"/>
      <c r="O40" s="138"/>
      <c r="Q40" s="25"/>
      <c r="R40" s="25"/>
      <c r="S40" s="25"/>
      <c r="T40" s="25"/>
      <c r="U40" s="25"/>
      <c r="V40" s="25"/>
      <c r="W40" s="25"/>
    </row>
  </sheetData>
  <autoFilter ref="A13:X28" xr:uid="{B8510E1E-FE3C-4F26-BCE6-E7B3C1C88D12}">
    <filterColumn colId="8">
      <filters blank="1">
        <filter val="10,000"/>
        <filter val="127,000"/>
        <filter val="15,000"/>
        <filter val="20,000"/>
        <filter val="40,000"/>
        <filter val="5,000"/>
        <filter val="8,000"/>
      </filters>
    </filterColumn>
    <filterColumn colId="18" showButton="0"/>
    <filterColumn colId="22" showButton="0"/>
  </autoFilter>
  <mergeCells count="62">
    <mergeCell ref="G39:I39"/>
    <mergeCell ref="A34:B34"/>
    <mergeCell ref="D34:G34"/>
    <mergeCell ref="I34:K34"/>
    <mergeCell ref="G36:I36"/>
    <mergeCell ref="G37:I37"/>
    <mergeCell ref="G38:I38"/>
    <mergeCell ref="A32:B32"/>
    <mergeCell ref="D32:G32"/>
    <mergeCell ref="I32:K32"/>
    <mergeCell ref="M32:P32"/>
    <mergeCell ref="A33:B33"/>
    <mergeCell ref="D33:G33"/>
    <mergeCell ref="I33:K33"/>
    <mergeCell ref="M33:P33"/>
    <mergeCell ref="A31:B31"/>
    <mergeCell ref="D31:G31"/>
    <mergeCell ref="I31:K31"/>
    <mergeCell ref="M31:P31"/>
    <mergeCell ref="S19:T20"/>
    <mergeCell ref="R23:R25"/>
    <mergeCell ref="B28:P28"/>
    <mergeCell ref="B30:D30"/>
    <mergeCell ref="E30:F30"/>
    <mergeCell ref="H30:I30"/>
    <mergeCell ref="M30:P30"/>
    <mergeCell ref="A27:H27"/>
    <mergeCell ref="U19:U20"/>
    <mergeCell ref="V19:V20"/>
    <mergeCell ref="W19:X20"/>
    <mergeCell ref="S23:T25"/>
    <mergeCell ref="U23:U25"/>
    <mergeCell ref="V23:V25"/>
    <mergeCell ref="W23:X25"/>
    <mergeCell ref="S13:T13"/>
    <mergeCell ref="W13:X13"/>
    <mergeCell ref="Q14:Q25"/>
    <mergeCell ref="R14:R15"/>
    <mergeCell ref="S14:T15"/>
    <mergeCell ref="U14:U15"/>
    <mergeCell ref="V14:V15"/>
    <mergeCell ref="W14:X15"/>
    <mergeCell ref="S18:T18"/>
    <mergeCell ref="W18:X18"/>
    <mergeCell ref="R21:R22"/>
    <mergeCell ref="S21:T22"/>
    <mergeCell ref="U21:U22"/>
    <mergeCell ref="V21:V22"/>
    <mergeCell ref="W21:X22"/>
    <mergeCell ref="R19:R20"/>
    <mergeCell ref="A12:X12"/>
    <mergeCell ref="A1:X1"/>
    <mergeCell ref="B2:X2"/>
    <mergeCell ref="B3:X3"/>
    <mergeCell ref="B4:X4"/>
    <mergeCell ref="B5:X5"/>
    <mergeCell ref="B6:X6"/>
    <mergeCell ref="B7:X7"/>
    <mergeCell ref="B8:X8"/>
    <mergeCell ref="B9:X9"/>
    <mergeCell ref="B10:X10"/>
    <mergeCell ref="B11:X11"/>
  </mergeCells>
  <pageMargins left="0.17" right="0.17" top="0.3" bottom="0.33" header="0.3" footer="0.3"/>
  <pageSetup paperSize="9" scale="45" orientation="landscape" r:id="rId1"/>
  <rowBreaks count="2" manualBreakCount="2">
    <brk id="39" max="22" man="1"/>
    <brk id="40" max="2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0A4E-D4E1-4602-AE36-1EF91A68F2E0}">
  <sheetPr>
    <tabColor rgb="FFFFFF00"/>
  </sheetPr>
  <dimension ref="A1:W34"/>
  <sheetViews>
    <sheetView tabSelected="1" view="pageBreakPreview" zoomScale="70" zoomScaleNormal="100" zoomScaleSheetLayoutView="70" workbookViewId="0">
      <selection activeCell="D14" sqref="D14"/>
    </sheetView>
  </sheetViews>
  <sheetFormatPr defaultRowHeight="14.5" x14ac:dyDescent="0.35"/>
  <cols>
    <col min="1" max="1" width="22.1796875" style="25" customWidth="1"/>
    <col min="2" max="2" width="22.1796875" style="25" bestFit="1" customWidth="1"/>
    <col min="3" max="3" width="16.7265625" style="25" customWidth="1"/>
    <col min="4" max="4" width="8.453125" style="25" customWidth="1"/>
    <col min="5" max="5" width="9" style="25" customWidth="1"/>
    <col min="6" max="6" width="14.7265625" style="25" bestFit="1" customWidth="1"/>
    <col min="7" max="7" width="19" style="25" customWidth="1"/>
    <col min="8" max="8" width="25" style="25" customWidth="1"/>
    <col min="9" max="9" width="13" style="25" bestFit="1" customWidth="1"/>
    <col min="10" max="10" width="11.54296875" style="25" hidden="1" customWidth="1"/>
    <col min="11" max="11" width="20.453125" style="136" customWidth="1"/>
    <col min="12" max="12" width="15.6328125" style="136" customWidth="1"/>
    <col min="13" max="13" width="13.81640625" style="22" customWidth="1"/>
    <col min="14" max="14" width="16.54296875" style="22" customWidth="1"/>
    <col min="15" max="15" width="11.36328125" style="25" customWidth="1"/>
    <col min="16" max="16" width="13.7265625" style="25" hidden="1" customWidth="1"/>
    <col min="17" max="17" width="13" style="25" hidden="1" customWidth="1"/>
    <col min="18" max="18" width="9" style="25" hidden="1" customWidth="1"/>
    <col min="19" max="19" width="10" style="25" hidden="1" customWidth="1"/>
    <col min="20" max="20" width="13" style="25" hidden="1" customWidth="1"/>
    <col min="21" max="21" width="13.54296875" style="25" hidden="1" customWidth="1"/>
    <col min="22" max="22" width="9.1796875" style="25" hidden="1" customWidth="1"/>
    <col min="23" max="23" width="13.54296875" style="25" hidden="1" customWidth="1"/>
    <col min="24" max="16384" width="8.7265625" style="25"/>
  </cols>
  <sheetData>
    <row r="1" spans="1:23" ht="46.5" customHeight="1" x14ac:dyDescent="0.35">
      <c r="A1" s="223" t="s">
        <v>167</v>
      </c>
      <c r="B1" s="223"/>
      <c r="C1" s="223"/>
      <c r="D1" s="223"/>
      <c r="E1" s="223"/>
      <c r="F1" s="223"/>
      <c r="G1" s="223"/>
      <c r="H1" s="223"/>
      <c r="I1" s="223"/>
      <c r="J1" s="223"/>
      <c r="K1" s="257"/>
      <c r="L1" s="257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</row>
    <row r="2" spans="1:23" ht="17.5" x14ac:dyDescent="0.35">
      <c r="A2" s="26" t="s">
        <v>0</v>
      </c>
      <c r="B2" s="224" t="s">
        <v>106</v>
      </c>
      <c r="C2" s="225"/>
      <c r="D2" s="225"/>
      <c r="E2" s="225"/>
      <c r="F2" s="225"/>
      <c r="G2" s="225"/>
      <c r="H2" s="225"/>
      <c r="I2" s="225"/>
      <c r="J2" s="225"/>
      <c r="K2" s="258"/>
      <c r="L2" s="258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6"/>
    </row>
    <row r="3" spans="1:23" x14ac:dyDescent="0.35">
      <c r="A3" s="26" t="s">
        <v>1</v>
      </c>
      <c r="B3" s="227" t="s">
        <v>200</v>
      </c>
      <c r="C3" s="228"/>
      <c r="D3" s="228"/>
      <c r="E3" s="228"/>
      <c r="F3" s="228"/>
      <c r="G3" s="228"/>
      <c r="H3" s="228"/>
      <c r="I3" s="228"/>
      <c r="J3" s="228"/>
      <c r="K3" s="264"/>
      <c r="L3" s="264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9"/>
    </row>
    <row r="4" spans="1:23" x14ac:dyDescent="0.35">
      <c r="A4" s="26" t="s">
        <v>2</v>
      </c>
      <c r="B4" s="230" t="s">
        <v>189</v>
      </c>
      <c r="C4" s="231"/>
      <c r="D4" s="231"/>
      <c r="E4" s="231"/>
      <c r="F4" s="231"/>
      <c r="G4" s="231"/>
      <c r="H4" s="231"/>
      <c r="I4" s="231"/>
      <c r="J4" s="231"/>
      <c r="K4" s="263"/>
      <c r="L4" s="263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2"/>
    </row>
    <row r="5" spans="1:23" x14ac:dyDescent="0.35">
      <c r="A5" s="26" t="s">
        <v>48</v>
      </c>
      <c r="B5" s="233">
        <v>46175</v>
      </c>
      <c r="C5" s="234"/>
      <c r="D5" s="234"/>
      <c r="E5" s="234"/>
      <c r="F5" s="234"/>
      <c r="G5" s="234"/>
      <c r="H5" s="234"/>
      <c r="I5" s="234"/>
      <c r="J5" s="234"/>
      <c r="K5" s="264"/>
      <c r="L5" s="26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5"/>
    </row>
    <row r="6" spans="1:23" x14ac:dyDescent="0.35">
      <c r="A6" s="26" t="s">
        <v>3</v>
      </c>
      <c r="B6" s="236" t="s">
        <v>4</v>
      </c>
      <c r="C6" s="237"/>
      <c r="D6" s="237"/>
      <c r="E6" s="237"/>
      <c r="F6" s="237"/>
      <c r="G6" s="237"/>
      <c r="H6" s="237"/>
      <c r="I6" s="237"/>
      <c r="J6" s="237"/>
      <c r="K6" s="265"/>
      <c r="L6" s="265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8"/>
    </row>
    <row r="7" spans="1:23" x14ac:dyDescent="0.35">
      <c r="A7" s="26" t="s">
        <v>5</v>
      </c>
      <c r="B7" s="230" t="s">
        <v>6</v>
      </c>
      <c r="C7" s="231"/>
      <c r="D7" s="231"/>
      <c r="E7" s="231"/>
      <c r="F7" s="231"/>
      <c r="G7" s="231"/>
      <c r="H7" s="231"/>
      <c r="I7" s="231"/>
      <c r="J7" s="231"/>
      <c r="K7" s="263"/>
      <c r="L7" s="263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2"/>
    </row>
    <row r="8" spans="1:23" x14ac:dyDescent="0.35">
      <c r="A8" s="26" t="s">
        <v>7</v>
      </c>
      <c r="B8" s="239" t="s">
        <v>103</v>
      </c>
      <c r="C8" s="239"/>
      <c r="D8" s="239"/>
      <c r="E8" s="239"/>
      <c r="F8" s="239"/>
      <c r="G8" s="239"/>
      <c r="H8" s="239"/>
      <c r="I8" s="239"/>
      <c r="J8" s="239"/>
      <c r="K8" s="266"/>
      <c r="L8" s="266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</row>
    <row r="9" spans="1:23" x14ac:dyDescent="0.35">
      <c r="A9" s="26" t="s">
        <v>8</v>
      </c>
      <c r="B9" s="240">
        <f>I15</f>
        <v>25000</v>
      </c>
      <c r="C9" s="241"/>
      <c r="D9" s="241"/>
      <c r="E9" s="241"/>
      <c r="F9" s="241"/>
      <c r="G9" s="241"/>
      <c r="H9" s="241"/>
      <c r="I9" s="241"/>
      <c r="J9" s="241"/>
      <c r="K9" s="267"/>
      <c r="L9" s="267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2"/>
    </row>
    <row r="10" spans="1:23" x14ac:dyDescent="0.35">
      <c r="A10" s="26" t="s">
        <v>9</v>
      </c>
      <c r="B10" s="233">
        <v>46184</v>
      </c>
      <c r="C10" s="234"/>
      <c r="D10" s="234"/>
      <c r="E10" s="234"/>
      <c r="F10" s="234"/>
      <c r="G10" s="234"/>
      <c r="H10" s="234"/>
      <c r="I10" s="234"/>
      <c r="J10" s="234"/>
      <c r="K10" s="264"/>
      <c r="L10" s="26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5"/>
    </row>
    <row r="11" spans="1:23" x14ac:dyDescent="0.35">
      <c r="A11" s="1" t="s">
        <v>10</v>
      </c>
      <c r="B11" s="233"/>
      <c r="C11" s="234"/>
      <c r="D11" s="234"/>
      <c r="E11" s="234"/>
      <c r="F11" s="234"/>
      <c r="G11" s="234"/>
      <c r="H11" s="234"/>
      <c r="I11" s="234"/>
      <c r="J11" s="234"/>
      <c r="K11" s="264"/>
      <c r="L11" s="26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7.5" x14ac:dyDescent="0.35">
      <c r="A12" s="221" t="s">
        <v>11</v>
      </c>
      <c r="B12" s="222"/>
      <c r="C12" s="222"/>
      <c r="D12" s="222"/>
      <c r="E12" s="222"/>
      <c r="F12" s="222"/>
      <c r="G12" s="222"/>
      <c r="H12" s="222"/>
      <c r="I12" s="222"/>
      <c r="J12" s="222"/>
      <c r="K12" s="256"/>
      <c r="L12" s="256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</row>
    <row r="13" spans="1:23" ht="73.5" customHeight="1" x14ac:dyDescent="0.35">
      <c r="A13" s="27" t="s">
        <v>12</v>
      </c>
      <c r="B13" s="28" t="s">
        <v>13</v>
      </c>
      <c r="C13" s="28" t="s">
        <v>14</v>
      </c>
      <c r="D13" s="28" t="s">
        <v>15</v>
      </c>
      <c r="E13" s="28" t="s">
        <v>16</v>
      </c>
      <c r="F13" s="29" t="s">
        <v>17</v>
      </c>
      <c r="G13" s="29" t="s">
        <v>65</v>
      </c>
      <c r="H13" s="29" t="s">
        <v>107</v>
      </c>
      <c r="I13" s="29" t="s">
        <v>18</v>
      </c>
      <c r="J13" s="29" t="s">
        <v>108</v>
      </c>
      <c r="K13" s="144" t="s">
        <v>199</v>
      </c>
      <c r="L13" s="29" t="s">
        <v>19</v>
      </c>
      <c r="M13" s="29" t="s">
        <v>81</v>
      </c>
      <c r="N13" s="29" t="s">
        <v>82</v>
      </c>
      <c r="O13" s="29" t="s">
        <v>20</v>
      </c>
      <c r="P13" s="29" t="s">
        <v>42</v>
      </c>
      <c r="Q13" s="27" t="s">
        <v>21</v>
      </c>
      <c r="R13" s="218" t="s">
        <v>22</v>
      </c>
      <c r="S13" s="219"/>
      <c r="T13" s="79" t="s">
        <v>109</v>
      </c>
      <c r="U13" s="29" t="s">
        <v>23</v>
      </c>
      <c r="V13" s="218" t="s">
        <v>24</v>
      </c>
      <c r="W13" s="220"/>
    </row>
    <row r="14" spans="1:23" s="153" customFormat="1" ht="112.5" customHeight="1" x14ac:dyDescent="0.45">
      <c r="A14" s="80">
        <v>1</v>
      </c>
      <c r="B14" s="81" t="s">
        <v>168</v>
      </c>
      <c r="C14" s="140" t="s">
        <v>50</v>
      </c>
      <c r="D14" s="145" t="s">
        <v>169</v>
      </c>
      <c r="E14" s="145" t="s">
        <v>25</v>
      </c>
      <c r="F14" s="140" t="s">
        <v>53</v>
      </c>
      <c r="G14" s="140" t="s">
        <v>70</v>
      </c>
      <c r="H14" s="146" t="s">
        <v>170</v>
      </c>
      <c r="I14" s="147">
        <v>25000</v>
      </c>
      <c r="J14" s="148"/>
      <c r="K14" s="147">
        <v>20000</v>
      </c>
      <c r="L14" s="147">
        <v>25000</v>
      </c>
      <c r="M14" s="149">
        <v>46161</v>
      </c>
      <c r="N14" s="150">
        <v>30758</v>
      </c>
      <c r="O14" s="4" t="s">
        <v>83</v>
      </c>
      <c r="P14" s="143"/>
      <c r="Q14" s="151" t="s">
        <v>171</v>
      </c>
      <c r="R14" s="322" t="s">
        <v>172</v>
      </c>
      <c r="S14" s="323"/>
      <c r="T14" s="101">
        <v>40000</v>
      </c>
      <c r="U14" s="152" t="s">
        <v>144</v>
      </c>
      <c r="V14" s="281" t="s">
        <v>173</v>
      </c>
      <c r="W14" s="282"/>
    </row>
    <row r="15" spans="1:23" s="114" customFormat="1" ht="38" customHeight="1" x14ac:dyDescent="0.45">
      <c r="A15" s="317" t="s">
        <v>8</v>
      </c>
      <c r="B15" s="317"/>
      <c r="C15" s="317"/>
      <c r="D15" s="317"/>
      <c r="E15" s="317"/>
      <c r="F15" s="317"/>
      <c r="G15" s="317"/>
      <c r="H15" s="317"/>
      <c r="I15" s="108">
        <f>SUBTOTAL(9,I14:I14)</f>
        <v>25000</v>
      </c>
      <c r="J15" s="7"/>
      <c r="K15" s="109"/>
      <c r="L15" s="109"/>
      <c r="M15" s="110"/>
      <c r="N15" s="110"/>
      <c r="O15" s="111"/>
      <c r="P15" s="103"/>
      <c r="Q15" s="112"/>
      <c r="R15" s="103"/>
      <c r="S15" s="103"/>
      <c r="T15" s="103"/>
      <c r="U15" s="113"/>
      <c r="V15" s="103"/>
      <c r="W15" s="103"/>
    </row>
    <row r="16" spans="1:23" s="114" customFormat="1" ht="34.5" customHeight="1" x14ac:dyDescent="0.45">
      <c r="A16" s="154" t="s">
        <v>27</v>
      </c>
      <c r="B16" s="206" t="s">
        <v>174</v>
      </c>
      <c r="C16" s="206"/>
      <c r="D16" s="206"/>
      <c r="E16" s="206"/>
      <c r="F16" s="206"/>
      <c r="G16" s="206"/>
      <c r="H16" s="206"/>
      <c r="I16" s="206"/>
      <c r="J16" s="239"/>
      <c r="K16" s="321"/>
      <c r="L16" s="321"/>
      <c r="M16" s="206"/>
      <c r="N16" s="206"/>
      <c r="O16" s="206"/>
      <c r="P16" s="116"/>
      <c r="Q16" s="141"/>
      <c r="R16" s="118"/>
      <c r="S16" s="118"/>
      <c r="T16" s="118"/>
      <c r="U16" s="119"/>
      <c r="V16" s="118"/>
      <c r="W16" s="118"/>
    </row>
    <row r="17" spans="1:17" s="120" customFormat="1" ht="25.5" customHeight="1" x14ac:dyDescent="0.35">
      <c r="J17" s="25"/>
      <c r="K17" s="121"/>
      <c r="L17" s="121"/>
      <c r="M17" s="122"/>
      <c r="N17" s="122"/>
    </row>
    <row r="18" spans="1:17" s="120" customFormat="1" ht="16" thickBot="1" x14ac:dyDescent="0.4">
      <c r="J18" s="25"/>
      <c r="K18" s="121"/>
      <c r="L18" s="121"/>
      <c r="M18" s="122"/>
      <c r="N18" s="122"/>
    </row>
    <row r="19" spans="1:17" s="120" customFormat="1" ht="37" customHeight="1" thickBot="1" x14ac:dyDescent="0.4">
      <c r="A19" s="324" t="s">
        <v>175</v>
      </c>
      <c r="B19" s="325"/>
      <c r="C19" s="325"/>
      <c r="D19" s="325"/>
      <c r="E19" s="325"/>
      <c r="F19" s="325"/>
      <c r="G19" s="325"/>
      <c r="H19" s="326"/>
      <c r="J19" s="25"/>
      <c r="K19" s="121"/>
      <c r="L19" s="121"/>
      <c r="M19" s="122"/>
      <c r="N19" s="122"/>
    </row>
    <row r="20" spans="1:17" s="120" customFormat="1" ht="37" customHeight="1" thickBot="1" x14ac:dyDescent="0.4">
      <c r="A20" s="155" t="s">
        <v>176</v>
      </c>
      <c r="B20" s="155" t="s">
        <v>22</v>
      </c>
      <c r="C20" s="155" t="s">
        <v>21</v>
      </c>
      <c r="D20" s="327" t="s">
        <v>177</v>
      </c>
      <c r="E20" s="328"/>
      <c r="F20" s="329"/>
      <c r="G20" s="156" t="s">
        <v>178</v>
      </c>
      <c r="H20" s="156" t="s">
        <v>179</v>
      </c>
      <c r="J20" s="25"/>
      <c r="K20" s="121"/>
      <c r="L20" s="121"/>
      <c r="M20" s="122"/>
      <c r="N20" s="122"/>
    </row>
    <row r="21" spans="1:17" s="120" customFormat="1" ht="37" customHeight="1" thickBot="1" x14ac:dyDescent="0.4">
      <c r="A21" s="155">
        <v>1</v>
      </c>
      <c r="B21" s="157" t="s">
        <v>180</v>
      </c>
      <c r="C21" s="158" t="s">
        <v>171</v>
      </c>
      <c r="D21" s="330" t="s">
        <v>181</v>
      </c>
      <c r="E21" s="331"/>
      <c r="F21" s="332"/>
      <c r="G21" s="159">
        <f>I15</f>
        <v>25000</v>
      </c>
      <c r="H21" s="160" t="s">
        <v>182</v>
      </c>
      <c r="J21" s="25"/>
      <c r="K21" s="121"/>
      <c r="L21" s="121"/>
      <c r="M21" s="122"/>
      <c r="N21" s="122"/>
    </row>
    <row r="22" spans="1:17" s="120" customFormat="1" ht="74" customHeight="1" x14ac:dyDescent="0.35">
      <c r="A22" s="161"/>
      <c r="B22" s="316" t="s">
        <v>28</v>
      </c>
      <c r="C22" s="316"/>
      <c r="D22" s="316"/>
      <c r="E22" s="316" t="s">
        <v>29</v>
      </c>
      <c r="F22" s="316"/>
      <c r="G22" s="142"/>
      <c r="H22" s="316" t="s">
        <v>30</v>
      </c>
      <c r="I22" s="316"/>
      <c r="J22" s="139"/>
      <c r="K22" s="125"/>
      <c r="L22" s="125"/>
      <c r="M22" s="316" t="s">
        <v>31</v>
      </c>
      <c r="N22" s="316"/>
      <c r="O22" s="316"/>
      <c r="P22" s="126"/>
      <c r="Q22" s="126"/>
    </row>
    <row r="23" spans="1:17" s="120" customFormat="1" ht="15.5" x14ac:dyDescent="0.35">
      <c r="A23" s="333" t="s">
        <v>32</v>
      </c>
      <c r="B23" s="333"/>
      <c r="C23" s="129"/>
      <c r="D23" s="334"/>
      <c r="E23" s="334"/>
      <c r="F23" s="129"/>
      <c r="G23" s="162" t="s">
        <v>33</v>
      </c>
      <c r="H23" s="129"/>
      <c r="I23" s="335" t="s">
        <v>34</v>
      </c>
      <c r="J23" s="335"/>
      <c r="K23" s="335"/>
      <c r="L23" s="163"/>
      <c r="M23" s="334" t="s">
        <v>47</v>
      </c>
      <c r="N23" s="334"/>
      <c r="O23" s="334"/>
      <c r="P23" s="129"/>
      <c r="Q23" s="129"/>
    </row>
    <row r="24" spans="1:17" s="120" customFormat="1" ht="15.5" x14ac:dyDescent="0.35">
      <c r="A24" s="333" t="s">
        <v>6</v>
      </c>
      <c r="B24" s="333"/>
      <c r="C24" s="132"/>
      <c r="D24" s="132"/>
      <c r="E24" s="132"/>
      <c r="F24" s="132"/>
      <c r="G24" s="164" t="s">
        <v>35</v>
      </c>
      <c r="H24" s="132"/>
      <c r="I24" s="336" t="s">
        <v>36</v>
      </c>
      <c r="J24" s="336"/>
      <c r="K24" s="336"/>
      <c r="L24" s="165"/>
      <c r="M24" s="333" t="s">
        <v>37</v>
      </c>
      <c r="N24" s="333"/>
      <c r="O24" s="333"/>
      <c r="P24" s="132"/>
      <c r="Q24" s="132"/>
    </row>
    <row r="25" spans="1:17" s="120" customFormat="1" ht="15.5" x14ac:dyDescent="0.35">
      <c r="A25" s="337" t="s">
        <v>103</v>
      </c>
      <c r="B25" s="337"/>
      <c r="C25" s="134"/>
      <c r="D25" s="132"/>
      <c r="E25" s="132"/>
      <c r="F25" s="132"/>
      <c r="G25" s="164" t="s">
        <v>46</v>
      </c>
      <c r="H25" s="132"/>
      <c r="I25" s="338" t="s">
        <v>104</v>
      </c>
      <c r="J25" s="338"/>
      <c r="K25" s="338"/>
      <c r="L25" s="166"/>
      <c r="M25" s="337" t="s">
        <v>38</v>
      </c>
      <c r="N25" s="337"/>
      <c r="O25" s="337"/>
      <c r="P25" s="134"/>
      <c r="Q25" s="134"/>
    </row>
    <row r="26" spans="1:17" s="120" customFormat="1" ht="15.5" x14ac:dyDescent="0.35">
      <c r="A26" s="337" t="s">
        <v>39</v>
      </c>
      <c r="B26" s="337"/>
      <c r="C26" s="134"/>
      <c r="D26" s="134"/>
      <c r="E26" s="134"/>
      <c r="F26" s="134"/>
      <c r="G26" s="167" t="s">
        <v>39</v>
      </c>
      <c r="H26" s="134"/>
      <c r="I26" s="338" t="s">
        <v>39</v>
      </c>
      <c r="J26" s="338"/>
      <c r="K26" s="338"/>
      <c r="L26" s="166"/>
      <c r="M26" s="134"/>
      <c r="N26" s="167"/>
      <c r="O26" s="134"/>
    </row>
    <row r="27" spans="1:17" ht="31" customHeight="1" x14ac:dyDescent="0.35"/>
    <row r="28" spans="1:17" ht="25" customHeight="1" x14ac:dyDescent="0.35"/>
    <row r="29" spans="1:17" ht="21.5" customHeight="1" x14ac:dyDescent="0.35"/>
    <row r="31" spans="1:17" ht="15.5" x14ac:dyDescent="0.35">
      <c r="G31" s="334" t="s">
        <v>163</v>
      </c>
      <c r="H31" s="334"/>
      <c r="I31" s="334"/>
    </row>
    <row r="32" spans="1:17" ht="15" x14ac:dyDescent="0.35">
      <c r="G32" s="333" t="s">
        <v>164</v>
      </c>
      <c r="H32" s="333"/>
      <c r="I32" s="333"/>
    </row>
    <row r="33" spans="7:9" ht="15" x14ac:dyDescent="0.35">
      <c r="G33" s="333" t="s">
        <v>165</v>
      </c>
      <c r="H33" s="333"/>
      <c r="I33" s="333"/>
    </row>
    <row r="34" spans="7:9" ht="15" x14ac:dyDescent="0.35">
      <c r="G34" s="337" t="s">
        <v>166</v>
      </c>
      <c r="H34" s="337"/>
      <c r="I34" s="337"/>
    </row>
  </sheetData>
  <mergeCells count="41">
    <mergeCell ref="G34:I34"/>
    <mergeCell ref="A25:B25"/>
    <mergeCell ref="M25:O25"/>
    <mergeCell ref="A26:B26"/>
    <mergeCell ref="G31:I31"/>
    <mergeCell ref="G32:I32"/>
    <mergeCell ref="G33:I33"/>
    <mergeCell ref="I25:K25"/>
    <mergeCell ref="I26:K26"/>
    <mergeCell ref="M22:O22"/>
    <mergeCell ref="A23:B23"/>
    <mergeCell ref="D23:E23"/>
    <mergeCell ref="M23:O23"/>
    <mergeCell ref="A24:B24"/>
    <mergeCell ref="M24:O24"/>
    <mergeCell ref="I23:K23"/>
    <mergeCell ref="I24:K24"/>
    <mergeCell ref="A19:H19"/>
    <mergeCell ref="D20:F20"/>
    <mergeCell ref="D21:F21"/>
    <mergeCell ref="B22:D22"/>
    <mergeCell ref="E22:F22"/>
    <mergeCell ref="H22:I22"/>
    <mergeCell ref="B16:O16"/>
    <mergeCell ref="B7:W7"/>
    <mergeCell ref="B8:W8"/>
    <mergeCell ref="B9:W9"/>
    <mergeCell ref="B10:W10"/>
    <mergeCell ref="B11:W11"/>
    <mergeCell ref="A12:W12"/>
    <mergeCell ref="R13:S13"/>
    <mergeCell ref="V13:W13"/>
    <mergeCell ref="R14:S14"/>
    <mergeCell ref="V14:W14"/>
    <mergeCell ref="A15:H15"/>
    <mergeCell ref="B6:W6"/>
    <mergeCell ref="A1:W1"/>
    <mergeCell ref="B2:W2"/>
    <mergeCell ref="B3:W3"/>
    <mergeCell ref="B4:W4"/>
    <mergeCell ref="B5:W5"/>
  </mergeCells>
  <pageMargins left="0.17" right="0.17" top="0.3" bottom="0.17" header="0.3" footer="0.17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May-01</vt:lpstr>
      <vt:lpstr>May-02</vt:lpstr>
      <vt:lpstr>May-03</vt:lpstr>
      <vt:lpstr>May-004</vt:lpstr>
      <vt:lpstr>'May-004'!Print_Area</vt:lpstr>
      <vt:lpstr>'May-01'!Print_Area</vt:lpstr>
      <vt:lpstr>'May-02'!Print_Area</vt:lpstr>
      <vt:lpstr>'May-03'!Print_Area</vt:lpstr>
      <vt:lpstr>'May-004'!Print_Titles</vt:lpstr>
      <vt:lpstr>'May-03'!Print_Titles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Afroze Hassan/Administration SCL</dc:creator>
  <cp:lastModifiedBy>Ruhi Afroze Hassan/Administration SComm</cp:lastModifiedBy>
  <cp:lastPrinted>2026-06-02T05:22:00Z</cp:lastPrinted>
  <dcterms:created xsi:type="dcterms:W3CDTF">2021-04-18T02:57:09Z</dcterms:created>
  <dcterms:modified xsi:type="dcterms:W3CDTF">2026-06-02T06:15:55Z</dcterms:modified>
</cp:coreProperties>
</file>