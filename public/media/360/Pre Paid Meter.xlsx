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Prepaid Meter Requisition\"/>
    </mc:Choice>
  </mc:AlternateContent>
  <xr:revisionPtr revIDLastSave="0" documentId="13_ncr:1_{C52B4B5F-18DA-417C-842E-B9D3FF5C932C}" xr6:coauthVersionLast="47" xr6:coauthVersionMax="47" xr10:uidLastSave="{00000000-0000-0000-0000-000000000000}"/>
  <bookViews>
    <workbookView minimized="1" xWindow="1040" yWindow="1040" windowWidth="19180" windowHeight="10060" firstSheet="113" activeTab="113" xr2:uid="{7093D711-C10F-40C3-ABA8-D2A7B1C96573}"/>
  </bookViews>
  <sheets>
    <sheet name="Nov-23 Info" sheetId="1" r:id="rId1"/>
    <sheet name="Nov-23 Scomm" sheetId="2" r:id="rId2"/>
    <sheet name="Sheet1" sheetId="5" r:id="rId3"/>
    <sheet name="Feb-24 Info" sheetId="4" r:id="rId4"/>
    <sheet name="Sheet2" sheetId="6" r:id="rId5"/>
    <sheet name="April 24 Info" sheetId="10" r:id="rId6"/>
    <sheet name="Sheet7" sheetId="15" r:id="rId7"/>
    <sheet name="May 24 Info" sheetId="13" r:id="rId8"/>
    <sheet name="Jun 24 Info" sheetId="18" r:id="rId9"/>
    <sheet name="July Info" sheetId="21" r:id="rId10"/>
    <sheet name="Nov Info" sheetId="22" r:id="rId11"/>
    <sheet name="Dec Info" sheetId="24" r:id="rId12"/>
    <sheet name="Feb 25 Info" sheetId="32" r:id="rId13"/>
    <sheet name="Mar 25 Info" sheetId="36" r:id="rId14"/>
    <sheet name="Apr 25 Info" sheetId="38" r:id="rId15"/>
    <sheet name="May 25 Info" sheetId="45" r:id="rId16"/>
    <sheet name="Jun 25 Info" sheetId="57" r:id="rId17"/>
    <sheet name="Sheet21" sheetId="61" r:id="rId18"/>
    <sheet name="Sheet25" sheetId="62" r:id="rId19"/>
    <sheet name="Sheet31" sheetId="63" r:id="rId20"/>
    <sheet name="Sheet32" sheetId="64" r:id="rId21"/>
    <sheet name="Sheet34" sheetId="65" r:id="rId22"/>
    <sheet name="Sheet19" sheetId="44" r:id="rId23"/>
    <sheet name="Sheet28" sheetId="54" r:id="rId24"/>
    <sheet name="Sheet30" sheetId="56" r:id="rId25"/>
    <sheet name="Sheet20" sheetId="60" r:id="rId26"/>
    <sheet name="Sheet18" sheetId="43" r:id="rId27"/>
    <sheet name="Sheet15" sheetId="40" r:id="rId28"/>
    <sheet name="Jan 25 Info " sheetId="28" r:id="rId29"/>
    <sheet name="Sheet23" sheetId="49" r:id="rId30"/>
    <sheet name="Sheet9" sheetId="26" r:id="rId31"/>
    <sheet name="Sheet10" sheetId="27" r:id="rId32"/>
    <sheet name="Sheet12" sheetId="31" r:id="rId33"/>
    <sheet name="July SComm" sheetId="20" r:id="rId34"/>
    <sheet name="Nov Scomm" sheetId="23" r:id="rId35"/>
    <sheet name="Dec Scomm" sheetId="25" r:id="rId36"/>
    <sheet name="Mar 25 Scomm" sheetId="37" r:id="rId37"/>
    <sheet name="Sheet16" sheetId="41" r:id="rId38"/>
    <sheet name="Sheet17" sheetId="42" r:id="rId39"/>
    <sheet name="Apr 25 Scomm" sheetId="39" r:id="rId40"/>
    <sheet name="May 25 SCOmm" sheetId="46" r:id="rId41"/>
    <sheet name="Sheet13" sheetId="34" r:id="rId42"/>
    <sheet name="Sheet11" sheetId="30" r:id="rId43"/>
    <sheet name="Sheet14" sheetId="35" r:id="rId44"/>
    <sheet name="Info July 25" sheetId="66" r:id="rId45"/>
    <sheet name="Info Aug 25" sheetId="73" r:id="rId46"/>
    <sheet name="Sheet35" sheetId="69" r:id="rId47"/>
    <sheet name="Sheet36" sheetId="67" r:id="rId48"/>
    <sheet name="Jan 25 SComm" sheetId="29" r:id="rId49"/>
    <sheet name="Feb 25 Scomm" sheetId="33" r:id="rId50"/>
    <sheet name="June 24 scomm" sheetId="19" r:id="rId51"/>
    <sheet name="May 24 Scomm" sheetId="14" r:id="rId52"/>
    <sheet name="Sheet27" sheetId="53" r:id="rId53"/>
    <sheet name="Sheet3" sheetId="16" r:id="rId54"/>
    <sheet name="Feb-24 Scomm" sheetId="3" r:id="rId55"/>
    <sheet name="April 24 Scomm" sheetId="11" r:id="rId56"/>
    <sheet name="Sheet4" sheetId="8" r:id="rId57"/>
    <sheet name="Sheet5" sheetId="9" r:id="rId58"/>
    <sheet name="Sheet22" sheetId="48" r:id="rId59"/>
    <sheet name="Sheet33" sheetId="72" r:id="rId60"/>
    <sheet name="Sheet29" sheetId="55" r:id="rId61"/>
    <sheet name="Sheet24" sheetId="50" r:id="rId62"/>
    <sheet name="Sheet26" sheetId="52" r:id="rId63"/>
    <sheet name="Sheet8" sheetId="12" r:id="rId64"/>
    <sheet name="Sheet6" sheetId="17" r:id="rId65"/>
    <sheet name="Jun 25 Scomm" sheetId="58" r:id="rId66"/>
    <sheet name="Sheet43" sheetId="80" r:id="rId67"/>
    <sheet name="Jul 25 Scomm" sheetId="68" r:id="rId68"/>
    <sheet name="Aug 25 Scomm" sheetId="74" r:id="rId69"/>
    <sheet name="Sheet37" sheetId="70" r:id="rId70"/>
    <sheet name="Sheet38" sheetId="71" r:id="rId71"/>
    <sheet name="Sheet39" sheetId="75" r:id="rId72"/>
    <sheet name="Sheet41" sheetId="77" r:id="rId73"/>
    <sheet name="Sheet40" sheetId="78" r:id="rId74"/>
    <sheet name="Sheet42" sheetId="79" r:id="rId75"/>
    <sheet name="Info Oct 25" sheetId="81" r:id="rId76"/>
    <sheet name="Scomm Oct 25" sheetId="82" r:id="rId77"/>
    <sheet name="Sheet44" sheetId="83" r:id="rId78"/>
    <sheet name="Sheet45" sheetId="84" r:id="rId79"/>
    <sheet name="Sheet46" sheetId="85" r:id="rId80"/>
    <sheet name="Sheet47" sheetId="86" r:id="rId81"/>
    <sheet name="Nov 25 Info" sheetId="87" r:id="rId82"/>
    <sheet name="Nov 25 Scomm" sheetId="88" r:id="rId83"/>
    <sheet name="Dec 25 Info" sheetId="89" r:id="rId84"/>
    <sheet name="Dec 25 Scomm" sheetId="90" r:id="rId85"/>
    <sheet name="Jan 26 Info" sheetId="91" r:id="rId86"/>
    <sheet name="Sheet52" sheetId="97" r:id="rId87"/>
    <sheet name="Jan 26 Scomm" sheetId="92" r:id="rId88"/>
    <sheet name="Sheet56" sheetId="103" r:id="rId89"/>
    <sheet name="Sheet48" sheetId="93" r:id="rId90"/>
    <sheet name="Sheet50" sheetId="94" r:id="rId91"/>
    <sheet name="Sheet49" sheetId="95" r:id="rId92"/>
    <sheet name="Sheet51" sheetId="96" r:id="rId93"/>
    <sheet name="Feb 26 Info" sheetId="98" r:id="rId94"/>
    <sheet name="Sheet53" sheetId="99" r:id="rId95"/>
    <sheet name="Sheet54" sheetId="100" r:id="rId96"/>
    <sheet name="Sheet55" sheetId="101" r:id="rId97"/>
    <sheet name="Sheet57" sheetId="105" r:id="rId98"/>
    <sheet name="Info Mar 26" sheetId="102" r:id="rId99"/>
    <sheet name="Mar 26 SComm" sheetId="104" r:id="rId100"/>
    <sheet name="Sheet59" sheetId="107" r:id="rId101"/>
    <sheet name="April 26 Info" sheetId="106" r:id="rId102"/>
    <sheet name="Sheet65" sheetId="117" r:id="rId103"/>
    <sheet name="April 26 Scomm" sheetId="108" r:id="rId104"/>
    <sheet name="Sheet58" sheetId="109" r:id="rId105"/>
    <sheet name="Sheet60" sheetId="110" r:id="rId106"/>
    <sheet name="May Info 2026" sheetId="111" r:id="rId107"/>
    <sheet name="May Scomm 2026" sheetId="112" r:id="rId108"/>
    <sheet name="Sheet61" sheetId="113" r:id="rId109"/>
    <sheet name="Sheet62" sheetId="114" r:id="rId110"/>
    <sheet name="Sheet63" sheetId="115" r:id="rId111"/>
    <sheet name="Sheet64" sheetId="116" r:id="rId112"/>
    <sheet name="June 2026 Info" sheetId="118" r:id="rId113"/>
    <sheet name="June 2026 Scomm" sheetId="119" r:id="rId114"/>
    <sheet name="Sheet66" sheetId="120" r:id="rId115"/>
    <sheet name="Sheet67" sheetId="121" r:id="rId116"/>
  </sheets>
  <definedNames>
    <definedName name="_xlnm._FilterDatabase" localSheetId="98" hidden="1">'Info Mar 26'!$A$11:$M$39</definedName>
    <definedName name="_xlnm.Print_Area" localSheetId="0">'Nov-23 Info'!$A$1:$M$33</definedName>
    <definedName name="_xlnm.Print_Area" localSheetId="1">'Nov-23 Scomm'!$A$1:$M$23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121" l="1"/>
  <c r="C8" i="121" s="1"/>
  <c r="C8" i="120"/>
  <c r="H20" i="119"/>
  <c r="C8" i="119" s="1"/>
  <c r="H38" i="118"/>
  <c r="C8" i="118" s="1"/>
  <c r="H13" i="117"/>
  <c r="C8" i="117" s="1"/>
  <c r="H13" i="116"/>
  <c r="C8" i="116" s="1"/>
  <c r="H13" i="115"/>
  <c r="C8" i="115" s="1"/>
  <c r="C8" i="114"/>
  <c r="H13" i="113"/>
  <c r="C8" i="113" s="1"/>
  <c r="H20" i="112"/>
  <c r="C8" i="112" s="1"/>
  <c r="H31" i="111"/>
  <c r="C8" i="111" s="1"/>
  <c r="H13" i="110"/>
  <c r="C8" i="110" s="1"/>
  <c r="H13" i="109"/>
  <c r="C8" i="109" s="1"/>
  <c r="H13" i="107"/>
  <c r="C8" i="107" s="1"/>
  <c r="H19" i="108"/>
  <c r="C8" i="108" s="1"/>
  <c r="H37" i="106"/>
  <c r="C8" i="106" s="1"/>
  <c r="H13" i="105"/>
  <c r="C8" i="105" s="1"/>
  <c r="H20" i="104" l="1"/>
  <c r="C8" i="104" s="1"/>
  <c r="H39" i="102"/>
  <c r="C8" i="102" s="1"/>
  <c r="H13" i="101"/>
  <c r="C8" i="101" s="1"/>
  <c r="H13" i="100" l="1"/>
  <c r="C8" i="100" s="1"/>
  <c r="H19" i="99"/>
  <c r="C8" i="99" s="1"/>
  <c r="H36" i="98"/>
  <c r="C8" i="98" s="1"/>
  <c r="H13" i="96"/>
  <c r="C8" i="96" s="1"/>
  <c r="H13" i="95"/>
  <c r="C8" i="95" s="1"/>
  <c r="H13" i="94"/>
  <c r="C8" i="94" s="1"/>
  <c r="H13" i="93"/>
  <c r="C8" i="93" s="1"/>
  <c r="H19" i="92"/>
  <c r="C8" i="92" s="1"/>
  <c r="H36" i="91"/>
  <c r="C8" i="91" s="1"/>
  <c r="H21" i="90"/>
  <c r="C8" i="90" s="1"/>
  <c r="H38" i="89" l="1"/>
  <c r="C8" i="89" s="1"/>
  <c r="H21" i="88"/>
  <c r="C8" i="88" s="1"/>
  <c r="H34" i="87" l="1"/>
  <c r="C8" i="87" s="1"/>
  <c r="H13" i="86"/>
  <c r="C8" i="86" s="1"/>
  <c r="H13" i="85"/>
  <c r="C8" i="85" s="1"/>
  <c r="H13" i="84"/>
  <c r="C8" i="84" s="1"/>
  <c r="H13" i="83"/>
  <c r="C8" i="83" s="1"/>
  <c r="H21" i="82"/>
  <c r="C8" i="82" s="1"/>
  <c r="H34" i="81"/>
  <c r="C8" i="81" s="1"/>
  <c r="H13" i="79"/>
  <c r="C8" i="79" s="1"/>
  <c r="H13" i="78"/>
  <c r="C8" i="78" s="1"/>
  <c r="H13" i="77"/>
  <c r="C8" i="77" s="1"/>
  <c r="H13" i="75"/>
  <c r="C8" i="75" s="1"/>
  <c r="H20" i="74"/>
  <c r="C8" i="74" s="1"/>
  <c r="H34" i="73" l="1"/>
  <c r="C8" i="73" s="1"/>
  <c r="H15" i="72"/>
  <c r="C8" i="72" s="1"/>
  <c r="H13" i="71"/>
  <c r="C8" i="71" s="1"/>
  <c r="H13" i="70"/>
  <c r="C8" i="70" s="1"/>
  <c r="H13" i="67"/>
  <c r="C8" i="67" s="1"/>
  <c r="H14" i="69"/>
  <c r="C8" i="69" s="1"/>
  <c r="H20" i="68"/>
  <c r="C8" i="68" s="1"/>
  <c r="H32" i="66"/>
  <c r="C8" i="66" s="1"/>
  <c r="H13" i="65"/>
  <c r="C8" i="65" s="1"/>
  <c r="J12" i="65"/>
  <c r="H14" i="63"/>
  <c r="H15" i="64"/>
  <c r="C8" i="64" s="1"/>
  <c r="J12" i="63" l="1"/>
  <c r="C8" i="63"/>
  <c r="H13" i="62"/>
  <c r="C8" i="62" s="1"/>
  <c r="H31" i="61"/>
  <c r="C8" i="61" s="1"/>
  <c r="H13" i="60"/>
  <c r="C8" i="60" s="1"/>
  <c r="H19" i="58"/>
  <c r="C8" i="58" s="1"/>
  <c r="H31" i="57"/>
  <c r="C8" i="57" s="1"/>
  <c r="H14" i="56"/>
  <c r="C8" i="56" s="1"/>
  <c r="H13" i="55"/>
  <c r="C8" i="55" s="1"/>
  <c r="H15" i="54" l="1"/>
  <c r="C8" i="54" s="1"/>
  <c r="H13" i="53" l="1"/>
  <c r="C8" i="53" s="1"/>
  <c r="H13" i="52"/>
  <c r="H13" i="50"/>
  <c r="C8" i="50" s="1"/>
  <c r="C8" i="49"/>
  <c r="H13" i="48"/>
  <c r="C8" i="48" s="1"/>
  <c r="H20" i="46"/>
  <c r="C8" i="46" s="1"/>
  <c r="H28" i="45"/>
  <c r="C8" i="45" s="1"/>
  <c r="H13" i="44"/>
  <c r="C8" i="44" s="1"/>
  <c r="H13" i="43"/>
  <c r="C8" i="43" s="1"/>
  <c r="H13" i="42"/>
  <c r="C8" i="42" s="1"/>
  <c r="H13" i="41"/>
  <c r="C8" i="41" s="1"/>
  <c r="H13" i="40"/>
  <c r="C8" i="40" s="1"/>
  <c r="H20" i="39"/>
  <c r="C8" i="39" s="1"/>
  <c r="H29" i="38"/>
  <c r="C8" i="38" l="1"/>
  <c r="H20" i="37"/>
  <c r="C8" i="37" s="1"/>
  <c r="H28" i="36"/>
  <c r="C8" i="36" s="1"/>
  <c r="H13" i="35"/>
  <c r="C8" i="35" s="1"/>
  <c r="H13" i="34"/>
  <c r="C8" i="34" s="1"/>
  <c r="H16" i="33"/>
  <c r="C8" i="33" s="1"/>
  <c r="H28" i="32"/>
  <c r="C8" i="32" s="1"/>
  <c r="H13" i="31" l="1"/>
  <c r="C8" i="31" s="1"/>
  <c r="H13" i="30"/>
  <c r="C8" i="30" s="1"/>
  <c r="H17" i="29"/>
  <c r="C8" i="29" s="1"/>
  <c r="H27" i="28" l="1"/>
  <c r="C8" i="28" s="1"/>
  <c r="H13" i="27"/>
  <c r="C8" i="27" s="1"/>
  <c r="H13" i="26"/>
  <c r="C8" i="26" s="1"/>
  <c r="H19" i="25"/>
  <c r="C8" i="25" s="1"/>
  <c r="H27" i="24"/>
  <c r="C8" i="24" s="1"/>
  <c r="H18" i="23" l="1"/>
  <c r="C8" i="23" s="1"/>
  <c r="H26" i="22"/>
  <c r="C8" i="22" s="1"/>
  <c r="H23" i="21"/>
  <c r="C8" i="21" s="1"/>
  <c r="H17" i="20"/>
  <c r="C8" i="20" s="1"/>
  <c r="H17" i="19"/>
  <c r="C8" i="19" s="1"/>
  <c r="H25" i="18"/>
  <c r="C8" i="18" s="1"/>
  <c r="C8" i="17" l="1"/>
  <c r="H14" i="16" l="1"/>
  <c r="C8" i="16" l="1"/>
  <c r="H14" i="15"/>
  <c r="C8" i="15" s="1"/>
  <c r="H15" i="14"/>
  <c r="C8" i="14" s="1"/>
  <c r="H23" i="13"/>
  <c r="C8" i="13" s="1"/>
  <c r="H14" i="12"/>
  <c r="C8" i="12" s="1"/>
  <c r="H17" i="11" l="1"/>
  <c r="C8" i="11" s="1"/>
  <c r="H26" i="10"/>
  <c r="C8" i="10" s="1"/>
  <c r="C8" i="9" l="1"/>
  <c r="H14" i="8" l="1"/>
  <c r="C8" i="8" s="1"/>
  <c r="H13" i="6"/>
  <c r="C8" i="6" s="1"/>
  <c r="H13" i="5"/>
  <c r="C8" i="5" s="1"/>
  <c r="H25" i="4"/>
  <c r="C8" i="4" s="1"/>
  <c r="H15" i="3"/>
  <c r="C8" i="3" s="1"/>
  <c r="H25" i="1"/>
  <c r="C8" i="1" s="1"/>
  <c r="H15" i="2"/>
  <c r="C8" i="2" s="1"/>
</calcChain>
</file>

<file path=xl/sharedStrings.xml><?xml version="1.0" encoding="utf-8"?>
<sst xmlns="http://schemas.openxmlformats.org/spreadsheetml/2006/main" count="10795" uniqueCount="580">
  <si>
    <t xml:space="preserve">Requisition for Prepaid Meter Recharge </t>
  </si>
  <si>
    <t>Project:</t>
  </si>
  <si>
    <t>Info Sarker Phase -3</t>
  </si>
  <si>
    <t>Ref. No</t>
  </si>
  <si>
    <t>Purposes:</t>
  </si>
  <si>
    <t>Date:</t>
  </si>
  <si>
    <t>HR ID:</t>
  </si>
  <si>
    <t>Name:</t>
  </si>
  <si>
    <t>Total ( BDT)</t>
  </si>
  <si>
    <t>Description of Bill</t>
  </si>
  <si>
    <t>SL No</t>
  </si>
  <si>
    <t>Site/ Office/ POP Neme</t>
  </si>
  <si>
    <t xml:space="preserve">Location / District </t>
  </si>
  <si>
    <t>Site Code</t>
  </si>
  <si>
    <t>PoP Type</t>
  </si>
  <si>
    <t>Authorities Name</t>
  </si>
  <si>
    <t>Prepaid Meter No</t>
  </si>
  <si>
    <t>Required Amount (BDT)</t>
  </si>
  <si>
    <t>Total Balance After last Recharge</t>
  </si>
  <si>
    <t>Last Recharge Date</t>
  </si>
  <si>
    <t>Last Recharge (BDT)</t>
  </si>
  <si>
    <t>Per Day Expence (Approx.)</t>
  </si>
  <si>
    <t>Bhaluka</t>
  </si>
  <si>
    <t>Mymensingh</t>
  </si>
  <si>
    <t>POP</t>
  </si>
  <si>
    <t>BPDB</t>
  </si>
  <si>
    <t>Fulbaria</t>
  </si>
  <si>
    <t>0677</t>
  </si>
  <si>
    <t>010230029284</t>
  </si>
  <si>
    <t>BDT 250/Day</t>
  </si>
  <si>
    <t>Sherpur</t>
  </si>
  <si>
    <t>0461</t>
  </si>
  <si>
    <t>Core</t>
  </si>
  <si>
    <t>010130011987</t>
  </si>
  <si>
    <t>Nalitabari_Sherpur</t>
  </si>
  <si>
    <t>010910038983</t>
  </si>
  <si>
    <t>Trishal Netrokona</t>
  </si>
  <si>
    <t>010410065786</t>
  </si>
  <si>
    <t>Gaforgaon PoP</t>
  </si>
  <si>
    <t>1235</t>
  </si>
  <si>
    <t>010510025669</t>
  </si>
  <si>
    <t>Nilphamari Sadar</t>
  </si>
  <si>
    <t>Nilpahmari</t>
  </si>
  <si>
    <t>0457</t>
  </si>
  <si>
    <t>NESCO</t>
  </si>
  <si>
    <t>More than 1000/-</t>
  </si>
  <si>
    <t>Sharisabari</t>
  </si>
  <si>
    <t>0666</t>
  </si>
  <si>
    <t>Shokhipur Info</t>
  </si>
  <si>
    <t>Tangail</t>
  </si>
  <si>
    <t>0803</t>
  </si>
  <si>
    <t>010130011706</t>
  </si>
  <si>
    <t>BDT 200/Day</t>
  </si>
  <si>
    <t>Bhuapur Info</t>
  </si>
  <si>
    <t>0650</t>
  </si>
  <si>
    <t>010230017930</t>
  </si>
  <si>
    <t xml:space="preserve">Ghatail Info </t>
  </si>
  <si>
    <t>0698</t>
  </si>
  <si>
    <t>010230019983</t>
  </si>
  <si>
    <t>Kalihati Info</t>
  </si>
  <si>
    <t>1549</t>
  </si>
  <si>
    <t>010230022457</t>
  </si>
  <si>
    <t>Tangail Sadar</t>
  </si>
  <si>
    <t>0744</t>
  </si>
  <si>
    <t>Pop</t>
  </si>
  <si>
    <t>010130009753</t>
  </si>
  <si>
    <t xml:space="preserve">                                                      </t>
  </si>
  <si>
    <t xml:space="preserve">                                                               </t>
  </si>
  <si>
    <t xml:space="preserve">                                             </t>
  </si>
  <si>
    <t>Requisition By</t>
  </si>
  <si>
    <t>Checked By</t>
  </si>
  <si>
    <t>Recommended By</t>
  </si>
  <si>
    <t>Approve By</t>
  </si>
  <si>
    <t>Kazi Shawon</t>
  </si>
  <si>
    <t>Md. Abdur Rashed</t>
  </si>
  <si>
    <t>Brig. Gen. Ali Murtoza Khan (Retd.)</t>
  </si>
  <si>
    <t>Administration</t>
  </si>
  <si>
    <t xml:space="preserve">Desg : </t>
  </si>
  <si>
    <t>Deputy Manager</t>
  </si>
  <si>
    <t>Senior Manager</t>
  </si>
  <si>
    <t>Chief Corporate Affairs Officer</t>
  </si>
  <si>
    <t>Central Power (CP)</t>
  </si>
  <si>
    <t>Tthis week by subday</t>
  </si>
  <si>
    <t>Scomm</t>
  </si>
  <si>
    <t>Remarks</t>
  </si>
  <si>
    <t>Rajshahi Sc</t>
  </si>
  <si>
    <t>Rajshahi</t>
  </si>
  <si>
    <t>0178</t>
  </si>
  <si>
    <t>Perday/3642</t>
  </si>
  <si>
    <t>Nator PoP</t>
  </si>
  <si>
    <t>0319</t>
  </si>
  <si>
    <t>Perday/1500</t>
  </si>
  <si>
    <t>Kh Nafiz Rahman</t>
  </si>
  <si>
    <t>Sr Exwcutive</t>
  </si>
  <si>
    <t>Sr Executive</t>
  </si>
  <si>
    <t>Tangail office</t>
  </si>
  <si>
    <t>BDT 800/Day</t>
  </si>
  <si>
    <t>-</t>
  </si>
  <si>
    <t>BDT 1,220/Day</t>
  </si>
  <si>
    <t>BDT 220/Day</t>
  </si>
  <si>
    <t>BDT 150/Day</t>
  </si>
  <si>
    <t>BDT 210/Day</t>
  </si>
  <si>
    <t>010230054634</t>
  </si>
  <si>
    <t>BDT 180/Day</t>
  </si>
  <si>
    <t xml:space="preserve">BDT 1600/Day </t>
  </si>
  <si>
    <t>010230048961</t>
  </si>
  <si>
    <t>Prepaid meter recharge for the month Jan-24</t>
  </si>
  <si>
    <t>Admin/Pre Paid/E-bill/Adv/2023/Dec 23</t>
  </si>
  <si>
    <r>
      <rPr>
        <b/>
        <sz val="11"/>
        <color theme="1"/>
        <rFont val="Cambria"/>
        <family val="1"/>
      </rPr>
      <t xml:space="preserve">Amount in word: </t>
    </r>
    <r>
      <rPr>
        <sz val="11"/>
        <color theme="1"/>
        <rFont val="Cambria"/>
        <family val="1"/>
      </rPr>
      <t>One Lac and Forty Eight Thousand Taka Only</t>
    </r>
  </si>
  <si>
    <t>Prepaid meter recharge for the month Jan--24</t>
  </si>
  <si>
    <t>BDT 1009/Day</t>
  </si>
  <si>
    <t>Current Balance 
19-Dec-23</t>
  </si>
  <si>
    <t>Amount in word: One Lac and  Sixty  Thousand Taka Only</t>
  </si>
  <si>
    <t>Checked  By</t>
  </si>
  <si>
    <t>Acknowleged By</t>
  </si>
  <si>
    <t>Md Tahmidur Rahman</t>
  </si>
  <si>
    <t>Manager</t>
  </si>
  <si>
    <t>Central Implementation and Governence</t>
  </si>
  <si>
    <t>Prepaid meter recharge for the month Feb-24</t>
  </si>
  <si>
    <t>Tangail Sadar Info PoP</t>
  </si>
  <si>
    <t>Current Balance 
18-Jan-24</t>
  </si>
  <si>
    <t>BDT 1,150/Day</t>
  </si>
  <si>
    <r>
      <rPr>
        <b/>
        <sz val="11"/>
        <color theme="1"/>
        <rFont val="Cambria"/>
        <family val="1"/>
      </rPr>
      <t xml:space="preserve">Amount in word: </t>
    </r>
    <r>
      <rPr>
        <sz val="11"/>
        <color theme="1"/>
        <rFont val="Cambria"/>
        <family val="1"/>
      </rPr>
      <t>One Lac and Forty Seven Thousand Taka Only</t>
    </r>
  </si>
  <si>
    <t>Admin/Pre Paid/E-bill/Adv/2023/Jan 24</t>
  </si>
  <si>
    <t>Admin/Pre Paid/E-bill/Adv/2023/Jan 23</t>
  </si>
  <si>
    <t>Prepaid meter recharge for the month Feb--24</t>
  </si>
  <si>
    <t>Current Balance 
19-Jan-24</t>
  </si>
  <si>
    <t>BDT 1000/Day</t>
  </si>
  <si>
    <t>Amount in word: Sixty Two Thousand Taka Only</t>
  </si>
  <si>
    <t>Gouripur Info Sarkar PoP</t>
  </si>
  <si>
    <t>BPDP</t>
  </si>
  <si>
    <t>010230065295</t>
  </si>
  <si>
    <t>BDT 500/Day</t>
  </si>
  <si>
    <r>
      <rPr>
        <b/>
        <sz val="11"/>
        <color theme="1"/>
        <rFont val="Cambria"/>
        <family val="1"/>
      </rPr>
      <t xml:space="preserve">Amount in word: </t>
    </r>
    <r>
      <rPr>
        <sz val="11"/>
        <color theme="1"/>
        <rFont val="Cambria"/>
        <family val="1"/>
      </rPr>
      <t>Twenty Thousand Taka Only</t>
    </r>
  </si>
  <si>
    <t>Admin/Pre Paid/E-bill/Adv/2024/Feb 24</t>
  </si>
  <si>
    <t>PABNA PGCB</t>
  </si>
  <si>
    <t>0269</t>
  </si>
  <si>
    <t>20410000423</t>
  </si>
  <si>
    <r>
      <rPr>
        <b/>
        <sz val="11"/>
        <color theme="1"/>
        <rFont val="Cambria"/>
        <family val="1"/>
      </rPr>
      <t xml:space="preserve">Amount in word: </t>
    </r>
    <r>
      <rPr>
        <sz val="11"/>
        <color theme="1"/>
        <rFont val="Cambria"/>
        <family val="1"/>
      </rPr>
      <t>Five Thousand Taka Only</t>
    </r>
  </si>
  <si>
    <t>Account Details</t>
  </si>
  <si>
    <r>
      <t xml:space="preserve">A/C No : </t>
    </r>
    <r>
      <rPr>
        <b/>
        <sz val="11"/>
        <color theme="1"/>
        <rFont val="Calibri"/>
        <family val="2"/>
        <scheme val="minor"/>
      </rPr>
      <t>4893 3900 0279 3203</t>
    </r>
  </si>
  <si>
    <t>Phone : +8801799658867</t>
  </si>
  <si>
    <t>HRID :     0458</t>
  </si>
  <si>
    <r>
      <t xml:space="preserve">Name :   </t>
    </r>
    <r>
      <rPr>
        <b/>
        <sz val="11"/>
        <color theme="1"/>
        <rFont val="Calibri"/>
        <family val="2"/>
        <scheme val="minor"/>
      </rPr>
      <t>Md Baigid Bostamee</t>
    </r>
  </si>
  <si>
    <t>Rangpur</t>
  </si>
  <si>
    <t>Nesco</t>
  </si>
  <si>
    <t>0929</t>
  </si>
  <si>
    <t>Prepaid meter recharge for the month Mar-24</t>
  </si>
  <si>
    <t>Admin/Pre Paid/E-bill/Adv/2024/Mar 24</t>
  </si>
  <si>
    <t>Fulbari Dinajpur Info Sarkar (OLA)</t>
  </si>
  <si>
    <t>Admin/Pre Paid/E-bill/Adv/2024/Apr 24</t>
  </si>
  <si>
    <t>Prepaid meter recharge for the month Apr-24</t>
  </si>
  <si>
    <t>BDT 1,500/Day</t>
  </si>
  <si>
    <t>Current Balance 
10-Mar-24</t>
  </si>
  <si>
    <t>BDT 300/Day</t>
  </si>
  <si>
    <t>Gouripur PoP</t>
  </si>
  <si>
    <r>
      <rPr>
        <b/>
        <sz val="11"/>
        <color theme="1"/>
        <rFont val="Cambria"/>
        <family val="1"/>
      </rPr>
      <t>Amount in word: Two</t>
    </r>
    <r>
      <rPr>
        <sz val="11"/>
        <color theme="1"/>
        <rFont val="Cambria"/>
        <family val="1"/>
      </rPr>
      <t xml:space="preserve"> Lac and Ninty One Thousand Taka Only</t>
    </r>
  </si>
  <si>
    <t>Current Balance 
13-Mar-24</t>
  </si>
  <si>
    <t>Pabna PGCB</t>
  </si>
  <si>
    <t>Pabna</t>
  </si>
  <si>
    <t>Fulbari_Dinajpur OLA</t>
  </si>
  <si>
    <t>Dinajpur</t>
  </si>
  <si>
    <t>13/3/2024</t>
  </si>
  <si>
    <t>BDT 1100/Day</t>
  </si>
  <si>
    <t>Amount in word: Two Lac Eighty Three Thousand Taka Only</t>
  </si>
  <si>
    <t>Prepaid meter recharge for the month Apr--24</t>
  </si>
  <si>
    <r>
      <rPr>
        <b/>
        <sz val="11"/>
        <color theme="1"/>
        <rFont val="Cambria"/>
        <family val="1"/>
      </rPr>
      <t xml:space="preserve">Amount in word: </t>
    </r>
    <r>
      <rPr>
        <sz val="11"/>
        <color theme="1"/>
        <rFont val="Cambria"/>
        <family val="1"/>
      </rPr>
      <t>Twelve Thousand Taka Only</t>
    </r>
  </si>
  <si>
    <t>A/C Details</t>
  </si>
  <si>
    <t>Name : Kazi Shawon</t>
  </si>
  <si>
    <t>HR ID : 098</t>
  </si>
  <si>
    <t>A/C No : 4893 4028 8352 6808</t>
  </si>
  <si>
    <t>Current Balance 
15-Apr-24</t>
  </si>
  <si>
    <t>BDT 310/Day</t>
  </si>
  <si>
    <t>BDT 350/Day</t>
  </si>
  <si>
    <r>
      <rPr>
        <b/>
        <sz val="11"/>
        <color theme="1"/>
        <rFont val="Cambria"/>
        <family val="1"/>
      </rPr>
      <t xml:space="preserve">Amount in word: </t>
    </r>
    <r>
      <rPr>
        <sz val="11"/>
        <color theme="1"/>
        <rFont val="Cambria"/>
        <family val="1"/>
      </rPr>
      <t>One Lac  Seventy One Thousand Taka Only</t>
    </r>
  </si>
  <si>
    <t>Prepaid meter recharge for the month May-24</t>
  </si>
  <si>
    <t>BDT 1750/Day</t>
  </si>
  <si>
    <t>Admin/Pre Paid/E-bill/Adv/2023/Apr 23</t>
  </si>
  <si>
    <t>Prepaid meter recharge for the month May--24</t>
  </si>
  <si>
    <t>Amount in word:  Two Lac Taka Only</t>
  </si>
  <si>
    <t>BDT 1,750/Day</t>
  </si>
  <si>
    <t>Current Balance 
16-Apr-24</t>
  </si>
  <si>
    <r>
      <rPr>
        <b/>
        <sz val="11"/>
        <color theme="1"/>
        <rFont val="Cambria"/>
        <family val="1"/>
      </rPr>
      <t xml:space="preserve">Amount in word: </t>
    </r>
    <r>
      <rPr>
        <sz val="11"/>
        <color theme="1"/>
        <rFont val="Cambria"/>
        <family val="1"/>
      </rPr>
      <t>Seventy Two Thousand Taka Only</t>
    </r>
  </si>
  <si>
    <t>Payment Method</t>
  </si>
  <si>
    <t>Cash</t>
  </si>
  <si>
    <t xml:space="preserve">Account Info 
Name : Md.Zakir Hossain 
HR ID : 0515
Card No : 4893 3900 0260 8138
</t>
  </si>
  <si>
    <r>
      <t xml:space="preserve">Advance for Prepaid meter recharge of </t>
    </r>
    <r>
      <rPr>
        <b/>
        <sz val="10"/>
        <color theme="1"/>
        <rFont val="Trebuchet MS"/>
        <family val="2"/>
      </rPr>
      <t xml:space="preserve">Tangail Sadar Info PoP (0744) and Gatail Info PoP (0698) </t>
    </r>
    <r>
      <rPr>
        <sz val="10"/>
        <color theme="1"/>
        <rFont val="Trebuchet MS"/>
        <family val="2"/>
      </rPr>
      <t>for the month May-24</t>
    </r>
  </si>
  <si>
    <t xml:space="preserve">Advance Requisition for Prepaid Meter Recharge </t>
  </si>
  <si>
    <t>Consumer No</t>
  </si>
  <si>
    <t>Admin/Pre Paid/E-bill/Adv/2023/May 23</t>
  </si>
  <si>
    <t>Amount in word:  Fourty Eight Thousand Taka Only</t>
  </si>
  <si>
    <t>Current Balance 
30-Apr-24</t>
  </si>
  <si>
    <t>0930</t>
  </si>
  <si>
    <r>
      <rPr>
        <b/>
        <sz val="11"/>
        <color theme="1"/>
        <rFont val="Cambria"/>
        <family val="1"/>
      </rPr>
      <t xml:space="preserve">Amount in word: </t>
    </r>
    <r>
      <rPr>
        <sz val="11"/>
        <color theme="1"/>
        <rFont val="Cambria"/>
        <family val="1"/>
      </rPr>
      <t>Four Thousand Taka Only</t>
    </r>
  </si>
  <si>
    <t xml:space="preserve">Note : This recharge was done on emergency basis due to New Prepaid Meter Installation. </t>
  </si>
  <si>
    <t>Account Information ( EBL )</t>
  </si>
  <si>
    <t>HR ID                             : 1703</t>
  </si>
  <si>
    <t>Name                            : Kh Nafiz Rahman</t>
  </si>
  <si>
    <t>Mobile                          : 01685973031</t>
  </si>
  <si>
    <t>Account/ Card  N0       :4893 3900 0311 2932</t>
  </si>
  <si>
    <t>Admin/Pre Paid/E-bill/Adv/2024/May 24</t>
  </si>
  <si>
    <t>Prepaid meter recharge for the month Jun-24</t>
  </si>
  <si>
    <t>01013009753</t>
  </si>
  <si>
    <t>Current Balance 
16-May-24</t>
  </si>
  <si>
    <t>BDT 400/Day</t>
  </si>
  <si>
    <t>0591</t>
  </si>
  <si>
    <t>Kishorganj Info PoP</t>
  </si>
  <si>
    <t>0682</t>
  </si>
  <si>
    <t>27006408</t>
  </si>
  <si>
    <r>
      <rPr>
        <b/>
        <sz val="11"/>
        <color theme="1"/>
        <rFont val="Cambria"/>
        <family val="1"/>
      </rPr>
      <t xml:space="preserve">Amount in word: </t>
    </r>
    <r>
      <rPr>
        <sz val="11"/>
        <color theme="1"/>
        <rFont val="Cambria"/>
        <family val="1"/>
      </rPr>
      <t>Two Lac Sixty Eight Thousand Taka Only</t>
    </r>
  </si>
  <si>
    <t>Prepaid meter recharge for the month Jun--24</t>
  </si>
  <si>
    <t>Fulbari Dinajpur (OLA)</t>
  </si>
  <si>
    <t>Perday/500</t>
  </si>
  <si>
    <t>BDT 1600/Day</t>
  </si>
  <si>
    <t>Amount in word:  Two Lac Ninty Five Thousand Taka Only</t>
  </si>
  <si>
    <t>Current Balance 
23-Jun-24</t>
  </si>
  <si>
    <r>
      <rPr>
        <b/>
        <sz val="11"/>
        <color theme="1"/>
        <rFont val="Cambria"/>
        <family val="1"/>
      </rPr>
      <t xml:space="preserve">Amount in word: </t>
    </r>
    <r>
      <rPr>
        <sz val="11"/>
        <color theme="1"/>
        <rFont val="Cambria"/>
        <family val="1"/>
      </rPr>
      <t>Two Lac Fourty Nine Thousand Taka Only</t>
    </r>
  </si>
  <si>
    <t>Prepaid meter recharge for the month July-24</t>
  </si>
  <si>
    <t>Admin/Pre Paid/E-bill/Adv/2024/Jun 24</t>
  </si>
  <si>
    <t>Current Balance 
21-Jun-24</t>
  </si>
  <si>
    <t>Perday/4156</t>
  </si>
  <si>
    <t>Perday/1790</t>
  </si>
  <si>
    <t>Amount in word:  Three Lac Ninty Five Thousand Taka Only</t>
  </si>
  <si>
    <t>Prepaid meter recharge for the month July--24</t>
  </si>
  <si>
    <t>Admin/Pre Paid/E-bill/Adv/2024/Oct 24</t>
  </si>
  <si>
    <t>Prepaid meter recharge for the month Nov-24</t>
  </si>
  <si>
    <t>Current Balance 
15-Oct-24</t>
  </si>
  <si>
    <t>Bhuapur Info PoP</t>
  </si>
  <si>
    <t>Ghatail Info PoP</t>
  </si>
  <si>
    <t>Sharisabari PoP</t>
  </si>
  <si>
    <t>Shokhipur Info PoP</t>
  </si>
  <si>
    <t>Kalihati Info PoP</t>
  </si>
  <si>
    <t>Jamalpur Info PoP</t>
  </si>
  <si>
    <t>Jamalpur</t>
  </si>
  <si>
    <t>0502</t>
  </si>
  <si>
    <t>010230058918</t>
  </si>
  <si>
    <t>BDT 2500/Day</t>
  </si>
  <si>
    <t>BDT 1150/Day</t>
  </si>
  <si>
    <t>BDT 1050/Day</t>
  </si>
  <si>
    <r>
      <rPr>
        <b/>
        <sz val="11"/>
        <color theme="1"/>
        <rFont val="Cambria"/>
        <family val="1"/>
      </rPr>
      <t xml:space="preserve">Amount in word: </t>
    </r>
    <r>
      <rPr>
        <sz val="11"/>
        <color theme="1"/>
        <rFont val="Cambria"/>
        <family val="1"/>
      </rPr>
      <t>Three Lac Thirty Five Thousand Taka Only</t>
    </r>
  </si>
  <si>
    <t>Prepaid meter recharge for the month Nov--24</t>
  </si>
  <si>
    <t>Current Balance 
17-Oct-24</t>
  </si>
  <si>
    <t>Perday/4070</t>
  </si>
  <si>
    <t>Perday/1455</t>
  </si>
  <si>
    <t>Perday/1360</t>
  </si>
  <si>
    <t>Perday/850</t>
  </si>
  <si>
    <t>Saidpur PGCB</t>
  </si>
  <si>
    <t>PoP</t>
  </si>
  <si>
    <t>Perday/1000</t>
  </si>
  <si>
    <t>Amount in word:  Two Lac Thirty  Thousand Taka Only</t>
  </si>
  <si>
    <t>Prepaid meter recharge for the month Dec-24</t>
  </si>
  <si>
    <t>Current Balance 
16-Nov-24</t>
  </si>
  <si>
    <r>
      <rPr>
        <b/>
        <sz val="11"/>
        <color theme="1"/>
        <rFont val="Cambria"/>
        <family val="1"/>
      </rPr>
      <t xml:space="preserve">Amount in word: </t>
    </r>
    <r>
      <rPr>
        <sz val="11"/>
        <color theme="1"/>
        <rFont val="Cambria"/>
        <family val="1"/>
      </rPr>
      <t>Three Lac Eleven Thousand Taka Only</t>
    </r>
  </si>
  <si>
    <t>Admin/Pre Paid/E-bill/Adv/2024/Nov 24</t>
  </si>
  <si>
    <t>1907</t>
  </si>
  <si>
    <t>RPCL PGCB</t>
  </si>
  <si>
    <t>1906</t>
  </si>
  <si>
    <t>010230066424</t>
  </si>
  <si>
    <t>New PoP</t>
  </si>
  <si>
    <t>Amount in word:  Two Lac Eighty Six Thousand Taka Only</t>
  </si>
  <si>
    <t>Admin/Pre Paid/E-bill/Adv/2024/Nov24</t>
  </si>
  <si>
    <t>Tangail PGCB</t>
  </si>
  <si>
    <t>1983</t>
  </si>
  <si>
    <t>010230049235</t>
  </si>
  <si>
    <t>Current Balance 
28-Nov-24</t>
  </si>
  <si>
    <r>
      <rPr>
        <b/>
        <sz val="11"/>
        <color theme="1"/>
        <rFont val="Cambria"/>
        <family val="1"/>
      </rPr>
      <t xml:space="preserve">Amount in word: </t>
    </r>
    <r>
      <rPr>
        <sz val="11"/>
        <color theme="1"/>
        <rFont val="Cambria"/>
        <family val="1"/>
      </rPr>
      <t>Fifteen Thousand Taka Only</t>
    </r>
  </si>
  <si>
    <t>Note: TK 5000 was recharged from petty cash for testing purpose</t>
  </si>
  <si>
    <t xml:space="preserve">A/C Info:
Name: Md Golam Rabbani
EBL Card No: 4893 3900 0283 6317
HR ID: EZSComm675 </t>
  </si>
  <si>
    <t>Note: 5000tk recharged for testing purpose</t>
  </si>
  <si>
    <t>Admin/Pre Paid/E-bill/Adv/2024/Dec 24</t>
  </si>
  <si>
    <t>Current Balance 
14-Dec-24</t>
  </si>
  <si>
    <r>
      <rPr>
        <b/>
        <sz val="11"/>
        <color theme="1"/>
        <rFont val="Cambria"/>
        <family val="1"/>
      </rPr>
      <t xml:space="preserve">Amount in word: </t>
    </r>
    <r>
      <rPr>
        <sz val="11"/>
        <color theme="1"/>
        <rFont val="Cambria"/>
        <family val="1"/>
      </rPr>
      <t>Two Lac Eighty Two Thousand Taka Only</t>
    </r>
  </si>
  <si>
    <t>Prepaid meter recharge for the month Jan-25</t>
  </si>
  <si>
    <t>Current Balance 
19-Dec-24</t>
  </si>
  <si>
    <t>Perday/1019</t>
  </si>
  <si>
    <t>Perday/1527</t>
  </si>
  <si>
    <t>Perday/4180</t>
  </si>
  <si>
    <t xml:space="preserve">Tangail PGCB </t>
  </si>
  <si>
    <t>0183</t>
  </si>
  <si>
    <t>010230044268</t>
  </si>
  <si>
    <t>Amount in word:  Ten Thousand Taka Only</t>
  </si>
  <si>
    <t>Current Balance 
Dec 30-2024</t>
  </si>
  <si>
    <t>Acknowleged  By</t>
  </si>
  <si>
    <t>Admin/Pre Paid/E-bill/Adv/2024/Jan 24</t>
  </si>
  <si>
    <t>Fulpur_Mymensingh Info PoP</t>
  </si>
  <si>
    <t>CIG</t>
  </si>
  <si>
    <t>0815</t>
  </si>
  <si>
    <t>011830003172</t>
  </si>
  <si>
    <t>Current Balance 
10-Jan-25</t>
  </si>
  <si>
    <t>New Meter Installed</t>
  </si>
  <si>
    <t xml:space="preserve">A/C Info:
Name: Al Amin
EBL Card No: 4893 4095 4431 4144
HR ID: 0619 </t>
  </si>
  <si>
    <t>Info</t>
  </si>
  <si>
    <t>Current Balance 
15-Jan-24</t>
  </si>
  <si>
    <t xml:space="preserve">Fulpur_Mymensingh </t>
  </si>
  <si>
    <r>
      <rPr>
        <b/>
        <sz val="11"/>
        <color theme="1"/>
        <rFont val="Cambria"/>
        <family val="1"/>
      </rPr>
      <t xml:space="preserve">Amount in word: </t>
    </r>
    <r>
      <rPr>
        <sz val="11"/>
        <color theme="1"/>
        <rFont val="Cambria"/>
        <family val="1"/>
      </rPr>
      <t>Two Lac Seventy Seven Thousand Taka Only</t>
    </r>
  </si>
  <si>
    <t>Admin/Pre Paid/E-bill/Adv/2024/Jan 25</t>
  </si>
  <si>
    <t>Prepaid meter recharge for the month Feb-25</t>
  </si>
  <si>
    <t>Current Balance 
05-Jan-25</t>
  </si>
  <si>
    <t>Perday/4288</t>
  </si>
  <si>
    <t>Perday/1728</t>
  </si>
  <si>
    <t>Amount in word:  Three Lac Thirty Thousand Taka Only</t>
  </si>
  <si>
    <t>Current Balance 
5-Oct-24</t>
  </si>
  <si>
    <t>Amount in word:  Three Thousand Taka Only</t>
  </si>
  <si>
    <t>Prepaid meter recharge for the month Oct-24</t>
  </si>
  <si>
    <t>MD.ZAKIR HOSSAIN</t>
  </si>
  <si>
    <t>HR ID</t>
  </si>
  <si>
    <t>0515</t>
  </si>
  <si>
    <t>Bank Name</t>
  </si>
  <si>
    <t>EBL</t>
  </si>
  <si>
    <t>A/C No:</t>
  </si>
  <si>
    <t>4893390002608138</t>
  </si>
  <si>
    <t>Note: We recharged this amount for testing purpose</t>
  </si>
  <si>
    <t xml:space="preserve">Electricity Bill Payment (Bkash) </t>
  </si>
  <si>
    <t>Electricity Bill Payment</t>
  </si>
  <si>
    <t>Admin/E-bill/Adv/2024/Feb 25</t>
  </si>
  <si>
    <t>Fulpur_Mymensingh Info Sarkar</t>
  </si>
  <si>
    <t>Mymensing</t>
  </si>
  <si>
    <t xml:space="preserve"> Meter No</t>
  </si>
  <si>
    <t>Prepaid meter recharge for the month Mar-25</t>
  </si>
  <si>
    <t>Admin/Pre Paid/E-bill/Adv/2024/Feb 25</t>
  </si>
  <si>
    <t>Current Balance 
17-Feb-25</t>
  </si>
  <si>
    <t xml:space="preserve">BDT 1500/Day </t>
  </si>
  <si>
    <r>
      <rPr>
        <b/>
        <sz val="11"/>
        <color theme="1"/>
        <rFont val="Cambria"/>
        <family val="1"/>
      </rPr>
      <t xml:space="preserve">Amount in word: </t>
    </r>
    <r>
      <rPr>
        <sz val="11"/>
        <color theme="1"/>
        <rFont val="Cambria"/>
        <family val="1"/>
      </rPr>
      <t>Two Lac Fifty Two Thousand Taka Only</t>
    </r>
  </si>
  <si>
    <t>Current Balance 
18-Feb-25</t>
  </si>
  <si>
    <t>Perday/3790</t>
  </si>
  <si>
    <t>Perday/1835</t>
  </si>
  <si>
    <t>New Prepaid Meter will be Installed on 23rd Feb 2025</t>
  </si>
  <si>
    <t>Perday/950</t>
  </si>
  <si>
    <t>Perday/700</t>
  </si>
  <si>
    <t>Amount in word:  Three Lac Seventeen Thousand Taka Only</t>
  </si>
  <si>
    <t>Nilphamari Sadar Info Sarkar</t>
  </si>
  <si>
    <t>Joypurhat Info PoP</t>
  </si>
  <si>
    <t>Bogura</t>
  </si>
  <si>
    <t>0947</t>
  </si>
  <si>
    <t>BDT 629/Day</t>
  </si>
  <si>
    <t>78025787</t>
  </si>
  <si>
    <t>Current Balance 
15-Mar-25</t>
  </si>
  <si>
    <t>Admin/Pre Paid/E-bill/Adv/2024/Mar 25</t>
  </si>
  <si>
    <t>Prepaid meter recharge for the month Apr-25</t>
  </si>
  <si>
    <r>
      <rPr>
        <b/>
        <sz val="11"/>
        <color theme="1"/>
        <rFont val="Cambria"/>
        <family val="1"/>
      </rPr>
      <t xml:space="preserve">Amount in word: </t>
    </r>
    <r>
      <rPr>
        <sz val="11"/>
        <color theme="1"/>
        <rFont val="Cambria"/>
        <family val="1"/>
      </rPr>
      <t>Three Lac Fifty Four Thousand Taka Only</t>
    </r>
  </si>
  <si>
    <t>Current Balance 
16-Mar-25</t>
  </si>
  <si>
    <t>Perday/4658</t>
  </si>
  <si>
    <t>BDT 1540/Day</t>
  </si>
  <si>
    <t>Amount in word:  Four Lac Sixty Two Thousand Taka Only</t>
  </si>
  <si>
    <t>New Meter</t>
  </si>
  <si>
    <t>A/C Info</t>
  </si>
  <si>
    <t>Name: Md Jahangir Alam</t>
  </si>
  <si>
    <t>HRID :  0559</t>
  </si>
  <si>
    <t>Card No: 4893-3900-0284-0855</t>
  </si>
  <si>
    <r>
      <rPr>
        <b/>
        <sz val="11"/>
        <color theme="1"/>
        <rFont val="Cambria"/>
        <family val="1"/>
      </rPr>
      <t xml:space="preserve">Amount in word: </t>
    </r>
    <r>
      <rPr>
        <sz val="11"/>
        <color theme="1"/>
        <rFont val="Cambria"/>
        <family val="1"/>
      </rPr>
      <t>Three Lac Fifty  Thousand Taka Only</t>
    </r>
  </si>
  <si>
    <t>Note: Due to fire incident in Rajshahi SC, our previous meter got faulty. We immidiately changed the meter and recharged 20,000tk.</t>
  </si>
  <si>
    <t>Amount in word:  Twenty Thousand Thirty Taka Only</t>
  </si>
  <si>
    <t>Prepaid Meter Recharge (CASH)</t>
  </si>
  <si>
    <t>Amount in word:  One Lac Taka Only</t>
  </si>
  <si>
    <t xml:space="preserve">Requisition Prepaid Meter Recharge </t>
  </si>
  <si>
    <t>Bank Information (EBL)</t>
  </si>
  <si>
    <t>Jahangir Alam</t>
  </si>
  <si>
    <t>4893-3900-0284-0855</t>
  </si>
  <si>
    <t>Current Balance 
21-Apr-25</t>
  </si>
  <si>
    <t>011830000429</t>
  </si>
  <si>
    <t>Admin/Pre Paid/E-bill/Adv/2024/Apr 25</t>
  </si>
  <si>
    <r>
      <rPr>
        <b/>
        <sz val="11"/>
        <color theme="1"/>
        <rFont val="Cambria"/>
        <family val="1"/>
      </rPr>
      <t xml:space="preserve">Amount in word: </t>
    </r>
    <r>
      <rPr>
        <sz val="11"/>
        <color theme="1"/>
        <rFont val="Cambria"/>
        <family val="1"/>
      </rPr>
      <t>Seven Thousand Taka Only</t>
    </r>
  </si>
  <si>
    <t>Prepaid meter recharge for the month May-25</t>
  </si>
  <si>
    <t>Current Balance 
20-Apr-25</t>
  </si>
  <si>
    <t>BDT 600/Day</t>
  </si>
  <si>
    <t>BDT 1200/Day</t>
  </si>
  <si>
    <t>BDT 750/Day</t>
  </si>
  <si>
    <t>BDT 596/Day</t>
  </si>
  <si>
    <r>
      <rPr>
        <b/>
        <sz val="11"/>
        <color theme="1"/>
        <rFont val="Cambria"/>
        <family val="1"/>
      </rPr>
      <t xml:space="preserve">Amount in word: </t>
    </r>
    <r>
      <rPr>
        <sz val="11"/>
        <color theme="1"/>
        <rFont val="Cambria"/>
        <family val="1"/>
      </rPr>
      <t>Three Lac Sixty Eight Thousand Taka Only</t>
    </r>
  </si>
  <si>
    <t>BDT 1689/Day</t>
  </si>
  <si>
    <t>Perday/800</t>
  </si>
  <si>
    <t>BDT 700/Day</t>
  </si>
  <si>
    <t>Amount in word:  Two Lac Fifty Thousand Taka Only</t>
  </si>
  <si>
    <t>Tarakanda Info PoP</t>
  </si>
  <si>
    <t>011810093603</t>
  </si>
  <si>
    <t>Perday/300</t>
  </si>
  <si>
    <t>Amount in word:  Eighteen Thousand Taka Only</t>
  </si>
  <si>
    <t>Admin/Pre Paid/E-bill/Adv/2024/May 25</t>
  </si>
  <si>
    <t>Current Balance 
02-May-25</t>
  </si>
  <si>
    <t xml:space="preserve">Current Balance 
</t>
  </si>
  <si>
    <r>
      <rPr>
        <b/>
        <sz val="11"/>
        <color theme="1"/>
        <rFont val="Cambria"/>
        <family val="1"/>
      </rPr>
      <t xml:space="preserve">Amount in word: </t>
    </r>
    <r>
      <rPr>
        <sz val="11"/>
        <color theme="1"/>
        <rFont val="Cambria"/>
        <family val="1"/>
      </rPr>
      <t>Six Thousand Taka Only</t>
    </r>
  </si>
  <si>
    <t>Total</t>
  </si>
  <si>
    <t>Note: During Eid UL Fitar Holiday Tangail Sadar Info PoP Prepaid Meter became faulty. We rectified the issue. To Activate the meter 6000 tk cash was recharged from Iftar Budget by discussing it the Finance due to shortage in Petty Cash</t>
  </si>
  <si>
    <t xml:space="preserve">Adjustment for Prepaid Meter Recharge </t>
  </si>
  <si>
    <t>Admin/Pre Paid/E-bill/Adv/2024/April 25</t>
  </si>
  <si>
    <t>New Prepaid Meter Installed</t>
  </si>
  <si>
    <t>Amount in word:  Five Thousand Taka Only</t>
  </si>
  <si>
    <t xml:space="preserve">Adjustment Prepaid Meter Recharge </t>
  </si>
  <si>
    <t>Prepaid meter recharge adjustment for the month April-25</t>
  </si>
  <si>
    <t>Note: On 10th April New Prepaid Meter was installed in Tarakanda Info PoP. To Activate the meter 5000 tk cash was recharged from Iftar Budget by discussing it with the Finance due to shortage in Petty Cash</t>
  </si>
  <si>
    <t>Amount in word: Two Thousand Taka Only</t>
  </si>
  <si>
    <t>Note: On 10th April New Prepaid Meter was installed in Tarakanda Info PoP. Recharge request was raised but as balance was low so 2000tk was recharged from Petty Cash</t>
  </si>
  <si>
    <t>Prepaid meter recharge for the month May--25</t>
  </si>
  <si>
    <t>Admin/Pre Paid/E-bill/Adv/2023/May 25</t>
  </si>
  <si>
    <t>Amount in word: Six Thousand Taka Only</t>
  </si>
  <si>
    <t xml:space="preserve">Note: Tangail Office prepaid meter was locked. Had to recharge 6000tk cash from power authority after unlocking </t>
  </si>
  <si>
    <r>
      <rPr>
        <b/>
        <sz val="11"/>
        <color theme="1"/>
        <rFont val="Cambria"/>
        <family val="1"/>
      </rPr>
      <t xml:space="preserve">Amount in word: </t>
    </r>
    <r>
      <rPr>
        <sz val="11"/>
        <color theme="1"/>
        <rFont val="Cambria"/>
        <family val="1"/>
      </rPr>
      <t>Four Thousand Five Hundred Taka Only</t>
    </r>
  </si>
  <si>
    <t xml:space="preserve"> Recharge Date</t>
  </si>
  <si>
    <t>Haluaghat Info PoP</t>
  </si>
  <si>
    <t>011830001090</t>
  </si>
  <si>
    <t>Amount in word:  Fice Thousand Taka Only</t>
  </si>
  <si>
    <r>
      <rPr>
        <b/>
        <sz val="11"/>
        <color theme="1"/>
        <rFont val="Cambria"/>
        <family val="1"/>
      </rPr>
      <t xml:space="preserve">Amount in word: </t>
    </r>
    <r>
      <rPr>
        <sz val="11"/>
        <color theme="1"/>
        <rFont val="Cambria"/>
        <family val="1"/>
      </rPr>
      <t>Forty Thousand Taka Only</t>
    </r>
  </si>
  <si>
    <t xml:space="preserve">Prepaid Meter Recharge (Cash) </t>
  </si>
  <si>
    <t>Prepaid meter recharge for the month April-25</t>
  </si>
  <si>
    <t>Prepaid meter recharge for the month June-25</t>
  </si>
  <si>
    <t>Current Balance 
17-May-25</t>
  </si>
  <si>
    <t>BDT 618/Day</t>
  </si>
  <si>
    <r>
      <rPr>
        <b/>
        <sz val="11"/>
        <color theme="1"/>
        <rFont val="Cambria"/>
        <family val="1"/>
      </rPr>
      <t xml:space="preserve">Amount in word: </t>
    </r>
    <r>
      <rPr>
        <sz val="11"/>
        <color theme="1"/>
        <rFont val="Cambria"/>
        <family val="1"/>
      </rPr>
      <t>Four Lac Twenty Seven Thousand Taka Only</t>
    </r>
  </si>
  <si>
    <t>Current Balance 
18-May-25</t>
  </si>
  <si>
    <t>Perday/4712</t>
  </si>
  <si>
    <t>Amount in word:  Three Lac Eighty Five Thousand Taka Only</t>
  </si>
  <si>
    <t>Requisition for Prepaid Meter Recharge (CASH)</t>
  </si>
  <si>
    <r>
      <rPr>
        <b/>
        <sz val="11"/>
        <color theme="1"/>
        <rFont val="Cambria"/>
        <family val="1"/>
      </rPr>
      <t xml:space="preserve">Amount in word: </t>
    </r>
    <r>
      <rPr>
        <sz val="11"/>
        <color theme="1"/>
        <rFont val="Cambria"/>
        <family val="1"/>
      </rPr>
      <t>Three Thousand  Taka Only</t>
    </r>
  </si>
  <si>
    <t>Note: Meter was locked.</t>
  </si>
  <si>
    <t>DGM</t>
  </si>
  <si>
    <t>Admin/Pre Paid/E-bill/Adv/2024/June 25</t>
  </si>
  <si>
    <t>Prepaid meter recharge for the month July-25</t>
  </si>
  <si>
    <t>Current Balance 
17-Jun-25</t>
  </si>
  <si>
    <r>
      <rPr>
        <b/>
        <sz val="11"/>
        <color theme="1"/>
        <rFont val="Cambria"/>
        <family val="1"/>
      </rPr>
      <t xml:space="preserve">Amount in word: </t>
    </r>
    <r>
      <rPr>
        <sz val="11"/>
        <color theme="1"/>
        <rFont val="Cambria"/>
        <family val="1"/>
      </rPr>
      <t>Four Lac Twenty Eight Thousand Taka Only</t>
    </r>
  </si>
  <si>
    <t>Kurigram Info PoP</t>
  </si>
  <si>
    <t>Nilphamari</t>
  </si>
  <si>
    <t>14024309</t>
  </si>
  <si>
    <t>Current Balance 
25-Jun-25</t>
  </si>
  <si>
    <r>
      <rPr>
        <b/>
        <sz val="11"/>
        <color theme="1"/>
        <rFont val="Cambria"/>
        <family val="1"/>
      </rPr>
      <t xml:space="preserve">Amount in word: </t>
    </r>
    <r>
      <rPr>
        <sz val="11"/>
        <color theme="1"/>
        <rFont val="Cambria"/>
        <family val="1"/>
      </rPr>
      <t>Fourty  Thousand Taka Only</t>
    </r>
  </si>
  <si>
    <t>1127</t>
  </si>
  <si>
    <t>Account Information (EBL)</t>
  </si>
  <si>
    <t>Prepaid meter recharge for the month Jun-25</t>
  </si>
  <si>
    <t>Admin/Pre Paid/E-bill/Adv/2025/Jun25</t>
  </si>
  <si>
    <t>Recharge Date</t>
  </si>
  <si>
    <t>Note: There was a fire incident in Tangail PGCB PoP, Meter got burnt.</t>
  </si>
  <si>
    <t>01312334187</t>
  </si>
  <si>
    <r>
      <rPr>
        <b/>
        <sz val="11"/>
        <color theme="1"/>
        <rFont val="Cambria"/>
        <family val="1"/>
      </rPr>
      <t xml:space="preserve">Amount in word: </t>
    </r>
    <r>
      <rPr>
        <sz val="11"/>
        <color theme="1"/>
        <rFont val="Cambria"/>
        <family val="1"/>
      </rPr>
      <t>Eleven Thousand Taka Only</t>
    </r>
  </si>
  <si>
    <r>
      <rPr>
        <b/>
        <sz val="11"/>
        <color theme="1"/>
        <rFont val="Cambria"/>
        <family val="1"/>
      </rPr>
      <t xml:space="preserve">Amount in word: </t>
    </r>
    <r>
      <rPr>
        <sz val="11"/>
        <color theme="1"/>
        <rFont val="Cambria"/>
        <family val="1"/>
      </rPr>
      <t>Seven  Thousand Taka Only</t>
    </r>
  </si>
  <si>
    <r>
      <rPr>
        <b/>
        <sz val="11"/>
        <color theme="1"/>
        <rFont val="Cambria"/>
        <family val="1"/>
      </rPr>
      <t xml:space="preserve">Amount in word:  </t>
    </r>
    <r>
      <rPr>
        <sz val="11"/>
        <color theme="1"/>
        <rFont val="Cambria"/>
        <family val="1"/>
      </rPr>
      <t>Ten Thousand Taka Only</t>
    </r>
  </si>
  <si>
    <t>KAZI SHAWON</t>
  </si>
  <si>
    <t>0092</t>
  </si>
  <si>
    <t>4893 4028 8352 6808</t>
  </si>
  <si>
    <t>Admin/Pre Paid/E-bill/Adv/2024/July 25</t>
  </si>
  <si>
    <t>Prepaid meter recharge for the month Aug-25</t>
  </si>
  <si>
    <t>Current Balance 
20-Jul-25</t>
  </si>
  <si>
    <t>Current Balance 
18-Jul-25</t>
  </si>
  <si>
    <t>BDT 850/Day</t>
  </si>
  <si>
    <t>Netrokona PGCB</t>
  </si>
  <si>
    <t>Netrokona</t>
  </si>
  <si>
    <t>0458</t>
  </si>
  <si>
    <t>011830006321</t>
  </si>
  <si>
    <t>Perday/1200</t>
  </si>
  <si>
    <t>Amount in word:  Four Lac Seven Thousand Taka Only</t>
  </si>
  <si>
    <t>Admin/Pre Paid/E-bill/Adv/2024/Jun 25</t>
  </si>
  <si>
    <t>Prepaid meter recharge for the month Jul-25</t>
  </si>
  <si>
    <t>Ishwarganj Info PoP</t>
  </si>
  <si>
    <t>761</t>
  </si>
  <si>
    <t>011830006673</t>
  </si>
  <si>
    <t>BDT 1400/Day</t>
  </si>
  <si>
    <r>
      <rPr>
        <b/>
        <sz val="11"/>
        <color theme="1"/>
        <rFont val="Cambria"/>
        <family val="1"/>
      </rPr>
      <t xml:space="preserve">Amount in word: </t>
    </r>
    <r>
      <rPr>
        <sz val="11"/>
        <color theme="1"/>
        <rFont val="Cambria"/>
        <family val="1"/>
      </rPr>
      <t>Five Lac Thirty Nine Thousand Taka Only</t>
    </r>
  </si>
  <si>
    <r>
      <rPr>
        <b/>
        <sz val="11"/>
        <color theme="1"/>
        <rFont val="Cambria"/>
        <family val="1"/>
      </rPr>
      <t xml:space="preserve">Amount in word: </t>
    </r>
    <r>
      <rPr>
        <sz val="11"/>
        <color theme="1"/>
        <rFont val="Cambria"/>
        <family val="1"/>
      </rPr>
      <t>Ten Thousand Taka Only</t>
    </r>
  </si>
  <si>
    <t>New POP</t>
  </si>
  <si>
    <t>Netrokona Info PoP</t>
  </si>
  <si>
    <t>011830008445</t>
  </si>
  <si>
    <r>
      <rPr>
        <b/>
        <sz val="11"/>
        <color theme="1"/>
        <rFont val="Cambria"/>
        <family val="1"/>
      </rPr>
      <t xml:space="preserve">Amount in word: </t>
    </r>
    <r>
      <rPr>
        <sz val="11"/>
        <color theme="1"/>
        <rFont val="Cambria"/>
        <family val="1"/>
      </rPr>
      <t>Sixty Thousand Taka Only</t>
    </r>
  </si>
  <si>
    <t>Prepaid meter recharge for the month July 25</t>
  </si>
  <si>
    <t>Current Balance 
28-JUL-25</t>
  </si>
  <si>
    <t>011830000417</t>
  </si>
  <si>
    <t>1984</t>
  </si>
  <si>
    <t>1985</t>
  </si>
  <si>
    <r>
      <rPr>
        <b/>
        <sz val="11"/>
        <color theme="1"/>
        <rFont val="Cambria"/>
        <family val="1"/>
      </rPr>
      <t xml:space="preserve">Amount in word: </t>
    </r>
    <r>
      <rPr>
        <sz val="11"/>
        <color theme="1"/>
        <rFont val="Cambria"/>
        <family val="1"/>
      </rPr>
      <t>Seven Thousand Nine Hundred and Eighty Taka Only</t>
    </r>
  </si>
  <si>
    <t>Current Balance 
16-Aug-25</t>
  </si>
  <si>
    <r>
      <rPr>
        <b/>
        <sz val="11"/>
        <color theme="1"/>
        <rFont val="Cambria"/>
        <family val="1"/>
      </rPr>
      <t xml:space="preserve">Amount in word: </t>
    </r>
    <r>
      <rPr>
        <sz val="11"/>
        <color theme="1"/>
        <rFont val="Cambria"/>
        <family val="1"/>
      </rPr>
      <t>Five Lac Forty Seven Thousand Taka Only</t>
    </r>
  </si>
  <si>
    <t>Current Balance 
18-Aug-25</t>
  </si>
  <si>
    <t>Amount in word:  Four Lac Twenty Seven Thousand Taka Only</t>
  </si>
  <si>
    <t>Prepaid meter recharge for the month Sep-25</t>
  </si>
  <si>
    <t>Admin/Pre Paid/E-bill/Adv/2024/Sep 25</t>
  </si>
  <si>
    <t>Sreebordi Info PoP</t>
  </si>
  <si>
    <t>011810160845</t>
  </si>
  <si>
    <r>
      <rPr>
        <b/>
        <sz val="11"/>
        <color theme="1"/>
        <rFont val="Cambria"/>
        <family val="1"/>
      </rPr>
      <t xml:space="preserve">Amount in word: </t>
    </r>
    <r>
      <rPr>
        <sz val="11"/>
        <color theme="1"/>
        <rFont val="Cambria"/>
        <family val="1"/>
      </rPr>
      <t>Sixteen Thousand Taka Only</t>
    </r>
  </si>
  <si>
    <t xml:space="preserve"> Prepaid Meter Recharge(Cash) </t>
  </si>
  <si>
    <t>Jaldhaka Info PoP</t>
  </si>
  <si>
    <t>26013410</t>
  </si>
  <si>
    <t>Prepaid meter recharge for the month Oct-25</t>
  </si>
  <si>
    <t>Current Balance 
17-Sep-25</t>
  </si>
  <si>
    <r>
      <rPr>
        <b/>
        <sz val="11"/>
        <color theme="1"/>
        <rFont val="Cambria"/>
        <family val="1"/>
      </rPr>
      <t xml:space="preserve">Amount in word: </t>
    </r>
    <r>
      <rPr>
        <sz val="11"/>
        <color theme="1"/>
        <rFont val="Cambria"/>
        <family val="1"/>
      </rPr>
      <t>Five Lac Ninty Four Thousand Taka Only</t>
    </r>
  </si>
  <si>
    <t>Amount in word:  Four Lac Thirty Five Thousand Taka Only</t>
  </si>
  <si>
    <r>
      <rPr>
        <b/>
        <sz val="11"/>
        <color theme="1"/>
        <rFont val="Cambria"/>
        <family val="1"/>
      </rPr>
      <t xml:space="preserve">Amount in word: </t>
    </r>
    <r>
      <rPr>
        <sz val="11"/>
        <color theme="1"/>
        <rFont val="Cambria"/>
        <family val="1"/>
      </rPr>
      <t>Seven Thousand Five Hundred Taka Only</t>
    </r>
  </si>
  <si>
    <t>1703</t>
  </si>
  <si>
    <t>4893390003112932</t>
  </si>
  <si>
    <t>Lalmonirhat Info PoP</t>
  </si>
  <si>
    <t>29025609</t>
  </si>
  <si>
    <t>Ishwardi BB PoP</t>
  </si>
  <si>
    <t>Ishwardi</t>
  </si>
  <si>
    <t>72900180</t>
  </si>
  <si>
    <r>
      <rPr>
        <b/>
        <sz val="11"/>
        <color theme="1"/>
        <rFont val="Cambria"/>
        <family val="1"/>
      </rPr>
      <t xml:space="preserve">Amount in word: </t>
    </r>
    <r>
      <rPr>
        <sz val="11"/>
        <color theme="1"/>
        <rFont val="Cambria"/>
        <family val="1"/>
      </rPr>
      <t>Fifty Thousand Taka Only</t>
    </r>
  </si>
  <si>
    <t xml:space="preserve">Prepaid Meter Recharge </t>
  </si>
  <si>
    <t>Current Balance 
15-Oct-25</t>
  </si>
  <si>
    <t>BDT 1800/Day</t>
  </si>
  <si>
    <t>BDT 723/Day</t>
  </si>
  <si>
    <t>Prepaid meter recharge for the month Nov-25</t>
  </si>
  <si>
    <t>Admin/Pre Paid/E-bill/Adv/2024/Oct 25</t>
  </si>
  <si>
    <r>
      <rPr>
        <b/>
        <sz val="11"/>
        <color theme="1"/>
        <rFont val="Cambria"/>
        <family val="1"/>
      </rPr>
      <t xml:space="preserve">Amount in word: </t>
    </r>
    <r>
      <rPr>
        <sz val="11"/>
        <color theme="1"/>
        <rFont val="Cambria"/>
        <family val="1"/>
      </rPr>
      <t>Six Lac Fifty Two Thousand Taka Only</t>
    </r>
  </si>
  <si>
    <t>Perday/5775</t>
  </si>
  <si>
    <t>Amount in word:  Four Lac Seventy Thousand Taka Only</t>
  </si>
  <si>
    <t>Admin/Pre Paid/E-bill/Adv/2024/Nov 25</t>
  </si>
  <si>
    <t>Prepaid meter recharge for the month Dec-25</t>
  </si>
  <si>
    <t>Current Balance 
16-Nov-25</t>
  </si>
  <si>
    <t>BDT 1900/Day</t>
  </si>
  <si>
    <t>BDT 950/Day</t>
  </si>
  <si>
    <r>
      <rPr>
        <b/>
        <sz val="11"/>
        <color theme="1"/>
        <rFont val="Cambria"/>
        <family val="1"/>
      </rPr>
      <t xml:space="preserve">Amount in word: </t>
    </r>
    <r>
      <rPr>
        <sz val="11"/>
        <color theme="1"/>
        <rFont val="Cambria"/>
        <family val="1"/>
      </rPr>
      <t>Six Lac Seventy Five Thousand Taka Only</t>
    </r>
  </si>
  <si>
    <t>Current Balance 
15-Nov-25</t>
  </si>
  <si>
    <t>Amount in word:  Four Lac Eighty Six Thousand Taka Only</t>
  </si>
  <si>
    <t>Current Balance 
14-Dec-25</t>
  </si>
  <si>
    <r>
      <rPr>
        <b/>
        <sz val="11"/>
        <color theme="1"/>
        <rFont val="Cambria"/>
        <family val="1"/>
      </rPr>
      <t xml:space="preserve">Amount in word: </t>
    </r>
    <r>
      <rPr>
        <sz val="11"/>
        <color theme="1"/>
        <rFont val="Cambria"/>
        <family val="1"/>
      </rPr>
      <t>Four Lac Fourty Three Thousand Taka Only</t>
    </r>
  </si>
  <si>
    <t>Prepaid meter recharge for the month Jan-26</t>
  </si>
  <si>
    <t>Amount in word:  Two Lac Ninty Eight Thousand Taka Only</t>
  </si>
  <si>
    <t>Admin/Pre Paid/E-bill/Adv/2024/Dec 25</t>
  </si>
  <si>
    <t>Dinajpur Info PoP</t>
  </si>
  <si>
    <t>0814</t>
  </si>
  <si>
    <t>Consumer Number/Bkash</t>
  </si>
  <si>
    <t>92031976</t>
  </si>
  <si>
    <t>Current Balance 
29-Dec-25</t>
  </si>
  <si>
    <t>Amount in word:  Thirty Thousand Taka Only</t>
  </si>
  <si>
    <t xml:space="preserve"> Prepaid Meter Recharge (CASH)</t>
  </si>
  <si>
    <t xml:space="preserve">Prepaid Meter Recharge (CASH) </t>
  </si>
  <si>
    <t>Due to server issue from power aurthority we had to recharge in cash</t>
  </si>
  <si>
    <t>Jinaigati Info Sarkar</t>
  </si>
  <si>
    <t>0709</t>
  </si>
  <si>
    <t>010132017275</t>
  </si>
  <si>
    <t>Admin/Pre Paid/E-bill/Adv/2024/Jan 26</t>
  </si>
  <si>
    <t>Current Balance 
17-Jan-25</t>
  </si>
  <si>
    <t>Current Balance 
15-Jan-25</t>
  </si>
  <si>
    <t>Amount in word:  Two Lac Fifty Eight Thousand Taka Only</t>
  </si>
  <si>
    <r>
      <rPr>
        <b/>
        <sz val="11"/>
        <color theme="1"/>
        <rFont val="Cambria"/>
        <family val="1"/>
      </rPr>
      <t xml:space="preserve">Amount in word: </t>
    </r>
    <r>
      <rPr>
        <sz val="11"/>
        <color theme="1"/>
        <rFont val="Cambria"/>
        <family val="1"/>
      </rPr>
      <t>Five Lac Fifty Six Thousand Taka Only</t>
    </r>
  </si>
  <si>
    <t>Palashbari Info PoP</t>
  </si>
  <si>
    <t>1731</t>
  </si>
  <si>
    <t>15018512</t>
  </si>
  <si>
    <t>BDT 1145/Day</t>
  </si>
  <si>
    <r>
      <rPr>
        <b/>
        <sz val="11"/>
        <color theme="1"/>
        <rFont val="Cambria"/>
        <family val="1"/>
      </rPr>
      <t>Amount in word:</t>
    </r>
    <r>
      <rPr>
        <sz val="11"/>
        <color theme="1"/>
        <rFont val="Cambria"/>
        <family val="1"/>
      </rPr>
      <t xml:space="preserve"> Sixty Thousand Taka Only</t>
    </r>
  </si>
  <si>
    <t>Prepaid meter recharge for the month Feb-26</t>
  </si>
  <si>
    <t>Admin/Pre Paid/E-bill/Adv/2024/Feb 26</t>
  </si>
  <si>
    <t>Site/ Office/ POP Name</t>
  </si>
  <si>
    <r>
      <rPr>
        <b/>
        <sz val="11"/>
        <color theme="1"/>
        <rFont val="Cambria"/>
        <family val="1"/>
      </rPr>
      <t>Amount in word:</t>
    </r>
    <r>
      <rPr>
        <sz val="11"/>
        <color theme="1"/>
        <rFont val="Cambria"/>
        <family val="1"/>
      </rPr>
      <t xml:space="preserve"> Ten Thousand Taka Only</t>
    </r>
  </si>
  <si>
    <t>Current Balance 
17-Feb-26</t>
  </si>
  <si>
    <t>Fulbaria Info Sarkar</t>
  </si>
  <si>
    <r>
      <rPr>
        <b/>
        <sz val="11"/>
        <color theme="1"/>
        <rFont val="Cambria"/>
        <family val="1"/>
      </rPr>
      <t xml:space="preserve">Amount in word: </t>
    </r>
    <r>
      <rPr>
        <sz val="11"/>
        <color theme="1"/>
        <rFont val="Cambria"/>
        <family val="1"/>
      </rPr>
      <t>Five Lac Nineteen Thousand Taka Only</t>
    </r>
  </si>
  <si>
    <t>Prepaid meter recharge for the month Mar-26</t>
  </si>
  <si>
    <t>Perday/4845</t>
  </si>
  <si>
    <t>BDT 900/Day</t>
  </si>
  <si>
    <t>Amount in word:  Three Lac Ninty Six Thousand Taka Only</t>
  </si>
  <si>
    <t>Prepaid meter recharge for the month Apr-26</t>
  </si>
  <si>
    <t>Admin/Pre Paid/E-bill/Adv/2024/Mar 26</t>
  </si>
  <si>
    <r>
      <rPr>
        <b/>
        <sz val="11"/>
        <color theme="1"/>
        <rFont val="Cambria"/>
        <family val="1"/>
      </rPr>
      <t xml:space="preserve">Amount in word: </t>
    </r>
    <r>
      <rPr>
        <sz val="11"/>
        <color theme="1"/>
        <rFont val="Cambria"/>
        <family val="1"/>
      </rPr>
      <t>FIve Lac Fourty Four Thousand Taka Only</t>
    </r>
  </si>
  <si>
    <t>Admin/Pre Paid/E-bill/Adv/2024/MAr 26</t>
  </si>
  <si>
    <t>Amount in word:  Three Lac Fifty One Thousand Taka Only</t>
  </si>
  <si>
    <t>Amount in word: Sixteen Thousand Taka Only</t>
  </si>
  <si>
    <t>Note: Needed to recharge this amount as the saction load was incresed from 20KW to 25KW</t>
  </si>
  <si>
    <r>
      <rPr>
        <b/>
        <sz val="11"/>
        <color theme="1"/>
        <rFont val="Cambria"/>
        <family val="1"/>
      </rPr>
      <t xml:space="preserve">Amount in word: </t>
    </r>
    <r>
      <rPr>
        <sz val="11"/>
        <color theme="1"/>
        <rFont val="Cambria"/>
        <family val="1"/>
      </rPr>
      <t>Sixteen Hundred Taka Only</t>
    </r>
  </si>
  <si>
    <t>Note: Due to Meter Lock issue this amount was recharged</t>
  </si>
  <si>
    <t xml:space="preserve">Prepaid Meter Recharge(CASH) </t>
  </si>
  <si>
    <t>010230063480</t>
  </si>
  <si>
    <t>Current Balance 
16-Mar-26</t>
  </si>
  <si>
    <t>Amount in word: Sixty Thousand Taka Only</t>
  </si>
  <si>
    <t>Admin/Pre Paid/E-bill/Adv/2024/Apr 26</t>
  </si>
  <si>
    <t>Prepaid meter recharge for the month May-26</t>
  </si>
  <si>
    <t>Current Balance 
21-Apr-26</t>
  </si>
  <si>
    <t>010132017553</t>
  </si>
  <si>
    <t>Current Balance 
17-Apr-26</t>
  </si>
  <si>
    <t>Amount in word:  Four Lac Two Thousand Taka Only</t>
  </si>
  <si>
    <t>Amount in word: Nine Thousand Taka Only</t>
  </si>
  <si>
    <r>
      <rPr>
        <b/>
        <sz val="11"/>
        <color theme="1"/>
        <rFont val="Cambria"/>
        <family val="1"/>
      </rPr>
      <t>Amount in word:</t>
    </r>
    <r>
      <rPr>
        <sz val="11"/>
        <color theme="1"/>
        <rFont val="Cambria"/>
        <family val="1"/>
      </rPr>
      <t xml:space="preserve"> Six Thousand Taka Only</t>
    </r>
  </si>
  <si>
    <t>A/C Information (EBL)</t>
  </si>
  <si>
    <t>4893 3900 0311 2932</t>
  </si>
  <si>
    <t>Note: This amount was recharged on test purpose as new meter was installed.</t>
  </si>
  <si>
    <r>
      <rPr>
        <b/>
        <sz val="11"/>
        <color theme="1"/>
        <rFont val="Cambria"/>
        <family val="1"/>
      </rPr>
      <t xml:space="preserve">Amount in word: </t>
    </r>
    <r>
      <rPr>
        <sz val="11"/>
        <color theme="1"/>
        <rFont val="Cambria"/>
        <family val="1"/>
      </rPr>
      <t>One Thousand Two Hundred and Ten Taka Only</t>
    </r>
  </si>
  <si>
    <t>Current Balance 
14-May-26</t>
  </si>
  <si>
    <t>9 Arp 26</t>
  </si>
  <si>
    <r>
      <rPr>
        <b/>
        <sz val="11"/>
        <color theme="1"/>
        <rFont val="Cambria"/>
        <family val="1"/>
      </rPr>
      <t>Amount in word: Six</t>
    </r>
    <r>
      <rPr>
        <sz val="11"/>
        <color theme="1"/>
        <rFont val="Cambria"/>
        <family val="1"/>
      </rPr>
      <t xml:space="preserve"> Lac Thirty Two Thousand Taka Only</t>
    </r>
  </si>
  <si>
    <t>Perday/5740</t>
  </si>
  <si>
    <t>Perday/1961</t>
  </si>
  <si>
    <t>Amount in word:  Four Lac Fifty Eight Thousand Taka Only</t>
  </si>
  <si>
    <t>Prepaid meter recharge for the month Jun-26</t>
  </si>
  <si>
    <t>Admin/Pre Paid/E-bill/Adv/2024/May 26</t>
  </si>
  <si>
    <t>Amount in word:  Thirty Five Thousand Taka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</si>
</sst>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
    <numFmt numFmtId="165" formatCode="_(* #,##0_);_(* \(#,##0\);_(* &quot;-&quot;??_);_(@_)"/>
    <numFmt numFmtId="166" formatCode="[$-409]d/mmm/yy;@"/>
    <numFmt numFmtId="167" formatCode="[$-409]d/mmm/yyyy;@"/>
  </numFmts>
  <fonts count="19" x14ac:knownFonts="1">
    <font>
      <sz val="11"/>
      <color theme="1"/>
      <name val="Calibri"/>
      <family val="2"/>
      <scheme val="minor"/>
    </font>
    <font>
      <sz val="11"/>
      <color theme="1"/>
      <name val="Calibri"/>
      <family val="2"/>
      <scheme val="minor"/>
    </font>
    <font>
      <b/>
      <sz val="14"/>
      <color theme="1"/>
      <name val="Trebuchet MS"/>
      <family val="2"/>
    </font>
    <font>
      <b/>
      <sz val="10"/>
      <color theme="1"/>
      <name val="Trebuchet MS"/>
      <family val="2"/>
    </font>
    <font>
      <sz val="10"/>
      <color theme="1"/>
      <name val="Trebuchet MS"/>
      <family val="2"/>
    </font>
    <font>
      <b/>
      <sz val="9"/>
      <color theme="1"/>
      <name val="Trebuchet MS"/>
      <family val="2"/>
    </font>
    <font>
      <sz val="11"/>
      <color theme="1"/>
      <name val="Cambria"/>
      <family val="1"/>
    </font>
    <font>
      <b/>
      <sz val="11"/>
      <color theme="1"/>
      <name val="Cambria"/>
      <family val="1"/>
    </font>
    <font>
      <u/>
      <sz val="11"/>
      <color theme="1"/>
      <name val="Cambria"/>
      <family val="1"/>
    </font>
    <font>
      <b/>
      <sz val="10"/>
      <color theme="1"/>
      <name val="Cambria"/>
      <family val="1"/>
    </font>
    <font>
      <sz val="11"/>
      <color rgb="FFFF0000"/>
      <name val="Cambria"/>
      <family val="1"/>
    </font>
    <font>
      <b/>
      <sz val="11"/>
      <color theme="1"/>
      <name val="Calibri"/>
      <family val="2"/>
      <scheme val="minor"/>
    </font>
    <font>
      <sz val="8"/>
      <name val="Calibri"/>
      <family val="2"/>
      <scheme val="minor"/>
    </font>
    <font>
      <b/>
      <sz val="12"/>
      <color theme="1"/>
      <name val="Calibri Light"/>
      <family val="1"/>
      <scheme val="major"/>
    </font>
    <font>
      <b/>
      <sz val="12"/>
      <name val="Calibri Light"/>
      <family val="1"/>
      <scheme val="major"/>
    </font>
    <font>
      <b/>
      <sz val="12"/>
      <color theme="1"/>
      <name val="Calibri Light"/>
      <family val="2"/>
      <scheme val="major"/>
    </font>
    <font>
      <sz val="11"/>
      <name val="Cambria"/>
      <family val="1"/>
    </font>
    <font>
      <sz val="10"/>
      <color theme="1"/>
      <name val="Cambria"/>
      <family val="1"/>
    </font>
    <font>
      <sz val="10"/>
      <color rgb="FF000000"/>
      <name val="Trebuchet MS"/>
      <family val="2"/>
    </font>
  </fonts>
  <fills count="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FF"/>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bottom style="medium">
        <color indexed="64"/>
      </bottom>
      <diagonal/>
    </border>
    <border>
      <left/>
      <right/>
      <top style="thin">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78">
    <xf numFmtId="0" fontId="0" fillId="0" borderId="0" xfId="0"/>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0" borderId="1" xfId="0" applyFont="1" applyBorder="1" applyAlignment="1">
      <alignment vertical="center"/>
    </xf>
    <xf numFmtId="0" fontId="4" fillId="4" borderId="1" xfId="0" applyFont="1" applyFill="1" applyBorder="1" applyAlignment="1">
      <alignment horizontal="left" vertical="center"/>
    </xf>
    <xf numFmtId="0" fontId="4" fillId="4" borderId="1" xfId="0" quotePrefix="1" applyFont="1" applyFill="1" applyBorder="1" applyAlignment="1">
      <alignment horizontal="center" vertical="center"/>
    </xf>
    <xf numFmtId="165" fontId="4" fillId="2" borderId="1" xfId="1" applyNumberFormat="1" applyFont="1" applyFill="1" applyBorder="1" applyAlignment="1">
      <alignment vertical="center"/>
    </xf>
    <xf numFmtId="165" fontId="4" fillId="4" borderId="1" xfId="1" applyNumberFormat="1" applyFont="1" applyFill="1" applyBorder="1" applyAlignment="1">
      <alignment vertical="center"/>
    </xf>
    <xf numFmtId="166" fontId="4" fillId="4" borderId="1" xfId="1" applyNumberFormat="1" applyFont="1" applyFill="1" applyBorder="1" applyAlignment="1">
      <alignment vertical="center"/>
    </xf>
    <xf numFmtId="0" fontId="0" fillId="0" borderId="1" xfId="0" applyBorder="1" applyAlignment="1">
      <alignment vertical="center" wrapText="1"/>
    </xf>
    <xf numFmtId="0" fontId="4" fillId="0" borderId="1" xfId="0" quotePrefix="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vertical="center"/>
    </xf>
    <xf numFmtId="0" fontId="0" fillId="4" borderId="1" xfId="0" applyFill="1" applyBorder="1" applyAlignment="1">
      <alignment vertical="center" wrapText="1"/>
    </xf>
    <xf numFmtId="0" fontId="0" fillId="4" borderId="0" xfId="0" applyFill="1"/>
    <xf numFmtId="0" fontId="4" fillId="4" borderId="6" xfId="0" applyFont="1" applyFill="1" applyBorder="1" applyAlignment="1">
      <alignment vertical="center"/>
    </xf>
    <xf numFmtId="0" fontId="4" fillId="4" borderId="6" xfId="0" applyFont="1" applyFill="1" applyBorder="1" applyAlignment="1">
      <alignment horizontal="left" vertical="center"/>
    </xf>
    <xf numFmtId="0" fontId="4" fillId="4" borderId="6" xfId="0" quotePrefix="1" applyFont="1" applyFill="1" applyBorder="1" applyAlignment="1">
      <alignment horizontal="center" vertical="center"/>
    </xf>
    <xf numFmtId="0" fontId="4" fillId="4" borderId="6" xfId="0" applyFont="1" applyFill="1" applyBorder="1" applyAlignment="1">
      <alignment horizontal="center" vertical="center"/>
    </xf>
    <xf numFmtId="165" fontId="3" fillId="2" borderId="6" xfId="0" applyNumberFormat="1" applyFont="1" applyFill="1" applyBorder="1" applyAlignment="1">
      <alignment horizontal="center" vertical="center"/>
    </xf>
    <xf numFmtId="165" fontId="3" fillId="4" borderId="7" xfId="0" applyNumberFormat="1" applyFont="1" applyFill="1" applyBorder="1" applyAlignment="1">
      <alignment horizontal="center" vertical="center"/>
    </xf>
    <xf numFmtId="165" fontId="3" fillId="4" borderId="0" xfId="0" applyNumberFormat="1" applyFont="1" applyFill="1" applyAlignment="1">
      <alignment horizontal="center" vertical="center"/>
    </xf>
    <xf numFmtId="0" fontId="6" fillId="0" borderId="0" xfId="0" applyFont="1"/>
    <xf numFmtId="0" fontId="6" fillId="0" borderId="8" xfId="0" applyFont="1" applyBorder="1"/>
    <xf numFmtId="0" fontId="8" fillId="0" borderId="0" xfId="0" applyFont="1" applyAlignment="1">
      <alignment horizontal="center"/>
    </xf>
    <xf numFmtId="0" fontId="9" fillId="0" borderId="0" xfId="0" applyFont="1" applyAlignment="1">
      <alignment horizontal="center"/>
    </xf>
    <xf numFmtId="0" fontId="9" fillId="0" borderId="0" xfId="0" applyFont="1"/>
    <xf numFmtId="0" fontId="7" fillId="0" borderId="0" xfId="0" applyFont="1" applyAlignment="1">
      <alignment horizontal="center" vertical="center"/>
    </xf>
    <xf numFmtId="0" fontId="7"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166" fontId="4" fillId="4" borderId="1" xfId="1"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165" fontId="3" fillId="4" borderId="9" xfId="0" applyNumberFormat="1" applyFont="1" applyFill="1" applyBorder="1" applyAlignment="1">
      <alignment horizontal="center" vertical="center"/>
    </xf>
    <xf numFmtId="165" fontId="4" fillId="4" borderId="0" xfId="1" applyNumberFormat="1" applyFont="1" applyFill="1" applyBorder="1" applyAlignment="1">
      <alignment vertical="center"/>
    </xf>
    <xf numFmtId="15" fontId="9" fillId="0" borderId="0" xfId="0" applyNumberFormat="1" applyFont="1" applyAlignment="1">
      <alignment horizontal="center" vertical="center"/>
    </xf>
    <xf numFmtId="0" fontId="9" fillId="0" borderId="0" xfId="0" applyFont="1" applyAlignment="1">
      <alignment horizontal="center" vertical="center"/>
    </xf>
    <xf numFmtId="0" fontId="6" fillId="0" borderId="10" xfId="0" applyFont="1" applyBorder="1"/>
    <xf numFmtId="165" fontId="4" fillId="4" borderId="1" xfId="1" applyNumberFormat="1" applyFont="1" applyFill="1" applyBorder="1" applyAlignment="1">
      <alignment horizontal="center" vertical="center"/>
    </xf>
    <xf numFmtId="165" fontId="3" fillId="4" borderId="0" xfId="0" applyNumberFormat="1" applyFont="1" applyFill="1" applyAlignment="1">
      <alignment vertical="center"/>
    </xf>
    <xf numFmtId="49" fontId="4" fillId="4" borderId="1" xfId="0" applyNumberFormat="1" applyFont="1" applyFill="1" applyBorder="1" applyAlignment="1">
      <alignment horizontal="center" vertical="center"/>
    </xf>
    <xf numFmtId="165" fontId="4" fillId="5" borderId="1" xfId="1" applyNumberFormat="1" applyFont="1" applyFill="1" applyBorder="1" applyAlignment="1">
      <alignment vertical="center"/>
    </xf>
    <xf numFmtId="0" fontId="6" fillId="0" borderId="0" xfId="0" applyFont="1" applyAlignment="1">
      <alignment horizontal="left" vertical="top"/>
    </xf>
    <xf numFmtId="0" fontId="10" fillId="0" borderId="0" xfId="0" applyFont="1" applyAlignment="1">
      <alignment horizontal="left" vertical="top"/>
    </xf>
    <xf numFmtId="0" fontId="0" fillId="0" borderId="1" xfId="0" applyBorder="1" applyAlignment="1">
      <alignment vertical="center"/>
    </xf>
    <xf numFmtId="0" fontId="0" fillId="0" borderId="12" xfId="0" applyBorder="1"/>
    <xf numFmtId="0" fontId="6" fillId="0" borderId="12" xfId="0" applyFont="1" applyBorder="1"/>
    <xf numFmtId="165" fontId="4" fillId="2" borderId="1" xfId="1" applyNumberFormat="1" applyFont="1" applyFill="1" applyBorder="1" applyAlignment="1">
      <alignment horizontal="center" vertical="center"/>
    </xf>
    <xf numFmtId="0" fontId="0" fillId="0" borderId="0" xfId="0" applyAlignment="1">
      <alignment horizontal="center"/>
    </xf>
    <xf numFmtId="49" fontId="4" fillId="4" borderId="6" xfId="0" quotePrefix="1" applyNumberFormat="1" applyFont="1" applyFill="1" applyBorder="1" applyAlignment="1">
      <alignment horizontal="center" vertical="center"/>
    </xf>
    <xf numFmtId="0" fontId="0" fillId="0" borderId="14" xfId="0" applyBorder="1"/>
    <xf numFmtId="0" fontId="0" fillId="0" borderId="15" xfId="0" applyBorder="1"/>
    <xf numFmtId="0" fontId="11" fillId="0" borderId="13" xfId="0" applyFont="1" applyBorder="1" applyAlignment="1">
      <alignment horizontal="center"/>
    </xf>
    <xf numFmtId="0" fontId="0" fillId="0" borderId="0" xfId="0" applyAlignment="1">
      <alignment wrapText="1"/>
    </xf>
    <xf numFmtId="0" fontId="11" fillId="0" borderId="1" xfId="0" applyFont="1" applyBorder="1" applyAlignment="1">
      <alignment horizontal="center"/>
    </xf>
    <xf numFmtId="0" fontId="0" fillId="0" borderId="1" xfId="0" applyBorder="1"/>
    <xf numFmtId="165" fontId="4" fillId="2" borderId="18" xfId="1" applyNumberFormat="1" applyFont="1" applyFill="1" applyBorder="1" applyAlignment="1">
      <alignment vertical="center"/>
    </xf>
    <xf numFmtId="165" fontId="4" fillId="4" borderId="20" xfId="1" applyNumberFormat="1" applyFont="1" applyFill="1" applyBorder="1" applyAlignment="1">
      <alignment horizontal="center" vertical="center"/>
    </xf>
    <xf numFmtId="165" fontId="4" fillId="4" borderId="20" xfId="1" applyNumberFormat="1" applyFont="1" applyFill="1" applyBorder="1" applyAlignment="1">
      <alignment vertical="center"/>
    </xf>
    <xf numFmtId="166" fontId="4" fillId="4" borderId="20" xfId="1" applyNumberFormat="1" applyFont="1" applyFill="1" applyBorder="1" applyAlignment="1">
      <alignment vertical="center"/>
    </xf>
    <xf numFmtId="0" fontId="0" fillId="4" borderId="20" xfId="0" applyFill="1" applyBorder="1" applyAlignment="1">
      <alignment vertical="center" wrapText="1"/>
    </xf>
    <xf numFmtId="165" fontId="4" fillId="4" borderId="2" xfId="1" applyNumberFormat="1" applyFont="1" applyFill="1" applyBorder="1" applyAlignment="1">
      <alignment vertical="center"/>
    </xf>
    <xf numFmtId="0" fontId="0" fillId="4" borderId="2" xfId="0" applyFill="1" applyBorder="1" applyAlignment="1">
      <alignment vertical="center" wrapText="1"/>
    </xf>
    <xf numFmtId="0" fontId="0" fillId="0" borderId="7" xfId="0" applyBorder="1"/>
    <xf numFmtId="49" fontId="4" fillId="4" borderId="1" xfId="0" applyNumberFormat="1" applyFont="1" applyFill="1" applyBorder="1" applyAlignment="1">
      <alignment horizontal="center" vertical="center" wrapText="1"/>
    </xf>
    <xf numFmtId="49" fontId="4" fillId="4" borderId="2" xfId="0" applyNumberFormat="1" applyFont="1" applyFill="1" applyBorder="1" applyAlignment="1">
      <alignment horizontal="left" vertical="center" wrapText="1"/>
    </xf>
    <xf numFmtId="49" fontId="4" fillId="4" borderId="2" xfId="0" applyNumberFormat="1" applyFont="1" applyFill="1" applyBorder="1" applyAlignment="1">
      <alignment horizontal="center" vertical="center" wrapText="1"/>
    </xf>
    <xf numFmtId="49" fontId="4" fillId="4" borderId="1" xfId="0" applyNumberFormat="1" applyFont="1" applyFill="1" applyBorder="1" applyAlignment="1">
      <alignment vertical="center"/>
    </xf>
    <xf numFmtId="49" fontId="4" fillId="4" borderId="1" xfId="0" applyNumberFormat="1" applyFont="1" applyFill="1" applyBorder="1" applyAlignment="1">
      <alignment horizontal="left" vertical="center"/>
    </xf>
    <xf numFmtId="49" fontId="4" fillId="4" borderId="1" xfId="0" quotePrefix="1" applyNumberFormat="1" applyFont="1" applyFill="1" applyBorder="1" applyAlignment="1">
      <alignment horizontal="center" vertical="center"/>
    </xf>
    <xf numFmtId="49" fontId="4" fillId="0" borderId="1" xfId="0" applyNumberFormat="1" applyFont="1" applyBorder="1" applyAlignment="1">
      <alignment vertical="center"/>
    </xf>
    <xf numFmtId="49" fontId="4" fillId="0" borderId="1" xfId="0" quotePrefix="1" applyNumberFormat="1" applyFont="1" applyBorder="1" applyAlignment="1">
      <alignment horizontal="center" vertical="center"/>
    </xf>
    <xf numFmtId="49" fontId="4" fillId="0" borderId="1" xfId="0" applyNumberFormat="1" applyFont="1" applyBorder="1" applyAlignment="1">
      <alignment horizontal="left" vertical="center"/>
    </xf>
    <xf numFmtId="49" fontId="4" fillId="0" borderId="1" xfId="0" applyNumberFormat="1" applyFont="1" applyBorder="1" applyAlignment="1">
      <alignment horizontal="center" vertical="center"/>
    </xf>
    <xf numFmtId="165" fontId="4" fillId="6" borderId="1" xfId="1" applyNumberFormat="1" applyFont="1" applyFill="1" applyBorder="1" applyAlignment="1">
      <alignment vertical="center"/>
    </xf>
    <xf numFmtId="3" fontId="4" fillId="6" borderId="1" xfId="0" applyNumberFormat="1" applyFont="1" applyFill="1" applyBorder="1" applyAlignment="1">
      <alignment horizontal="right" vertical="center" wrapText="1"/>
    </xf>
    <xf numFmtId="165" fontId="4" fillId="6" borderId="1" xfId="1" applyNumberFormat="1" applyFont="1" applyFill="1" applyBorder="1" applyAlignment="1">
      <alignment horizontal="right" vertical="center"/>
    </xf>
    <xf numFmtId="165" fontId="3" fillId="6" borderId="6" xfId="0" applyNumberFormat="1" applyFont="1" applyFill="1" applyBorder="1" applyAlignment="1">
      <alignment horizontal="right" vertical="center"/>
    </xf>
    <xf numFmtId="3" fontId="4" fillId="4" borderId="1" xfId="0" applyNumberFormat="1" applyFont="1" applyFill="1" applyBorder="1" applyAlignment="1">
      <alignment horizontal="right" vertical="center" wrapText="1"/>
    </xf>
    <xf numFmtId="3" fontId="4" fillId="6" borderId="2" xfId="0" applyNumberFormat="1" applyFont="1" applyFill="1" applyBorder="1" applyAlignment="1">
      <alignment horizontal="right" vertical="center" wrapText="1"/>
    </xf>
    <xf numFmtId="0" fontId="4" fillId="4" borderId="1" xfId="0" applyFont="1" applyFill="1" applyBorder="1" applyAlignment="1">
      <alignment horizontal="left" vertical="center" wrapText="1"/>
    </xf>
    <xf numFmtId="49" fontId="4" fillId="0" borderId="6" xfId="0" applyNumberFormat="1" applyFont="1" applyBorder="1" applyAlignment="1">
      <alignment vertical="center"/>
    </xf>
    <xf numFmtId="49" fontId="4" fillId="4" borderId="6" xfId="0" applyNumberFormat="1" applyFont="1" applyFill="1" applyBorder="1" applyAlignment="1">
      <alignment horizontal="left" vertical="center"/>
    </xf>
    <xf numFmtId="49" fontId="4" fillId="4" borderId="6" xfId="0" applyNumberFormat="1" applyFont="1" applyFill="1" applyBorder="1" applyAlignment="1">
      <alignment horizontal="center" vertical="center"/>
    </xf>
    <xf numFmtId="165" fontId="4" fillId="6" borderId="6" xfId="1" applyNumberFormat="1" applyFont="1" applyFill="1" applyBorder="1" applyAlignment="1">
      <alignment horizontal="right" vertical="center"/>
    </xf>
    <xf numFmtId="0" fontId="3" fillId="3" borderId="1" xfId="0" applyFont="1" applyFill="1" applyBorder="1" applyAlignment="1">
      <alignment horizontal="center" wrapText="1"/>
    </xf>
    <xf numFmtId="0" fontId="6" fillId="0" borderId="0" xfId="0" applyFont="1" applyAlignment="1">
      <alignment horizontal="center" vertical="top" wrapText="1"/>
    </xf>
    <xf numFmtId="165" fontId="9" fillId="0" borderId="0" xfId="0" applyNumberFormat="1" applyFont="1" applyAlignment="1">
      <alignment horizontal="center" vertical="center"/>
    </xf>
    <xf numFmtId="0" fontId="7" fillId="0" borderId="0" xfId="0" applyFont="1" applyAlignment="1">
      <alignment horizontal="center" vertical="top"/>
    </xf>
    <xf numFmtId="0" fontId="7" fillId="0" borderId="0" xfId="0" applyFont="1" applyAlignment="1">
      <alignment horizontal="center" vertical="top" wrapText="1"/>
    </xf>
    <xf numFmtId="49" fontId="11" fillId="0" borderId="1" xfId="0" applyNumberFormat="1" applyFont="1" applyBorder="1"/>
    <xf numFmtId="165" fontId="3" fillId="6" borderId="6" xfId="0" applyNumberFormat="1" applyFont="1" applyFill="1" applyBorder="1" applyAlignment="1">
      <alignment horizontal="center" vertical="center"/>
    </xf>
    <xf numFmtId="0" fontId="4" fillId="4" borderId="5" xfId="0" applyFont="1" applyFill="1" applyBorder="1" applyAlignment="1">
      <alignment horizontal="center" vertical="center"/>
    </xf>
    <xf numFmtId="49" fontId="4" fillId="4" borderId="5" xfId="0" applyNumberFormat="1" applyFont="1" applyFill="1" applyBorder="1" applyAlignment="1">
      <alignment vertical="center"/>
    </xf>
    <xf numFmtId="49" fontId="4" fillId="4" borderId="5" xfId="0" applyNumberFormat="1" applyFont="1" applyFill="1" applyBorder="1" applyAlignment="1">
      <alignment horizontal="left" vertical="center"/>
    </xf>
    <xf numFmtId="49" fontId="4" fillId="4" borderId="5" xfId="0" applyNumberFormat="1" applyFont="1" applyFill="1" applyBorder="1" applyAlignment="1">
      <alignment horizontal="center" vertical="center"/>
    </xf>
    <xf numFmtId="49" fontId="0" fillId="0" borderId="0" xfId="0" applyNumberFormat="1"/>
    <xf numFmtId="0" fontId="0" fillId="6" borderId="0" xfId="0" applyFill="1"/>
    <xf numFmtId="165" fontId="4" fillId="4" borderId="5" xfId="1" applyNumberFormat="1" applyFont="1" applyFill="1" applyBorder="1" applyAlignment="1">
      <alignment vertical="center"/>
    </xf>
    <xf numFmtId="15" fontId="0" fillId="0" borderId="0" xfId="0" applyNumberFormat="1"/>
    <xf numFmtId="165" fontId="4" fillId="6" borderId="5" xfId="1" applyNumberFormat="1" applyFont="1" applyFill="1" applyBorder="1" applyAlignment="1">
      <alignment horizontal="right" vertical="center"/>
    </xf>
    <xf numFmtId="0" fontId="9" fillId="0" borderId="22" xfId="0" applyFont="1" applyBorder="1" applyAlignment="1">
      <alignment horizontal="center"/>
    </xf>
    <xf numFmtId="49" fontId="0" fillId="0" borderId="0" xfId="0" applyNumberFormat="1" applyAlignment="1">
      <alignment horizontal="center"/>
    </xf>
    <xf numFmtId="0" fontId="0" fillId="0" borderId="1" xfId="0" applyBorder="1" applyAlignment="1">
      <alignment horizontal="center" vertical="center"/>
    </xf>
    <xf numFmtId="0" fontId="7" fillId="0" borderId="1" xfId="0" applyFont="1" applyBorder="1" applyAlignment="1">
      <alignment horizontal="center"/>
    </xf>
    <xf numFmtId="0" fontId="7" fillId="0" borderId="1" xfId="0" applyFont="1" applyBorder="1"/>
    <xf numFmtId="0" fontId="9" fillId="0" borderId="11" xfId="0" applyFont="1" applyBorder="1" applyAlignment="1">
      <alignment horizontal="center"/>
    </xf>
    <xf numFmtId="0" fontId="6" fillId="0" borderId="1" xfId="0" applyFont="1" applyBorder="1" applyAlignment="1">
      <alignment horizontal="center"/>
    </xf>
    <xf numFmtId="0" fontId="0" fillId="0" borderId="1" xfId="0" quotePrefix="1" applyBorder="1" applyAlignment="1">
      <alignment horizontal="center" vertical="center"/>
    </xf>
    <xf numFmtId="165" fontId="4" fillId="6" borderId="1" xfId="1" applyNumberFormat="1" applyFont="1" applyFill="1" applyBorder="1" applyAlignment="1">
      <alignment horizontal="center" vertical="center"/>
    </xf>
    <xf numFmtId="0" fontId="9" fillId="0" borderId="1" xfId="0" applyFont="1" applyBorder="1"/>
    <xf numFmtId="0" fontId="7" fillId="0" borderId="0" xfId="0" applyFont="1" applyAlignment="1">
      <alignment horizontal="center" wrapText="1"/>
    </xf>
    <xf numFmtId="0" fontId="17" fillId="0" borderId="0" xfId="0" applyFont="1" applyAlignment="1">
      <alignment vertical="top" wrapText="1"/>
    </xf>
    <xf numFmtId="165" fontId="9" fillId="0" borderId="0" xfId="0" applyNumberFormat="1" applyFont="1" applyAlignment="1">
      <alignment vertical="center"/>
    </xf>
    <xf numFmtId="0" fontId="7" fillId="0" borderId="0" xfId="0" applyFont="1" applyAlignment="1">
      <alignment vertical="top"/>
    </xf>
    <xf numFmtId="0" fontId="6" fillId="0" borderId="0" xfId="0" applyFont="1" applyAlignment="1">
      <alignment vertical="top" wrapText="1"/>
    </xf>
    <xf numFmtId="0" fontId="17" fillId="0" borderId="0" xfId="0" applyFont="1" applyAlignment="1">
      <alignment horizontal="center" vertical="top" wrapText="1"/>
    </xf>
    <xf numFmtId="165" fontId="3" fillId="2" borderId="1" xfId="1" applyNumberFormat="1" applyFont="1" applyFill="1" applyBorder="1" applyAlignment="1">
      <alignment horizontal="center" vertical="center"/>
    </xf>
    <xf numFmtId="0" fontId="0" fillId="6" borderId="1" xfId="0" applyFill="1" applyBorder="1"/>
    <xf numFmtId="15" fontId="0" fillId="0" borderId="1" xfId="0" applyNumberFormat="1" applyBorder="1"/>
    <xf numFmtId="166" fontId="4" fillId="4" borderId="1" xfId="1" applyNumberFormat="1" applyFont="1" applyFill="1" applyBorder="1" applyAlignment="1">
      <alignment horizontal="right" vertical="center"/>
    </xf>
    <xf numFmtId="49" fontId="4" fillId="4" borderId="2" xfId="0" applyNumberFormat="1" applyFont="1" applyFill="1" applyBorder="1" applyAlignment="1">
      <alignment horizontal="center" vertical="center"/>
    </xf>
    <xf numFmtId="0" fontId="0" fillId="4" borderId="1" xfId="0" applyFill="1" applyBorder="1" applyAlignment="1">
      <alignment horizontal="center" vertical="center" wrapText="1"/>
    </xf>
    <xf numFmtId="3" fontId="4" fillId="6" borderId="6" xfId="0" applyNumberFormat="1" applyFont="1" applyFill="1" applyBorder="1" applyAlignment="1">
      <alignment horizontal="right" vertical="center" wrapText="1"/>
    </xf>
    <xf numFmtId="165" fontId="4" fillId="6" borderId="18" xfId="1" applyNumberFormat="1" applyFont="1" applyFill="1" applyBorder="1" applyAlignment="1">
      <alignment vertical="center"/>
    </xf>
    <xf numFmtId="165" fontId="4" fillId="6" borderId="20" xfId="1" applyNumberFormat="1" applyFont="1" applyFill="1" applyBorder="1" applyAlignment="1">
      <alignment vertical="center"/>
    </xf>
    <xf numFmtId="0" fontId="0" fillId="0" borderId="20" xfId="0" applyBorder="1" applyAlignment="1">
      <alignment vertical="center" wrapText="1"/>
    </xf>
    <xf numFmtId="165" fontId="3" fillId="4" borderId="1" xfId="0" applyNumberFormat="1" applyFont="1" applyFill="1" applyBorder="1" applyAlignment="1">
      <alignment horizontal="center" vertical="center"/>
    </xf>
    <xf numFmtId="165" fontId="3" fillId="4" borderId="1" xfId="0" applyNumberFormat="1" applyFont="1" applyFill="1" applyBorder="1" applyAlignment="1">
      <alignment vertical="center"/>
    </xf>
    <xf numFmtId="0" fontId="6" fillId="0" borderId="1" xfId="0" applyFont="1" applyBorder="1"/>
    <xf numFmtId="15" fontId="0" fillId="4" borderId="1" xfId="0" applyNumberFormat="1" applyFill="1" applyBorder="1" applyAlignment="1">
      <alignment vertical="center" wrapText="1"/>
    </xf>
    <xf numFmtId="0" fontId="18" fillId="0" borderId="0" xfId="0" applyFont="1"/>
    <xf numFmtId="49" fontId="18" fillId="7" borderId="29" xfId="0" applyNumberFormat="1" applyFont="1" applyFill="1"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0" fillId="0" borderId="1" xfId="0" applyBorder="1"/>
    <xf numFmtId="3" fontId="4" fillId="6" borderId="1" xfId="0" applyNumberFormat="1" applyFont="1" applyFill="1" applyBorder="1"/>
    <xf numFmtId="165" fontId="4" fillId="6" borderId="1" xfId="1" applyNumberFormat="1" applyFont="1" applyFill="1" applyBorder="1"/>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0" fillId="0" borderId="1" xfId="0" applyBorder="1"/>
    <xf numFmtId="0" fontId="0" fillId="0" borderId="0" xfId="0" applyBorder="1" applyAlignment="1">
      <alignment vertical="center"/>
    </xf>
    <xf numFmtId="0" fontId="0" fillId="0" borderId="0" xfId="0" applyBorder="1"/>
    <xf numFmtId="49" fontId="4" fillId="4" borderId="1" xfId="0" applyNumberFormat="1" applyFont="1" applyFill="1" applyBorder="1" applyAlignment="1">
      <alignment horizontal="left" vertical="center" wrapText="1"/>
    </xf>
    <xf numFmtId="49" fontId="0" fillId="0" borderId="1" xfId="0" applyNumberFormat="1" applyBorder="1"/>
    <xf numFmtId="0" fontId="18" fillId="0" borderId="1" xfId="0" applyFont="1" applyBorder="1"/>
    <xf numFmtId="49" fontId="18" fillId="7" borderId="1" xfId="0" applyNumberFormat="1" applyFont="1" applyFill="1" applyBorder="1" applyAlignment="1">
      <alignment horizontal="center" vertical="center"/>
    </xf>
    <xf numFmtId="0" fontId="4" fillId="4" borderId="6" xfId="0" applyFont="1" applyFill="1" applyBorder="1" applyAlignment="1">
      <alignment vertical="center" wrapText="1"/>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49" fontId="18" fillId="7" borderId="30" xfId="0" applyNumberFormat="1" applyFont="1" applyFill="1" applyBorder="1" applyAlignment="1">
      <alignment horizontal="center" vertical="center"/>
    </xf>
    <xf numFmtId="0" fontId="18" fillId="0" borderId="2" xfId="0" applyFont="1" applyBorder="1"/>
    <xf numFmtId="49" fontId="18" fillId="7" borderId="28" xfId="0" applyNumberFormat="1"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0" fillId="0" borderId="1" xfId="0" applyBorder="1"/>
    <xf numFmtId="0" fontId="7" fillId="0" borderId="0" xfId="0" applyFont="1"/>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0" fillId="0" borderId="1" xfId="0" applyBorder="1"/>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165" fontId="0" fillId="0" borderId="1" xfId="1" applyNumberFormat="1" applyFont="1" applyBorder="1" applyAlignment="1">
      <alignment vertical="center"/>
    </xf>
    <xf numFmtId="167" fontId="4" fillId="4" borderId="1" xfId="1" applyNumberFormat="1"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3" fontId="4" fillId="6" borderId="1" xfId="0" applyNumberFormat="1" applyFont="1" applyFill="1" applyBorder="1" applyAlignment="1"/>
    <xf numFmtId="165" fontId="4" fillId="6" borderId="1" xfId="1" applyNumberFormat="1" applyFont="1" applyFill="1" applyBorder="1" applyAlignment="1"/>
    <xf numFmtId="165" fontId="4" fillId="6" borderId="3" xfId="1" applyNumberFormat="1" applyFont="1" applyFill="1" applyBorder="1" applyAlignment="1">
      <alignment horizontal="center" vertical="center"/>
    </xf>
    <xf numFmtId="0" fontId="0" fillId="0" borderId="3" xfId="0" applyBorder="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7" fillId="0" borderId="0" xfId="0" applyFont="1" applyAlignment="1">
      <alignment horizontal="center"/>
    </xf>
    <xf numFmtId="3" fontId="7" fillId="0" borderId="0" xfId="0" applyNumberFormat="1" applyFont="1"/>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0" fillId="0" borderId="1" xfId="0" applyBorder="1"/>
    <xf numFmtId="49" fontId="4" fillId="0" borderId="0" xfId="0" applyNumberFormat="1"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0" fillId="0" borderId="1" xfId="0" applyBorder="1"/>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0" fillId="0" borderId="1" xfId="0" applyBorder="1"/>
    <xf numFmtId="0" fontId="4" fillId="8" borderId="1" xfId="0" applyFont="1" applyFill="1" applyBorder="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165" fontId="4" fillId="6" borderId="3" xfId="1" applyNumberFormat="1" applyFont="1" applyFill="1" applyBorder="1" applyAlignment="1">
      <alignment horizontal="right" vertical="center"/>
    </xf>
    <xf numFmtId="49" fontId="18" fillId="7" borderId="2" xfId="0" applyNumberFormat="1" applyFont="1" applyFill="1" applyBorder="1" applyAlignment="1">
      <alignment horizontal="center" vertical="center"/>
    </xf>
    <xf numFmtId="165" fontId="0" fillId="0" borderId="5" xfId="1" applyNumberFormat="1" applyFont="1" applyFill="1" applyBorder="1" applyAlignment="1">
      <alignment vertical="center"/>
    </xf>
    <xf numFmtId="0" fontId="18"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7" fillId="0" borderId="0" xfId="0" applyFont="1" applyAlignment="1">
      <alignment vertical="center"/>
    </xf>
    <xf numFmtId="0" fontId="6" fillId="0" borderId="0" xfId="0" applyFont="1" applyAlignment="1">
      <alignment vertical="center"/>
    </xf>
    <xf numFmtId="0" fontId="4" fillId="8" borderId="1" xfId="0" applyFont="1" applyFill="1" applyBorder="1" applyAlignment="1">
      <alignment horizontal="center" vertical="center"/>
    </xf>
    <xf numFmtId="49" fontId="4" fillId="8" borderId="1" xfId="0" applyNumberFormat="1" applyFont="1" applyFill="1" applyBorder="1" applyAlignment="1">
      <alignment vertical="center"/>
    </xf>
    <xf numFmtId="49" fontId="4" fillId="8" borderId="1" xfId="0" applyNumberFormat="1" applyFont="1" applyFill="1" applyBorder="1" applyAlignment="1">
      <alignment horizontal="left" vertical="center"/>
    </xf>
    <xf numFmtId="49" fontId="4" fillId="8" borderId="1" xfId="0" applyNumberFormat="1" applyFont="1" applyFill="1" applyBorder="1" applyAlignment="1">
      <alignment horizontal="center" vertical="center"/>
    </xf>
    <xf numFmtId="49" fontId="4" fillId="8" borderId="1" xfId="0" quotePrefix="1" applyNumberFormat="1" applyFont="1" applyFill="1" applyBorder="1" applyAlignment="1">
      <alignment horizontal="center" vertical="center"/>
    </xf>
    <xf numFmtId="165" fontId="4" fillId="8" borderId="1" xfId="1" applyNumberFormat="1" applyFont="1" applyFill="1" applyBorder="1" applyAlignment="1">
      <alignment horizontal="right" vertical="center"/>
    </xf>
    <xf numFmtId="165" fontId="4" fillId="8" borderId="1" xfId="1" applyNumberFormat="1" applyFont="1" applyFill="1" applyBorder="1" applyAlignment="1">
      <alignment vertical="center"/>
    </xf>
    <xf numFmtId="166" fontId="4" fillId="8" borderId="1" xfId="1" applyNumberFormat="1" applyFont="1" applyFill="1" applyBorder="1" applyAlignment="1">
      <alignment vertical="center"/>
    </xf>
    <xf numFmtId="0" fontId="0" fillId="8" borderId="1" xfId="0" applyFill="1" applyBorder="1" applyAlignment="1">
      <alignment vertical="center" wrapText="1"/>
    </xf>
    <xf numFmtId="0" fontId="0" fillId="8" borderId="0" xfId="0" applyFill="1"/>
    <xf numFmtId="0" fontId="4" fillId="8" borderId="1" xfId="0" applyFont="1" applyFill="1" applyBorder="1" applyAlignment="1">
      <alignment horizontal="left" vertical="center"/>
    </xf>
    <xf numFmtId="0" fontId="4" fillId="8" borderId="1" xfId="0" quotePrefix="1" applyFont="1" applyFill="1" applyBorder="1" applyAlignment="1">
      <alignment horizontal="center" vertical="center"/>
    </xf>
    <xf numFmtId="49" fontId="4" fillId="8" borderId="2" xfId="0" applyNumberFormat="1" applyFont="1" applyFill="1" applyBorder="1" applyAlignment="1">
      <alignment horizontal="center" vertical="center"/>
    </xf>
    <xf numFmtId="165" fontId="4" fillId="8" borderId="1" xfId="1" applyNumberFormat="1" applyFont="1" applyFill="1" applyBorder="1" applyAlignment="1"/>
    <xf numFmtId="0" fontId="4" fillId="8" borderId="6" xfId="0" applyFont="1" applyFill="1" applyBorder="1" applyAlignment="1">
      <alignment vertical="center"/>
    </xf>
    <xf numFmtId="0" fontId="4" fillId="8" borderId="6" xfId="0" applyFont="1" applyFill="1" applyBorder="1" applyAlignment="1">
      <alignment horizontal="left" vertical="center"/>
    </xf>
    <xf numFmtId="0" fontId="4" fillId="8" borderId="6" xfId="0" applyFont="1" applyFill="1" applyBorder="1" applyAlignment="1">
      <alignment horizontal="center" vertical="center"/>
    </xf>
    <xf numFmtId="0" fontId="0" fillId="8" borderId="3" xfId="0" applyFill="1" applyBorder="1" applyAlignment="1">
      <alignment vertical="center"/>
    </xf>
    <xf numFmtId="166" fontId="4" fillId="8" borderId="1" xfId="1" applyNumberFormat="1" applyFont="1" applyFill="1" applyBorder="1" applyAlignment="1">
      <alignment horizontal="center" vertical="center"/>
    </xf>
    <xf numFmtId="0" fontId="0" fillId="8" borderId="1" xfId="0" applyFill="1" applyBorder="1" applyAlignment="1">
      <alignment vertic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xf numFmtId="0" fontId="9"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165" fontId="9" fillId="0" borderId="11" xfId="0" applyNumberFormat="1" applyFont="1" applyBorder="1" applyAlignment="1">
      <alignment horizontal="left" vertical="center"/>
    </xf>
    <xf numFmtId="0" fontId="7"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4" borderId="6" xfId="0" applyFont="1" applyFill="1" applyBorder="1" applyAlignment="1">
      <alignment horizontal="right" vertical="center"/>
    </xf>
    <xf numFmtId="164" fontId="4" fillId="0" borderId="2" xfId="0" applyNumberFormat="1" applyFont="1" applyBorder="1" applyAlignment="1">
      <alignment horizontal="left" vertical="center"/>
    </xf>
    <xf numFmtId="164" fontId="4" fillId="0" borderId="4" xfId="0" applyNumberFormat="1" applyFont="1" applyBorder="1" applyAlignment="1">
      <alignment horizontal="left" vertical="center"/>
    </xf>
    <xf numFmtId="164" fontId="4" fillId="0" borderId="3" xfId="0" applyNumberFormat="1" applyFont="1" applyBorder="1" applyAlignment="1">
      <alignment horizontal="left" vertical="center"/>
    </xf>
    <xf numFmtId="0" fontId="4" fillId="0" borderId="2" xfId="0" quotePrefix="1" applyFont="1" applyBorder="1" applyAlignment="1">
      <alignment horizontal="left" vertical="center"/>
    </xf>
    <xf numFmtId="0" fontId="4" fillId="0" borderId="4" xfId="0" quotePrefix="1" applyFont="1" applyBorder="1" applyAlignment="1">
      <alignment horizontal="left" vertical="center"/>
    </xf>
    <xf numFmtId="0" fontId="4" fillId="0" borderId="3" xfId="0" quotePrefix="1"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pplyAlignment="1">
      <alignment horizontal="left" vertical="center"/>
    </xf>
    <xf numFmtId="3" fontId="3" fillId="0" borderId="2" xfId="1" applyNumberFormat="1" applyFont="1" applyBorder="1" applyAlignment="1">
      <alignment horizontal="left" vertical="center"/>
    </xf>
    <xf numFmtId="3" fontId="3" fillId="0" borderId="4" xfId="1" applyNumberFormat="1" applyFont="1" applyBorder="1" applyAlignment="1">
      <alignment horizontal="left" vertical="center"/>
    </xf>
    <xf numFmtId="3" fontId="3" fillId="0" borderId="3" xfId="1" applyNumberFormat="1" applyFont="1" applyBorder="1" applyAlignment="1">
      <alignment horizontal="left" vertical="center"/>
    </xf>
    <xf numFmtId="164" fontId="5" fillId="0" borderId="2" xfId="0" applyNumberFormat="1" applyFont="1" applyBorder="1" applyAlignment="1">
      <alignment horizontal="left" vertical="center"/>
    </xf>
    <xf numFmtId="164" fontId="5" fillId="0" borderId="4" xfId="0" applyNumberFormat="1" applyFont="1" applyBorder="1" applyAlignment="1">
      <alignment horizontal="left" vertical="center"/>
    </xf>
    <xf numFmtId="164" fontId="5" fillId="0" borderId="3" xfId="0" applyNumberFormat="1" applyFont="1" applyBorder="1" applyAlignment="1">
      <alignment horizontal="left" vertical="center"/>
    </xf>
    <xf numFmtId="0" fontId="2" fillId="0" borderId="1" xfId="0" applyFont="1" applyBorder="1" applyAlignment="1">
      <alignment horizontal="center" vertical="center"/>
    </xf>
    <xf numFmtId="0" fontId="3" fillId="0" borderId="4" xfId="0" applyFont="1" applyBorder="1" applyAlignment="1">
      <alignment horizontal="lef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6"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center"/>
    </xf>
    <xf numFmtId="0" fontId="6"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3" fillId="4" borderId="1" xfId="0" applyFont="1" applyFill="1" applyBorder="1" applyAlignment="1">
      <alignment horizontal="right" vertical="center"/>
    </xf>
    <xf numFmtId="0" fontId="6" fillId="0" borderId="0" xfId="0" applyFont="1" applyAlignment="1">
      <alignment horizontal="center" vertical="top" wrapText="1"/>
    </xf>
    <xf numFmtId="165" fontId="9" fillId="0" borderId="0" xfId="0" applyNumberFormat="1" applyFont="1" applyAlignment="1">
      <alignment horizontal="center" vertical="center"/>
    </xf>
    <xf numFmtId="0" fontId="7" fillId="0" borderId="0" xfId="0" applyFont="1" applyAlignment="1">
      <alignment horizontal="center" vertical="top"/>
    </xf>
    <xf numFmtId="0" fontId="6" fillId="0" borderId="0" xfId="0" applyFont="1" applyAlignment="1">
      <alignment horizontal="center" vertical="top"/>
    </xf>
    <xf numFmtId="0" fontId="6" fillId="0" borderId="0" xfId="0" applyFont="1"/>
    <xf numFmtId="0" fontId="9" fillId="0" borderId="0" xfId="0" applyFont="1" applyAlignment="1">
      <alignment horizontal="center" vertical="center"/>
    </xf>
    <xf numFmtId="0" fontId="7" fillId="0" borderId="0" xfId="0" applyFont="1" applyAlignment="1">
      <alignment horizontal="center" vertical="top" wrapText="1"/>
    </xf>
    <xf numFmtId="0" fontId="0" fillId="0" borderId="9" xfId="0" applyBorder="1" applyAlignment="1">
      <alignment horizontal="left" wrapText="1"/>
    </xf>
    <xf numFmtId="0" fontId="0" fillId="0" borderId="16" xfId="0" applyBorder="1" applyAlignment="1">
      <alignment horizontal="left"/>
    </xf>
    <xf numFmtId="0" fontId="0" fillId="0" borderId="7"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9" fillId="0" borderId="22" xfId="0" applyFont="1" applyBorder="1" applyAlignment="1">
      <alignment horizontal="center"/>
    </xf>
    <xf numFmtId="0" fontId="7" fillId="0" borderId="0" xfId="0" applyFont="1" applyAlignment="1">
      <alignment vertical="center"/>
    </xf>
    <xf numFmtId="0" fontId="6" fillId="0" borderId="0" xfId="0" applyFont="1" applyAlignment="1">
      <alignment vertical="center"/>
    </xf>
    <xf numFmtId="0" fontId="0" fillId="0" borderId="1" xfId="0" applyBorder="1" applyAlignment="1">
      <alignment horizontal="center"/>
    </xf>
    <xf numFmtId="0" fontId="16" fillId="0" borderId="1" xfId="0" applyFont="1" applyBorder="1" applyAlignment="1">
      <alignment horizontal="center" vertical="center" wrapText="1"/>
    </xf>
    <xf numFmtId="49" fontId="16" fillId="0" borderId="2" xfId="0" applyNumberFormat="1" applyFont="1" applyBorder="1" applyAlignment="1">
      <alignment horizontal="center" vertical="center" wrapText="1"/>
    </xf>
    <xf numFmtId="49" fontId="16" fillId="0" borderId="28" xfId="0" applyNumberFormat="1" applyFont="1" applyBorder="1" applyAlignment="1">
      <alignment horizontal="center" vertical="center" wrapText="1"/>
    </xf>
    <xf numFmtId="0" fontId="16" fillId="0" borderId="2" xfId="0" applyFont="1" applyBorder="1" applyAlignment="1">
      <alignment horizontal="center" vertical="center" wrapText="1"/>
    </xf>
    <xf numFmtId="0" fontId="16" fillId="0" borderId="28" xfId="0" applyFont="1" applyBorder="1" applyAlignment="1">
      <alignment horizontal="center" vertical="center" wrapText="1"/>
    </xf>
    <xf numFmtId="49" fontId="0" fillId="0" borderId="1" xfId="0" applyNumberFormat="1" applyBorder="1" applyAlignment="1">
      <alignment horizont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12" xfId="0" applyFont="1" applyBorder="1" applyAlignment="1">
      <alignment horizontal="center" vertical="center"/>
    </xf>
    <xf numFmtId="0" fontId="6" fillId="0" borderId="27" xfId="0" applyFont="1" applyBorder="1" applyAlignment="1">
      <alignment horizontal="center" vertical="center"/>
    </xf>
    <xf numFmtId="0" fontId="6" fillId="0" borderId="13" xfId="0" applyFont="1" applyBorder="1" applyAlignment="1">
      <alignment horizontal="center" vertical="center" wrapText="1"/>
    </xf>
    <xf numFmtId="0" fontId="6" fillId="0" borderId="13" xfId="0" applyFont="1" applyBorder="1" applyAlignment="1">
      <alignment horizontal="center" vertical="center"/>
    </xf>
    <xf numFmtId="0" fontId="0" fillId="4" borderId="20"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6" fillId="0" borderId="0" xfId="0" applyFont="1" applyAlignment="1">
      <alignment horizontal="center" vertical="center" wrapText="1"/>
    </xf>
    <xf numFmtId="0" fontId="7" fillId="0" borderId="1" xfId="0" applyFont="1" applyBorder="1" applyAlignment="1">
      <alignment horizontal="center"/>
    </xf>
    <xf numFmtId="0" fontId="7" fillId="0" borderId="1" xfId="0" applyFont="1" applyBorder="1" applyAlignment="1">
      <alignment horizontal="center" wrapText="1"/>
    </xf>
    <xf numFmtId="0" fontId="7" fillId="0" borderId="0" xfId="0" applyFont="1" applyAlignment="1">
      <alignment horizontal="center" wrapText="1"/>
    </xf>
    <xf numFmtId="49" fontId="16" fillId="0" borderId="1" xfId="0" applyNumberFormat="1" applyFont="1" applyBorder="1" applyAlignment="1">
      <alignment horizontal="center" vertical="center" wrapText="1"/>
    </xf>
    <xf numFmtId="0" fontId="11" fillId="0" borderId="8" xfId="0" applyFont="1" applyBorder="1" applyAlignment="1">
      <alignment horizontal="center"/>
    </xf>
    <xf numFmtId="0" fontId="11" fillId="0" borderId="1" xfId="0" applyFont="1" applyBorder="1" applyAlignment="1">
      <alignment horizontal="center"/>
    </xf>
    <xf numFmtId="0" fontId="0" fillId="0" borderId="1" xfId="0" applyBorder="1"/>
    <xf numFmtId="0" fontId="15" fillId="0" borderId="1" xfId="0" applyFont="1" applyBorder="1" applyAlignment="1">
      <alignment horizontal="center" vertical="center"/>
    </xf>
    <xf numFmtId="0" fontId="13" fillId="0" borderId="2" xfId="0" applyFont="1" applyBorder="1" applyAlignment="1">
      <alignment horizontal="left" vertical="center"/>
    </xf>
    <xf numFmtId="0" fontId="13" fillId="0" borderId="4" xfId="0" applyFont="1" applyBorder="1" applyAlignment="1">
      <alignment horizontal="left" vertical="center"/>
    </xf>
    <xf numFmtId="0" fontId="13" fillId="0" borderId="3" xfId="0" applyFont="1" applyBorder="1" applyAlignment="1">
      <alignment horizontal="left" vertical="center"/>
    </xf>
    <xf numFmtId="0" fontId="13" fillId="0" borderId="1" xfId="0" applyFont="1" applyBorder="1" applyAlignment="1">
      <alignment horizontal="left" vertical="center"/>
    </xf>
    <xf numFmtId="0" fontId="14" fillId="0" borderId="1" xfId="0" applyFont="1" applyBorder="1" applyAlignment="1">
      <alignment horizontal="left" vertical="center" wrapText="1"/>
    </xf>
    <xf numFmtId="0" fontId="11" fillId="0" borderId="0" xfId="0" applyFont="1" applyBorder="1" applyAlignment="1">
      <alignment horizontal="center"/>
    </xf>
    <xf numFmtId="0" fontId="16" fillId="0" borderId="0" xfId="0" applyFont="1" applyBorder="1" applyAlignment="1">
      <alignment horizontal="center" vertical="center" wrapText="1"/>
    </xf>
    <xf numFmtId="49" fontId="16" fillId="0" borderId="0" xfId="0" applyNumberFormat="1" applyFont="1" applyBorder="1" applyAlignment="1">
      <alignment horizontal="center" vertical="center" wrapText="1"/>
    </xf>
    <xf numFmtId="49" fontId="0" fillId="0" borderId="0" xfId="0" applyNumberFormat="1" applyBorder="1" applyAlignment="1">
      <alignment horizontal="center"/>
    </xf>
    <xf numFmtId="0" fontId="3"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6" fillId="0" borderId="0" xfId="0" applyFont="1" applyBorder="1" applyAlignment="1">
      <alignment horizontal="center" vertical="center" wrapText="1"/>
    </xf>
    <xf numFmtId="0" fontId="9" fillId="0" borderId="0"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theme" Target="theme/theme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9CFD85A9-6FD0-461C-959C-0DE5611530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28</xdr:row>
      <xdr:rowOff>0</xdr:rowOff>
    </xdr:from>
    <xdr:to>
      <xdr:col>1</xdr:col>
      <xdr:colOff>306387</xdr:colOff>
      <xdr:row>28</xdr:row>
      <xdr:rowOff>0</xdr:rowOff>
    </xdr:to>
    <xdr:cxnSp macro="">
      <xdr:nvCxnSpPr>
        <xdr:cNvPr id="3" name="Straight Connector 2">
          <a:extLst>
            <a:ext uri="{FF2B5EF4-FFF2-40B4-BE49-F238E27FC236}">
              <a16:creationId xmlns:a16="http://schemas.microsoft.com/office/drawing/2014/main" id="{D25667DA-170C-4C0C-A4D2-4BCA8532D15D}"/>
            </a:ext>
          </a:extLst>
        </xdr:cNvPr>
        <xdr:cNvCxnSpPr/>
      </xdr:nvCxnSpPr>
      <xdr:spPr>
        <a:xfrm>
          <a:off x="19050" y="9248775"/>
          <a:ext cx="9064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523875</xdr:colOff>
      <xdr:row>28</xdr:row>
      <xdr:rowOff>9525</xdr:rowOff>
    </xdr:from>
    <xdr:to>
      <xdr:col>5</xdr:col>
      <xdr:colOff>820737</xdr:colOff>
      <xdr:row>28</xdr:row>
      <xdr:rowOff>9525</xdr:rowOff>
    </xdr:to>
    <xdr:cxnSp macro="">
      <xdr:nvCxnSpPr>
        <xdr:cNvPr id="4" name="Straight Connector 3">
          <a:extLst>
            <a:ext uri="{FF2B5EF4-FFF2-40B4-BE49-F238E27FC236}">
              <a16:creationId xmlns:a16="http://schemas.microsoft.com/office/drawing/2014/main" id="{7B0C0344-2953-4A3E-8ABA-9DB308DD2B02}"/>
            </a:ext>
          </a:extLst>
        </xdr:cNvPr>
        <xdr:cNvCxnSpPr/>
      </xdr:nvCxnSpPr>
      <xdr:spPr>
        <a:xfrm>
          <a:off x="3790950" y="9258300"/>
          <a:ext cx="9350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41153</xdr:colOff>
      <xdr:row>28</xdr:row>
      <xdr:rowOff>0</xdr:rowOff>
    </xdr:from>
    <xdr:to>
      <xdr:col>10</xdr:col>
      <xdr:colOff>998659</xdr:colOff>
      <xdr:row>28</xdr:row>
      <xdr:rowOff>0</xdr:rowOff>
    </xdr:to>
    <xdr:cxnSp macro="">
      <xdr:nvCxnSpPr>
        <xdr:cNvPr id="5" name="Straight Connector 4">
          <a:extLst>
            <a:ext uri="{FF2B5EF4-FFF2-40B4-BE49-F238E27FC236}">
              <a16:creationId xmlns:a16="http://schemas.microsoft.com/office/drawing/2014/main" id="{57EC07C6-B3F2-4F7D-8FAD-73657872FA41}"/>
            </a:ext>
          </a:extLst>
        </xdr:cNvPr>
        <xdr:cNvCxnSpPr/>
      </xdr:nvCxnSpPr>
      <xdr:spPr>
        <a:xfrm>
          <a:off x="9270878" y="9248775"/>
          <a:ext cx="8908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37D9A7BB-E4E5-4930-9D0F-4D18AC8389A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18</xdr:row>
      <xdr:rowOff>0</xdr:rowOff>
    </xdr:from>
    <xdr:to>
      <xdr:col>1</xdr:col>
      <xdr:colOff>306387</xdr:colOff>
      <xdr:row>18</xdr:row>
      <xdr:rowOff>0</xdr:rowOff>
    </xdr:to>
    <xdr:cxnSp macro="">
      <xdr:nvCxnSpPr>
        <xdr:cNvPr id="3" name="Straight Connector 2">
          <a:extLst>
            <a:ext uri="{FF2B5EF4-FFF2-40B4-BE49-F238E27FC236}">
              <a16:creationId xmlns:a16="http://schemas.microsoft.com/office/drawing/2014/main" id="{B343DC4A-6B60-423B-8D34-D3665CDC72A1}"/>
            </a:ext>
          </a:extLst>
        </xdr:cNvPr>
        <xdr:cNvCxnSpPr/>
      </xdr:nvCxnSpPr>
      <xdr:spPr>
        <a:xfrm>
          <a:off x="19050" y="6286500"/>
          <a:ext cx="77311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523875</xdr:colOff>
      <xdr:row>18</xdr:row>
      <xdr:rowOff>9525</xdr:rowOff>
    </xdr:from>
    <xdr:to>
      <xdr:col>5</xdr:col>
      <xdr:colOff>820737</xdr:colOff>
      <xdr:row>18</xdr:row>
      <xdr:rowOff>9525</xdr:rowOff>
    </xdr:to>
    <xdr:cxnSp macro="">
      <xdr:nvCxnSpPr>
        <xdr:cNvPr id="4" name="Straight Connector 3">
          <a:extLst>
            <a:ext uri="{FF2B5EF4-FFF2-40B4-BE49-F238E27FC236}">
              <a16:creationId xmlns:a16="http://schemas.microsoft.com/office/drawing/2014/main" id="{DF0D2565-B60D-4A2A-85D6-7BF9FFF25DFB}"/>
            </a:ext>
          </a:extLst>
        </xdr:cNvPr>
        <xdr:cNvCxnSpPr/>
      </xdr:nvCxnSpPr>
      <xdr:spPr>
        <a:xfrm>
          <a:off x="3657600" y="6296025"/>
          <a:ext cx="93503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41153</xdr:colOff>
      <xdr:row>18</xdr:row>
      <xdr:rowOff>0</xdr:rowOff>
    </xdr:from>
    <xdr:to>
      <xdr:col>10</xdr:col>
      <xdr:colOff>998659</xdr:colOff>
      <xdr:row>18</xdr:row>
      <xdr:rowOff>0</xdr:rowOff>
    </xdr:to>
    <xdr:cxnSp macro="">
      <xdr:nvCxnSpPr>
        <xdr:cNvPr id="5" name="Straight Connector 4">
          <a:extLst>
            <a:ext uri="{FF2B5EF4-FFF2-40B4-BE49-F238E27FC236}">
              <a16:creationId xmlns:a16="http://schemas.microsoft.com/office/drawing/2014/main" id="{EEEDAA33-02F7-4AF4-A6FC-BA5F73321992}"/>
            </a:ext>
          </a:extLst>
        </xdr:cNvPr>
        <xdr:cNvCxnSpPr/>
      </xdr:nvCxnSpPr>
      <xdr:spPr>
        <a:xfrm>
          <a:off x="8661278" y="6286500"/>
          <a:ext cx="8908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E6DE7D71-6403-4063-9D28-0540E8F8476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187080</xdr:colOff>
      <xdr:row>17</xdr:row>
      <xdr:rowOff>187158</xdr:rowOff>
    </xdr:from>
    <xdr:to>
      <xdr:col>1</xdr:col>
      <xdr:colOff>1329155</xdr:colOff>
      <xdr:row>18</xdr:row>
      <xdr:rowOff>0</xdr:rowOff>
    </xdr:to>
    <xdr:cxnSp macro="">
      <xdr:nvCxnSpPr>
        <xdr:cNvPr id="3" name="Straight Connector 2">
          <a:extLst>
            <a:ext uri="{FF2B5EF4-FFF2-40B4-BE49-F238E27FC236}">
              <a16:creationId xmlns:a16="http://schemas.microsoft.com/office/drawing/2014/main" id="{AFDDCB90-C0C1-4097-A15E-C6178D1CC091}"/>
            </a:ext>
          </a:extLst>
        </xdr:cNvPr>
        <xdr:cNvCxnSpPr/>
      </xdr:nvCxnSpPr>
      <xdr:spPr>
        <a:xfrm flipV="1">
          <a:off x="796680" y="42194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415925</xdr:colOff>
      <xdr:row>17</xdr:row>
      <xdr:rowOff>187325</xdr:rowOff>
    </xdr:from>
    <xdr:to>
      <xdr:col>5</xdr:col>
      <xdr:colOff>719137</xdr:colOff>
      <xdr:row>17</xdr:row>
      <xdr:rowOff>187325</xdr:rowOff>
    </xdr:to>
    <xdr:cxnSp macro="">
      <xdr:nvCxnSpPr>
        <xdr:cNvPr id="4" name="Straight Connector 3">
          <a:extLst>
            <a:ext uri="{FF2B5EF4-FFF2-40B4-BE49-F238E27FC236}">
              <a16:creationId xmlns:a16="http://schemas.microsoft.com/office/drawing/2014/main" id="{27D01BE8-9AFC-4A8C-99B1-CE4714274EAC}"/>
            </a:ext>
          </a:extLst>
        </xdr:cNvPr>
        <xdr:cNvCxnSpPr/>
      </xdr:nvCxnSpPr>
      <xdr:spPr>
        <a:xfrm>
          <a:off x="5591175" y="93757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218953</xdr:colOff>
      <xdr:row>17</xdr:row>
      <xdr:rowOff>158750</xdr:rowOff>
    </xdr:from>
    <xdr:to>
      <xdr:col>10</xdr:col>
      <xdr:colOff>1917700</xdr:colOff>
      <xdr:row>17</xdr:row>
      <xdr:rowOff>177800</xdr:rowOff>
    </xdr:to>
    <xdr:cxnSp macro="">
      <xdr:nvCxnSpPr>
        <xdr:cNvPr id="5" name="Straight Connector 4">
          <a:extLst>
            <a:ext uri="{FF2B5EF4-FFF2-40B4-BE49-F238E27FC236}">
              <a16:creationId xmlns:a16="http://schemas.microsoft.com/office/drawing/2014/main" id="{44DBBD86-0BF5-4675-9CFD-B8A0618C1B33}"/>
            </a:ext>
          </a:extLst>
        </xdr:cNvPr>
        <xdr:cNvCxnSpPr/>
      </xdr:nvCxnSpPr>
      <xdr:spPr>
        <a:xfrm flipV="1">
          <a:off x="9045453" y="93472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209966</xdr:colOff>
      <xdr:row>24</xdr:row>
      <xdr:rowOff>174547</xdr:rowOff>
    </xdr:from>
    <xdr:to>
      <xdr:col>1</xdr:col>
      <xdr:colOff>1309600</xdr:colOff>
      <xdr:row>24</xdr:row>
      <xdr:rowOff>177645</xdr:rowOff>
    </xdr:to>
    <xdr:cxnSp macro="">
      <xdr:nvCxnSpPr>
        <xdr:cNvPr id="6" name="Straight Connector 5">
          <a:extLst>
            <a:ext uri="{FF2B5EF4-FFF2-40B4-BE49-F238E27FC236}">
              <a16:creationId xmlns:a16="http://schemas.microsoft.com/office/drawing/2014/main" id="{4CE06839-C1F2-473E-B77C-07F26D7A7128}"/>
            </a:ext>
          </a:extLst>
        </xdr:cNvPr>
        <xdr:cNvCxnSpPr/>
      </xdr:nvCxnSpPr>
      <xdr:spPr>
        <a:xfrm>
          <a:off x="819566" y="5508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38977ED4-98C5-483D-81C5-4C5660CB2B1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3" name="Straight Connector 2">
          <a:extLst>
            <a:ext uri="{FF2B5EF4-FFF2-40B4-BE49-F238E27FC236}">
              <a16:creationId xmlns:a16="http://schemas.microsoft.com/office/drawing/2014/main" id="{783174E9-E63C-4310-8BD3-01859FBF2318}"/>
            </a:ext>
          </a:extLst>
        </xdr:cNvPr>
        <xdr:cNvCxnSpPr/>
      </xdr:nvCxnSpPr>
      <xdr:spPr>
        <a:xfrm flipV="1">
          <a:off x="823083" y="6510421"/>
          <a:ext cx="1142075" cy="66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4" name="Straight Connector 3">
          <a:extLst>
            <a:ext uri="{FF2B5EF4-FFF2-40B4-BE49-F238E27FC236}">
              <a16:creationId xmlns:a16="http://schemas.microsoft.com/office/drawing/2014/main" id="{16CF5505-CB4F-495D-8A27-17BF3A413490}"/>
            </a:ext>
          </a:extLst>
        </xdr:cNvPr>
        <xdr:cNvCxnSpPr/>
      </xdr:nvCxnSpPr>
      <xdr:spPr>
        <a:xfrm>
          <a:off x="3946525" y="9242425"/>
          <a:ext cx="9636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5" name="Straight Connector 4">
          <a:extLst>
            <a:ext uri="{FF2B5EF4-FFF2-40B4-BE49-F238E27FC236}">
              <a16:creationId xmlns:a16="http://schemas.microsoft.com/office/drawing/2014/main" id="{6E314978-D786-4F99-BA6C-10D590762515}"/>
            </a:ext>
          </a:extLst>
        </xdr:cNvPr>
        <xdr:cNvCxnSpPr/>
      </xdr:nvCxnSpPr>
      <xdr:spPr>
        <a:xfrm flipV="1">
          <a:off x="8893053" y="8991600"/>
          <a:ext cx="1698747" cy="127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37</xdr:row>
      <xdr:rowOff>3097</xdr:rowOff>
    </xdr:from>
    <xdr:to>
      <xdr:col>1</xdr:col>
      <xdr:colOff>1550900</xdr:colOff>
      <xdr:row>37</xdr:row>
      <xdr:rowOff>6195</xdr:rowOff>
    </xdr:to>
    <xdr:cxnSp macro="">
      <xdr:nvCxnSpPr>
        <xdr:cNvPr id="8" name="Straight Connector 7">
          <a:extLst>
            <a:ext uri="{FF2B5EF4-FFF2-40B4-BE49-F238E27FC236}">
              <a16:creationId xmlns:a16="http://schemas.microsoft.com/office/drawing/2014/main" id="{CDA0FD34-1928-5F65-7CF6-CB61A04D5A2D}"/>
            </a:ext>
          </a:extLst>
        </xdr:cNvPr>
        <xdr:cNvCxnSpPr/>
      </xdr:nvCxnSpPr>
      <xdr:spPr>
        <a:xfrm>
          <a:off x="852319" y="7836992"/>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4D549E47-E0E9-48D0-818D-828390A8D7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187080</xdr:colOff>
      <xdr:row>21</xdr:row>
      <xdr:rowOff>187158</xdr:rowOff>
    </xdr:from>
    <xdr:to>
      <xdr:col>1</xdr:col>
      <xdr:colOff>1329155</xdr:colOff>
      <xdr:row>22</xdr:row>
      <xdr:rowOff>0</xdr:rowOff>
    </xdr:to>
    <xdr:cxnSp macro="">
      <xdr:nvCxnSpPr>
        <xdr:cNvPr id="3" name="Straight Connector 2">
          <a:extLst>
            <a:ext uri="{FF2B5EF4-FFF2-40B4-BE49-F238E27FC236}">
              <a16:creationId xmlns:a16="http://schemas.microsoft.com/office/drawing/2014/main" id="{93D94082-AE06-4A52-80AA-576CD8E4D174}"/>
            </a:ext>
          </a:extLst>
        </xdr:cNvPr>
        <xdr:cNvCxnSpPr/>
      </xdr:nvCxnSpPr>
      <xdr:spPr>
        <a:xfrm flipV="1">
          <a:off x="796680" y="42194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415925</xdr:colOff>
      <xdr:row>21</xdr:row>
      <xdr:rowOff>187325</xdr:rowOff>
    </xdr:from>
    <xdr:to>
      <xdr:col>5</xdr:col>
      <xdr:colOff>719137</xdr:colOff>
      <xdr:row>21</xdr:row>
      <xdr:rowOff>187325</xdr:rowOff>
    </xdr:to>
    <xdr:cxnSp macro="">
      <xdr:nvCxnSpPr>
        <xdr:cNvPr id="4" name="Straight Connector 3">
          <a:extLst>
            <a:ext uri="{FF2B5EF4-FFF2-40B4-BE49-F238E27FC236}">
              <a16:creationId xmlns:a16="http://schemas.microsoft.com/office/drawing/2014/main" id="{0B7F1AAC-05DB-4E77-A268-91B0758F6E9C}"/>
            </a:ext>
          </a:extLst>
        </xdr:cNvPr>
        <xdr:cNvCxnSpPr/>
      </xdr:nvCxnSpPr>
      <xdr:spPr>
        <a:xfrm>
          <a:off x="4803775" y="42195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218953</xdr:colOff>
      <xdr:row>21</xdr:row>
      <xdr:rowOff>158750</xdr:rowOff>
    </xdr:from>
    <xdr:to>
      <xdr:col>9</xdr:col>
      <xdr:colOff>1917700</xdr:colOff>
      <xdr:row>21</xdr:row>
      <xdr:rowOff>177800</xdr:rowOff>
    </xdr:to>
    <xdr:cxnSp macro="">
      <xdr:nvCxnSpPr>
        <xdr:cNvPr id="5" name="Straight Connector 4">
          <a:extLst>
            <a:ext uri="{FF2B5EF4-FFF2-40B4-BE49-F238E27FC236}">
              <a16:creationId xmlns:a16="http://schemas.microsoft.com/office/drawing/2014/main" id="{3BB8C13C-F924-44C2-8397-8EDC89029840}"/>
            </a:ext>
          </a:extLst>
        </xdr:cNvPr>
        <xdr:cNvCxnSpPr/>
      </xdr:nvCxnSpPr>
      <xdr:spPr>
        <a:xfrm flipV="1">
          <a:off x="9305803" y="41910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209966</xdr:colOff>
      <xdr:row>28</xdr:row>
      <xdr:rowOff>174547</xdr:rowOff>
    </xdr:from>
    <xdr:to>
      <xdr:col>1</xdr:col>
      <xdr:colOff>1309600</xdr:colOff>
      <xdr:row>28</xdr:row>
      <xdr:rowOff>177645</xdr:rowOff>
    </xdr:to>
    <xdr:cxnSp macro="">
      <xdr:nvCxnSpPr>
        <xdr:cNvPr id="6" name="Straight Connector 5">
          <a:extLst>
            <a:ext uri="{FF2B5EF4-FFF2-40B4-BE49-F238E27FC236}">
              <a16:creationId xmlns:a16="http://schemas.microsoft.com/office/drawing/2014/main" id="{FFC8F0AA-7D66-4B4E-A4AB-C91D585D44A6}"/>
            </a:ext>
          </a:extLst>
        </xdr:cNvPr>
        <xdr:cNvCxnSpPr/>
      </xdr:nvCxnSpPr>
      <xdr:spPr>
        <a:xfrm>
          <a:off x="819566" y="5508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2332E2BA-44F1-44B3-9E86-37A93FB94D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30</xdr:row>
      <xdr:rowOff>187158</xdr:rowOff>
    </xdr:from>
    <xdr:to>
      <xdr:col>1</xdr:col>
      <xdr:colOff>1564105</xdr:colOff>
      <xdr:row>31</xdr:row>
      <xdr:rowOff>0</xdr:rowOff>
    </xdr:to>
    <xdr:cxnSp macro="">
      <xdr:nvCxnSpPr>
        <xdr:cNvPr id="8" name="Straight Connector 7">
          <a:extLst>
            <a:ext uri="{FF2B5EF4-FFF2-40B4-BE49-F238E27FC236}">
              <a16:creationId xmlns:a16="http://schemas.microsoft.com/office/drawing/2014/main" id="{56CA6CC4-3DBE-4673-A1E0-93B2245F7720}"/>
            </a:ext>
          </a:extLst>
        </xdr:cNvPr>
        <xdr:cNvCxnSpPr/>
      </xdr:nvCxnSpPr>
      <xdr:spPr>
        <a:xfrm flipV="1">
          <a:off x="822080" y="64292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31</xdr:row>
      <xdr:rowOff>9525</xdr:rowOff>
    </xdr:from>
    <xdr:to>
      <xdr:col>5</xdr:col>
      <xdr:colOff>820737</xdr:colOff>
      <xdr:row>31</xdr:row>
      <xdr:rowOff>9525</xdr:rowOff>
    </xdr:to>
    <xdr:cxnSp macro="">
      <xdr:nvCxnSpPr>
        <xdr:cNvPr id="9" name="Straight Connector 8">
          <a:extLst>
            <a:ext uri="{FF2B5EF4-FFF2-40B4-BE49-F238E27FC236}">
              <a16:creationId xmlns:a16="http://schemas.microsoft.com/office/drawing/2014/main" id="{C1F13DCB-77E9-44B4-AA00-9E55257485F0}"/>
            </a:ext>
          </a:extLst>
        </xdr:cNvPr>
        <xdr:cNvCxnSpPr/>
      </xdr:nvCxnSpPr>
      <xdr:spPr>
        <a:xfrm>
          <a:off x="4683125" y="64420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30</xdr:row>
      <xdr:rowOff>171450</xdr:rowOff>
    </xdr:from>
    <xdr:to>
      <xdr:col>10</xdr:col>
      <xdr:colOff>1739900</xdr:colOff>
      <xdr:row>31</xdr:row>
      <xdr:rowOff>0</xdr:rowOff>
    </xdr:to>
    <xdr:cxnSp macro="">
      <xdr:nvCxnSpPr>
        <xdr:cNvPr id="10" name="Straight Connector 9">
          <a:extLst>
            <a:ext uri="{FF2B5EF4-FFF2-40B4-BE49-F238E27FC236}">
              <a16:creationId xmlns:a16="http://schemas.microsoft.com/office/drawing/2014/main" id="{25299B52-7817-4B06-8F93-5C788F6F5211}"/>
            </a:ext>
          </a:extLst>
        </xdr:cNvPr>
        <xdr:cNvCxnSpPr/>
      </xdr:nvCxnSpPr>
      <xdr:spPr>
        <a:xfrm flipV="1">
          <a:off x="8727953" y="64135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38</xdr:row>
      <xdr:rowOff>3097</xdr:rowOff>
    </xdr:from>
    <xdr:to>
      <xdr:col>1</xdr:col>
      <xdr:colOff>1550900</xdr:colOff>
      <xdr:row>38</xdr:row>
      <xdr:rowOff>6195</xdr:rowOff>
    </xdr:to>
    <xdr:cxnSp macro="">
      <xdr:nvCxnSpPr>
        <xdr:cNvPr id="11" name="Straight Connector 10">
          <a:extLst>
            <a:ext uri="{FF2B5EF4-FFF2-40B4-BE49-F238E27FC236}">
              <a16:creationId xmlns:a16="http://schemas.microsoft.com/office/drawing/2014/main" id="{158BFB4A-893C-4748-950E-AB3B1053C048}"/>
            </a:ext>
          </a:extLst>
        </xdr:cNvPr>
        <xdr:cNvCxnSpPr/>
      </xdr:nvCxnSpPr>
      <xdr:spPr>
        <a:xfrm>
          <a:off x="851316" y="77310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F57C2E84-69DA-4E26-BB5F-AEB993E44F7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18</xdr:row>
      <xdr:rowOff>187158</xdr:rowOff>
    </xdr:from>
    <xdr:to>
      <xdr:col>1</xdr:col>
      <xdr:colOff>1564105</xdr:colOff>
      <xdr:row>19</xdr:row>
      <xdr:rowOff>0</xdr:rowOff>
    </xdr:to>
    <xdr:cxnSp macro="">
      <xdr:nvCxnSpPr>
        <xdr:cNvPr id="3" name="Straight Connector 2">
          <a:extLst>
            <a:ext uri="{FF2B5EF4-FFF2-40B4-BE49-F238E27FC236}">
              <a16:creationId xmlns:a16="http://schemas.microsoft.com/office/drawing/2014/main" id="{BE89799F-ECFD-4083-B29B-C95029A4CE82}"/>
            </a:ext>
          </a:extLst>
        </xdr:cNvPr>
        <xdr:cNvCxnSpPr/>
      </xdr:nvCxnSpPr>
      <xdr:spPr>
        <a:xfrm flipV="1">
          <a:off x="822080" y="66133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19</xdr:row>
      <xdr:rowOff>9525</xdr:rowOff>
    </xdr:from>
    <xdr:to>
      <xdr:col>5</xdr:col>
      <xdr:colOff>820737</xdr:colOff>
      <xdr:row>19</xdr:row>
      <xdr:rowOff>9525</xdr:rowOff>
    </xdr:to>
    <xdr:cxnSp macro="">
      <xdr:nvCxnSpPr>
        <xdr:cNvPr id="4" name="Straight Connector 3">
          <a:extLst>
            <a:ext uri="{FF2B5EF4-FFF2-40B4-BE49-F238E27FC236}">
              <a16:creationId xmlns:a16="http://schemas.microsoft.com/office/drawing/2014/main" id="{948098EE-C6F1-47F7-A90D-96842610E6E3}"/>
            </a:ext>
          </a:extLst>
        </xdr:cNvPr>
        <xdr:cNvCxnSpPr/>
      </xdr:nvCxnSpPr>
      <xdr:spPr>
        <a:xfrm>
          <a:off x="4683125" y="66262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18</xdr:row>
      <xdr:rowOff>171450</xdr:rowOff>
    </xdr:from>
    <xdr:to>
      <xdr:col>10</xdr:col>
      <xdr:colOff>1739900</xdr:colOff>
      <xdr:row>19</xdr:row>
      <xdr:rowOff>0</xdr:rowOff>
    </xdr:to>
    <xdr:cxnSp macro="">
      <xdr:nvCxnSpPr>
        <xdr:cNvPr id="5" name="Straight Connector 4">
          <a:extLst>
            <a:ext uri="{FF2B5EF4-FFF2-40B4-BE49-F238E27FC236}">
              <a16:creationId xmlns:a16="http://schemas.microsoft.com/office/drawing/2014/main" id="{B2727801-97D1-4A87-84DE-F053C35BF390}"/>
            </a:ext>
          </a:extLst>
        </xdr:cNvPr>
        <xdr:cNvCxnSpPr/>
      </xdr:nvCxnSpPr>
      <xdr:spPr>
        <a:xfrm flipV="1">
          <a:off x="8842253" y="65976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26</xdr:row>
      <xdr:rowOff>3097</xdr:rowOff>
    </xdr:from>
    <xdr:to>
      <xdr:col>1</xdr:col>
      <xdr:colOff>1550900</xdr:colOff>
      <xdr:row>26</xdr:row>
      <xdr:rowOff>6195</xdr:rowOff>
    </xdr:to>
    <xdr:cxnSp macro="">
      <xdr:nvCxnSpPr>
        <xdr:cNvPr id="6" name="Straight Connector 5">
          <a:extLst>
            <a:ext uri="{FF2B5EF4-FFF2-40B4-BE49-F238E27FC236}">
              <a16:creationId xmlns:a16="http://schemas.microsoft.com/office/drawing/2014/main" id="{A3AB765A-230A-4825-ADAE-0686241FB638}"/>
            </a:ext>
          </a:extLst>
        </xdr:cNvPr>
        <xdr:cNvCxnSpPr/>
      </xdr:nvCxnSpPr>
      <xdr:spPr>
        <a:xfrm>
          <a:off x="851316" y="79151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7EBCC430-82F2-4E7F-83D0-549A6DCE11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27</xdr:row>
      <xdr:rowOff>187158</xdr:rowOff>
    </xdr:from>
    <xdr:to>
      <xdr:col>1</xdr:col>
      <xdr:colOff>1564105</xdr:colOff>
      <xdr:row>28</xdr:row>
      <xdr:rowOff>0</xdr:rowOff>
    </xdr:to>
    <xdr:cxnSp macro="">
      <xdr:nvCxnSpPr>
        <xdr:cNvPr id="8" name="Straight Connector 7">
          <a:extLst>
            <a:ext uri="{FF2B5EF4-FFF2-40B4-BE49-F238E27FC236}">
              <a16:creationId xmlns:a16="http://schemas.microsoft.com/office/drawing/2014/main" id="{36AC23CD-DBAB-4331-861B-4112F728EF9D}"/>
            </a:ext>
          </a:extLst>
        </xdr:cNvPr>
        <xdr:cNvCxnSpPr/>
      </xdr:nvCxnSpPr>
      <xdr:spPr>
        <a:xfrm flipV="1">
          <a:off x="822080" y="66133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28</xdr:row>
      <xdr:rowOff>9525</xdr:rowOff>
    </xdr:from>
    <xdr:to>
      <xdr:col>5</xdr:col>
      <xdr:colOff>820737</xdr:colOff>
      <xdr:row>28</xdr:row>
      <xdr:rowOff>9525</xdr:rowOff>
    </xdr:to>
    <xdr:cxnSp macro="">
      <xdr:nvCxnSpPr>
        <xdr:cNvPr id="9" name="Straight Connector 8">
          <a:extLst>
            <a:ext uri="{FF2B5EF4-FFF2-40B4-BE49-F238E27FC236}">
              <a16:creationId xmlns:a16="http://schemas.microsoft.com/office/drawing/2014/main" id="{B3C8B628-245C-41D5-AA20-F3FF257E64DC}"/>
            </a:ext>
          </a:extLst>
        </xdr:cNvPr>
        <xdr:cNvCxnSpPr/>
      </xdr:nvCxnSpPr>
      <xdr:spPr>
        <a:xfrm>
          <a:off x="4683125" y="66262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10" name="Straight Connector 9">
          <a:extLst>
            <a:ext uri="{FF2B5EF4-FFF2-40B4-BE49-F238E27FC236}">
              <a16:creationId xmlns:a16="http://schemas.microsoft.com/office/drawing/2014/main" id="{76AD7B17-1D37-4435-97DD-C854009E47B9}"/>
            </a:ext>
          </a:extLst>
        </xdr:cNvPr>
        <xdr:cNvCxnSpPr/>
      </xdr:nvCxnSpPr>
      <xdr:spPr>
        <a:xfrm flipV="1">
          <a:off x="8842253" y="65976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35</xdr:row>
      <xdr:rowOff>3097</xdr:rowOff>
    </xdr:from>
    <xdr:to>
      <xdr:col>1</xdr:col>
      <xdr:colOff>1550900</xdr:colOff>
      <xdr:row>35</xdr:row>
      <xdr:rowOff>6195</xdr:rowOff>
    </xdr:to>
    <xdr:cxnSp macro="">
      <xdr:nvCxnSpPr>
        <xdr:cNvPr id="11" name="Straight Connector 10">
          <a:extLst>
            <a:ext uri="{FF2B5EF4-FFF2-40B4-BE49-F238E27FC236}">
              <a16:creationId xmlns:a16="http://schemas.microsoft.com/office/drawing/2014/main" id="{03776220-BA08-4DE7-8FA9-ED98608262D2}"/>
            </a:ext>
          </a:extLst>
        </xdr:cNvPr>
        <xdr:cNvCxnSpPr/>
      </xdr:nvCxnSpPr>
      <xdr:spPr>
        <a:xfrm>
          <a:off x="851316" y="79151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FF6EC144-A313-4405-BF85-1F551704A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8" name="Straight Connector 7">
          <a:extLst>
            <a:ext uri="{FF2B5EF4-FFF2-40B4-BE49-F238E27FC236}">
              <a16:creationId xmlns:a16="http://schemas.microsoft.com/office/drawing/2014/main" id="{AE819255-F695-43D0-AC9E-96D1351165AC}"/>
            </a:ext>
          </a:extLst>
        </xdr:cNvPr>
        <xdr:cNvCxnSpPr/>
      </xdr:nvCxnSpPr>
      <xdr:spPr>
        <a:xfrm flipV="1">
          <a:off x="822080" y="5718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9" name="Straight Connector 8">
          <a:extLst>
            <a:ext uri="{FF2B5EF4-FFF2-40B4-BE49-F238E27FC236}">
              <a16:creationId xmlns:a16="http://schemas.microsoft.com/office/drawing/2014/main" id="{FC760BB4-FC8D-4736-AABD-4B8E42DDE967}"/>
            </a:ext>
          </a:extLst>
        </xdr:cNvPr>
        <xdr:cNvCxnSpPr/>
      </xdr:nvCxnSpPr>
      <xdr:spPr>
        <a:xfrm>
          <a:off x="4683125" y="5730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75A4407F-1118-4921-8BE9-1A4A315EF5F2}"/>
            </a:ext>
          </a:extLst>
        </xdr:cNvPr>
        <xdr:cNvCxnSpPr/>
      </xdr:nvCxnSpPr>
      <xdr:spPr>
        <a:xfrm flipV="1">
          <a:off x="8842253" y="5702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37</xdr:row>
      <xdr:rowOff>3097</xdr:rowOff>
    </xdr:from>
    <xdr:to>
      <xdr:col>1</xdr:col>
      <xdr:colOff>1550900</xdr:colOff>
      <xdr:row>37</xdr:row>
      <xdr:rowOff>6195</xdr:rowOff>
    </xdr:to>
    <xdr:cxnSp macro="">
      <xdr:nvCxnSpPr>
        <xdr:cNvPr id="11" name="Straight Connector 10">
          <a:extLst>
            <a:ext uri="{FF2B5EF4-FFF2-40B4-BE49-F238E27FC236}">
              <a16:creationId xmlns:a16="http://schemas.microsoft.com/office/drawing/2014/main" id="{4A17430A-3967-48E3-B245-7FE88D475BB1}"/>
            </a:ext>
          </a:extLst>
        </xdr:cNvPr>
        <xdr:cNvCxnSpPr/>
      </xdr:nvCxnSpPr>
      <xdr:spPr>
        <a:xfrm>
          <a:off x="851316" y="70198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D9CD886E-BA09-4F5B-B520-9E200BA8F43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27</xdr:row>
      <xdr:rowOff>187158</xdr:rowOff>
    </xdr:from>
    <xdr:to>
      <xdr:col>1</xdr:col>
      <xdr:colOff>1564105</xdr:colOff>
      <xdr:row>28</xdr:row>
      <xdr:rowOff>0</xdr:rowOff>
    </xdr:to>
    <xdr:cxnSp macro="">
      <xdr:nvCxnSpPr>
        <xdr:cNvPr id="8" name="Straight Connector 7">
          <a:extLst>
            <a:ext uri="{FF2B5EF4-FFF2-40B4-BE49-F238E27FC236}">
              <a16:creationId xmlns:a16="http://schemas.microsoft.com/office/drawing/2014/main" id="{9E2A372D-D7F9-42D6-9925-17725ABE9359}"/>
            </a:ext>
          </a:extLst>
        </xdr:cNvPr>
        <xdr:cNvCxnSpPr/>
      </xdr:nvCxnSpPr>
      <xdr:spPr>
        <a:xfrm flipV="1">
          <a:off x="822080" y="60863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28</xdr:row>
      <xdr:rowOff>9525</xdr:rowOff>
    </xdr:from>
    <xdr:to>
      <xdr:col>5</xdr:col>
      <xdr:colOff>820737</xdr:colOff>
      <xdr:row>28</xdr:row>
      <xdr:rowOff>9525</xdr:rowOff>
    </xdr:to>
    <xdr:cxnSp macro="">
      <xdr:nvCxnSpPr>
        <xdr:cNvPr id="9" name="Straight Connector 8">
          <a:extLst>
            <a:ext uri="{FF2B5EF4-FFF2-40B4-BE49-F238E27FC236}">
              <a16:creationId xmlns:a16="http://schemas.microsoft.com/office/drawing/2014/main" id="{0781658A-C578-4A80-83D5-E51BE4EA876B}"/>
            </a:ext>
          </a:extLst>
        </xdr:cNvPr>
        <xdr:cNvCxnSpPr/>
      </xdr:nvCxnSpPr>
      <xdr:spPr>
        <a:xfrm>
          <a:off x="4683125" y="60991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10" name="Straight Connector 9">
          <a:extLst>
            <a:ext uri="{FF2B5EF4-FFF2-40B4-BE49-F238E27FC236}">
              <a16:creationId xmlns:a16="http://schemas.microsoft.com/office/drawing/2014/main" id="{6A97D011-0E45-4938-9825-79518F10CBBB}"/>
            </a:ext>
          </a:extLst>
        </xdr:cNvPr>
        <xdr:cNvCxnSpPr/>
      </xdr:nvCxnSpPr>
      <xdr:spPr>
        <a:xfrm flipV="1">
          <a:off x="8842253" y="60706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35</xdr:row>
      <xdr:rowOff>3097</xdr:rowOff>
    </xdr:from>
    <xdr:to>
      <xdr:col>1</xdr:col>
      <xdr:colOff>1550900</xdr:colOff>
      <xdr:row>35</xdr:row>
      <xdr:rowOff>6195</xdr:rowOff>
    </xdr:to>
    <xdr:cxnSp macro="">
      <xdr:nvCxnSpPr>
        <xdr:cNvPr id="11" name="Straight Connector 10">
          <a:extLst>
            <a:ext uri="{FF2B5EF4-FFF2-40B4-BE49-F238E27FC236}">
              <a16:creationId xmlns:a16="http://schemas.microsoft.com/office/drawing/2014/main" id="{742B8529-726B-4BEF-85C8-83845145B21E}"/>
            </a:ext>
          </a:extLst>
        </xdr:cNvPr>
        <xdr:cNvCxnSpPr/>
      </xdr:nvCxnSpPr>
      <xdr:spPr>
        <a:xfrm>
          <a:off x="851316" y="7388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12" name="Picture 11" descr="image001">
          <a:extLst>
            <a:ext uri="{FF2B5EF4-FFF2-40B4-BE49-F238E27FC236}">
              <a16:creationId xmlns:a16="http://schemas.microsoft.com/office/drawing/2014/main" id="{2DDD9A5F-1B64-4ACF-98DA-9583E30CCC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30</xdr:row>
      <xdr:rowOff>187158</xdr:rowOff>
    </xdr:from>
    <xdr:to>
      <xdr:col>1</xdr:col>
      <xdr:colOff>1564105</xdr:colOff>
      <xdr:row>31</xdr:row>
      <xdr:rowOff>0</xdr:rowOff>
    </xdr:to>
    <xdr:cxnSp macro="">
      <xdr:nvCxnSpPr>
        <xdr:cNvPr id="13" name="Straight Connector 12">
          <a:extLst>
            <a:ext uri="{FF2B5EF4-FFF2-40B4-BE49-F238E27FC236}">
              <a16:creationId xmlns:a16="http://schemas.microsoft.com/office/drawing/2014/main" id="{536792D6-889C-4A1D-A000-F3AD543EC3AE}"/>
            </a:ext>
          </a:extLst>
        </xdr:cNvPr>
        <xdr:cNvCxnSpPr/>
      </xdr:nvCxnSpPr>
      <xdr:spPr>
        <a:xfrm flipV="1">
          <a:off x="822080" y="5718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31</xdr:row>
      <xdr:rowOff>9525</xdr:rowOff>
    </xdr:from>
    <xdr:to>
      <xdr:col>5</xdr:col>
      <xdr:colOff>820737</xdr:colOff>
      <xdr:row>31</xdr:row>
      <xdr:rowOff>9525</xdr:rowOff>
    </xdr:to>
    <xdr:cxnSp macro="">
      <xdr:nvCxnSpPr>
        <xdr:cNvPr id="14" name="Straight Connector 13">
          <a:extLst>
            <a:ext uri="{FF2B5EF4-FFF2-40B4-BE49-F238E27FC236}">
              <a16:creationId xmlns:a16="http://schemas.microsoft.com/office/drawing/2014/main" id="{5D60005A-6BED-41BA-A539-7E5681C17D66}"/>
            </a:ext>
          </a:extLst>
        </xdr:cNvPr>
        <xdr:cNvCxnSpPr/>
      </xdr:nvCxnSpPr>
      <xdr:spPr>
        <a:xfrm>
          <a:off x="4683125" y="5730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30</xdr:row>
      <xdr:rowOff>171450</xdr:rowOff>
    </xdr:from>
    <xdr:to>
      <xdr:col>10</xdr:col>
      <xdr:colOff>1739900</xdr:colOff>
      <xdr:row>31</xdr:row>
      <xdr:rowOff>0</xdr:rowOff>
    </xdr:to>
    <xdr:cxnSp macro="">
      <xdr:nvCxnSpPr>
        <xdr:cNvPr id="15" name="Straight Connector 14">
          <a:extLst>
            <a:ext uri="{FF2B5EF4-FFF2-40B4-BE49-F238E27FC236}">
              <a16:creationId xmlns:a16="http://schemas.microsoft.com/office/drawing/2014/main" id="{3CD475B1-81D5-49BC-BCAE-54AF6FFC6CAA}"/>
            </a:ext>
          </a:extLst>
        </xdr:cNvPr>
        <xdr:cNvCxnSpPr/>
      </xdr:nvCxnSpPr>
      <xdr:spPr>
        <a:xfrm flipV="1">
          <a:off x="8842253" y="5702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38</xdr:row>
      <xdr:rowOff>3097</xdr:rowOff>
    </xdr:from>
    <xdr:to>
      <xdr:col>1</xdr:col>
      <xdr:colOff>1550900</xdr:colOff>
      <xdr:row>38</xdr:row>
      <xdr:rowOff>6195</xdr:rowOff>
    </xdr:to>
    <xdr:cxnSp macro="">
      <xdr:nvCxnSpPr>
        <xdr:cNvPr id="16" name="Straight Connector 15">
          <a:extLst>
            <a:ext uri="{FF2B5EF4-FFF2-40B4-BE49-F238E27FC236}">
              <a16:creationId xmlns:a16="http://schemas.microsoft.com/office/drawing/2014/main" id="{7A812DEF-72D5-4022-8115-4BAC909D7D1E}"/>
            </a:ext>
          </a:extLst>
        </xdr:cNvPr>
        <xdr:cNvCxnSpPr/>
      </xdr:nvCxnSpPr>
      <xdr:spPr>
        <a:xfrm>
          <a:off x="851316" y="70198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616B6973-6413-4D7B-968D-60E10882B4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33</xdr:row>
      <xdr:rowOff>187158</xdr:rowOff>
    </xdr:from>
    <xdr:to>
      <xdr:col>1</xdr:col>
      <xdr:colOff>1564105</xdr:colOff>
      <xdr:row>34</xdr:row>
      <xdr:rowOff>0</xdr:rowOff>
    </xdr:to>
    <xdr:cxnSp macro="">
      <xdr:nvCxnSpPr>
        <xdr:cNvPr id="8" name="Straight Connector 7">
          <a:extLst>
            <a:ext uri="{FF2B5EF4-FFF2-40B4-BE49-F238E27FC236}">
              <a16:creationId xmlns:a16="http://schemas.microsoft.com/office/drawing/2014/main" id="{CE4A2E82-8739-4F19-8D6F-C19A91B37EDF}"/>
            </a:ext>
          </a:extLst>
        </xdr:cNvPr>
        <xdr:cNvCxnSpPr/>
      </xdr:nvCxnSpPr>
      <xdr:spPr>
        <a:xfrm flipV="1">
          <a:off x="822080" y="62704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34</xdr:row>
      <xdr:rowOff>9525</xdr:rowOff>
    </xdr:from>
    <xdr:to>
      <xdr:col>5</xdr:col>
      <xdr:colOff>820737</xdr:colOff>
      <xdr:row>34</xdr:row>
      <xdr:rowOff>9525</xdr:rowOff>
    </xdr:to>
    <xdr:cxnSp macro="">
      <xdr:nvCxnSpPr>
        <xdr:cNvPr id="9" name="Straight Connector 8">
          <a:extLst>
            <a:ext uri="{FF2B5EF4-FFF2-40B4-BE49-F238E27FC236}">
              <a16:creationId xmlns:a16="http://schemas.microsoft.com/office/drawing/2014/main" id="{E3635EA4-54B6-4D23-9DB4-4763E3CFAF8F}"/>
            </a:ext>
          </a:extLst>
        </xdr:cNvPr>
        <xdr:cNvCxnSpPr/>
      </xdr:nvCxnSpPr>
      <xdr:spPr>
        <a:xfrm>
          <a:off x="4683125" y="62833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33</xdr:row>
      <xdr:rowOff>171450</xdr:rowOff>
    </xdr:from>
    <xdr:to>
      <xdr:col>10</xdr:col>
      <xdr:colOff>1739900</xdr:colOff>
      <xdr:row>34</xdr:row>
      <xdr:rowOff>0</xdr:rowOff>
    </xdr:to>
    <xdr:cxnSp macro="">
      <xdr:nvCxnSpPr>
        <xdr:cNvPr id="10" name="Straight Connector 9">
          <a:extLst>
            <a:ext uri="{FF2B5EF4-FFF2-40B4-BE49-F238E27FC236}">
              <a16:creationId xmlns:a16="http://schemas.microsoft.com/office/drawing/2014/main" id="{65020C35-883F-4ABF-B26C-048C02A15AC7}"/>
            </a:ext>
          </a:extLst>
        </xdr:cNvPr>
        <xdr:cNvCxnSpPr/>
      </xdr:nvCxnSpPr>
      <xdr:spPr>
        <a:xfrm flipV="1">
          <a:off x="8842253" y="62547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43</xdr:row>
      <xdr:rowOff>3097</xdr:rowOff>
    </xdr:from>
    <xdr:to>
      <xdr:col>1</xdr:col>
      <xdr:colOff>1550900</xdr:colOff>
      <xdr:row>43</xdr:row>
      <xdr:rowOff>6195</xdr:rowOff>
    </xdr:to>
    <xdr:cxnSp macro="">
      <xdr:nvCxnSpPr>
        <xdr:cNvPr id="11" name="Straight Connector 10">
          <a:extLst>
            <a:ext uri="{FF2B5EF4-FFF2-40B4-BE49-F238E27FC236}">
              <a16:creationId xmlns:a16="http://schemas.microsoft.com/office/drawing/2014/main" id="{4F5BD351-E11F-4B6C-AD78-A6CB82C02A4F}"/>
            </a:ext>
          </a:extLst>
        </xdr:cNvPr>
        <xdr:cNvCxnSpPr/>
      </xdr:nvCxnSpPr>
      <xdr:spPr>
        <a:xfrm>
          <a:off x="851316" y="75722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22" name="Picture 21" descr="image001">
          <a:extLst>
            <a:ext uri="{FF2B5EF4-FFF2-40B4-BE49-F238E27FC236}">
              <a16:creationId xmlns:a16="http://schemas.microsoft.com/office/drawing/2014/main" id="{6BC58F54-0BC9-4A1A-93C8-C3DE58C6B6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34</xdr:row>
      <xdr:rowOff>187158</xdr:rowOff>
    </xdr:from>
    <xdr:to>
      <xdr:col>1</xdr:col>
      <xdr:colOff>1564105</xdr:colOff>
      <xdr:row>35</xdr:row>
      <xdr:rowOff>0</xdr:rowOff>
    </xdr:to>
    <xdr:cxnSp macro="">
      <xdr:nvCxnSpPr>
        <xdr:cNvPr id="23" name="Straight Connector 22">
          <a:extLst>
            <a:ext uri="{FF2B5EF4-FFF2-40B4-BE49-F238E27FC236}">
              <a16:creationId xmlns:a16="http://schemas.microsoft.com/office/drawing/2014/main" id="{2F17B6FF-EB94-47BE-844B-5DC6018873CF}"/>
            </a:ext>
          </a:extLst>
        </xdr:cNvPr>
        <xdr:cNvCxnSpPr/>
      </xdr:nvCxnSpPr>
      <xdr:spPr>
        <a:xfrm flipV="1">
          <a:off x="822080" y="68229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35</xdr:row>
      <xdr:rowOff>9525</xdr:rowOff>
    </xdr:from>
    <xdr:to>
      <xdr:col>5</xdr:col>
      <xdr:colOff>820737</xdr:colOff>
      <xdr:row>35</xdr:row>
      <xdr:rowOff>9525</xdr:rowOff>
    </xdr:to>
    <xdr:cxnSp macro="">
      <xdr:nvCxnSpPr>
        <xdr:cNvPr id="24" name="Straight Connector 23">
          <a:extLst>
            <a:ext uri="{FF2B5EF4-FFF2-40B4-BE49-F238E27FC236}">
              <a16:creationId xmlns:a16="http://schemas.microsoft.com/office/drawing/2014/main" id="{9E1A265F-E8A5-4B3C-A8CC-6BB5D89B0CFA}"/>
            </a:ext>
          </a:extLst>
        </xdr:cNvPr>
        <xdr:cNvCxnSpPr/>
      </xdr:nvCxnSpPr>
      <xdr:spPr>
        <a:xfrm>
          <a:off x="4683125" y="68357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34</xdr:row>
      <xdr:rowOff>171450</xdr:rowOff>
    </xdr:from>
    <xdr:to>
      <xdr:col>10</xdr:col>
      <xdr:colOff>1739900</xdr:colOff>
      <xdr:row>35</xdr:row>
      <xdr:rowOff>0</xdr:rowOff>
    </xdr:to>
    <xdr:cxnSp macro="">
      <xdr:nvCxnSpPr>
        <xdr:cNvPr id="25" name="Straight Connector 24">
          <a:extLst>
            <a:ext uri="{FF2B5EF4-FFF2-40B4-BE49-F238E27FC236}">
              <a16:creationId xmlns:a16="http://schemas.microsoft.com/office/drawing/2014/main" id="{FC1B344E-FFCD-40FD-97A1-9E910CE5B658}"/>
            </a:ext>
          </a:extLst>
        </xdr:cNvPr>
        <xdr:cNvCxnSpPr/>
      </xdr:nvCxnSpPr>
      <xdr:spPr>
        <a:xfrm flipV="1">
          <a:off x="8842253" y="68072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44</xdr:row>
      <xdr:rowOff>3097</xdr:rowOff>
    </xdr:from>
    <xdr:to>
      <xdr:col>1</xdr:col>
      <xdr:colOff>1550900</xdr:colOff>
      <xdr:row>44</xdr:row>
      <xdr:rowOff>6195</xdr:rowOff>
    </xdr:to>
    <xdr:cxnSp macro="">
      <xdr:nvCxnSpPr>
        <xdr:cNvPr id="26" name="Straight Connector 25">
          <a:extLst>
            <a:ext uri="{FF2B5EF4-FFF2-40B4-BE49-F238E27FC236}">
              <a16:creationId xmlns:a16="http://schemas.microsoft.com/office/drawing/2014/main" id="{0517D860-1B81-425A-AFEA-9DA573FDA3F2}"/>
            </a:ext>
          </a:extLst>
        </xdr:cNvPr>
        <xdr:cNvCxnSpPr/>
      </xdr:nvCxnSpPr>
      <xdr:spPr>
        <a:xfrm>
          <a:off x="851316" y="84930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9376132B-D84F-4C1A-BE27-0C3534ED8C2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34</xdr:row>
      <xdr:rowOff>187158</xdr:rowOff>
    </xdr:from>
    <xdr:to>
      <xdr:col>1</xdr:col>
      <xdr:colOff>1564105</xdr:colOff>
      <xdr:row>35</xdr:row>
      <xdr:rowOff>0</xdr:rowOff>
    </xdr:to>
    <xdr:cxnSp macro="">
      <xdr:nvCxnSpPr>
        <xdr:cNvPr id="8" name="Straight Connector 7">
          <a:extLst>
            <a:ext uri="{FF2B5EF4-FFF2-40B4-BE49-F238E27FC236}">
              <a16:creationId xmlns:a16="http://schemas.microsoft.com/office/drawing/2014/main" id="{0EAC799E-8DA0-40E0-BD5C-88D62C867126}"/>
            </a:ext>
          </a:extLst>
        </xdr:cNvPr>
        <xdr:cNvCxnSpPr/>
      </xdr:nvCxnSpPr>
      <xdr:spPr>
        <a:xfrm flipV="1">
          <a:off x="822080" y="71658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35</xdr:row>
      <xdr:rowOff>9525</xdr:rowOff>
    </xdr:from>
    <xdr:to>
      <xdr:col>5</xdr:col>
      <xdr:colOff>820737</xdr:colOff>
      <xdr:row>35</xdr:row>
      <xdr:rowOff>9525</xdr:rowOff>
    </xdr:to>
    <xdr:cxnSp macro="">
      <xdr:nvCxnSpPr>
        <xdr:cNvPr id="9" name="Straight Connector 8">
          <a:extLst>
            <a:ext uri="{FF2B5EF4-FFF2-40B4-BE49-F238E27FC236}">
              <a16:creationId xmlns:a16="http://schemas.microsoft.com/office/drawing/2014/main" id="{A5032CA1-1E42-4FC9-B9B1-840D40233775}"/>
            </a:ext>
          </a:extLst>
        </xdr:cNvPr>
        <xdr:cNvCxnSpPr/>
      </xdr:nvCxnSpPr>
      <xdr:spPr>
        <a:xfrm>
          <a:off x="4683125" y="71786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34</xdr:row>
      <xdr:rowOff>171450</xdr:rowOff>
    </xdr:from>
    <xdr:to>
      <xdr:col>10</xdr:col>
      <xdr:colOff>1739900</xdr:colOff>
      <xdr:row>35</xdr:row>
      <xdr:rowOff>0</xdr:rowOff>
    </xdr:to>
    <xdr:cxnSp macro="">
      <xdr:nvCxnSpPr>
        <xdr:cNvPr id="10" name="Straight Connector 9">
          <a:extLst>
            <a:ext uri="{FF2B5EF4-FFF2-40B4-BE49-F238E27FC236}">
              <a16:creationId xmlns:a16="http://schemas.microsoft.com/office/drawing/2014/main" id="{077D8F22-BEBA-426E-96F9-CF174CE11D41}"/>
            </a:ext>
          </a:extLst>
        </xdr:cNvPr>
        <xdr:cNvCxnSpPr/>
      </xdr:nvCxnSpPr>
      <xdr:spPr>
        <a:xfrm flipV="1">
          <a:off x="8867653" y="71501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44</xdr:row>
      <xdr:rowOff>3097</xdr:rowOff>
    </xdr:from>
    <xdr:to>
      <xdr:col>1</xdr:col>
      <xdr:colOff>1550900</xdr:colOff>
      <xdr:row>44</xdr:row>
      <xdr:rowOff>6195</xdr:rowOff>
    </xdr:to>
    <xdr:cxnSp macro="">
      <xdr:nvCxnSpPr>
        <xdr:cNvPr id="11" name="Straight Connector 10">
          <a:extLst>
            <a:ext uri="{FF2B5EF4-FFF2-40B4-BE49-F238E27FC236}">
              <a16:creationId xmlns:a16="http://schemas.microsoft.com/office/drawing/2014/main" id="{56E30FDA-8778-4C94-B7E2-9F744E3C7C55}"/>
            </a:ext>
          </a:extLst>
        </xdr:cNvPr>
        <xdr:cNvCxnSpPr/>
      </xdr:nvCxnSpPr>
      <xdr:spPr>
        <a:xfrm>
          <a:off x="851316" y="88422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574B04B1-5974-4CB5-996E-A9B8C2FC44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35</xdr:row>
      <xdr:rowOff>187158</xdr:rowOff>
    </xdr:from>
    <xdr:to>
      <xdr:col>1</xdr:col>
      <xdr:colOff>1564105</xdr:colOff>
      <xdr:row>36</xdr:row>
      <xdr:rowOff>0</xdr:rowOff>
    </xdr:to>
    <xdr:cxnSp macro="">
      <xdr:nvCxnSpPr>
        <xdr:cNvPr id="8" name="Straight Connector 7">
          <a:extLst>
            <a:ext uri="{FF2B5EF4-FFF2-40B4-BE49-F238E27FC236}">
              <a16:creationId xmlns:a16="http://schemas.microsoft.com/office/drawing/2014/main" id="{9486CB6B-AC67-4E4D-996B-0D638D8304D2}"/>
            </a:ext>
          </a:extLst>
        </xdr:cNvPr>
        <xdr:cNvCxnSpPr/>
      </xdr:nvCxnSpPr>
      <xdr:spPr>
        <a:xfrm flipV="1">
          <a:off x="822080" y="71467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36</xdr:row>
      <xdr:rowOff>9525</xdr:rowOff>
    </xdr:from>
    <xdr:to>
      <xdr:col>5</xdr:col>
      <xdr:colOff>820737</xdr:colOff>
      <xdr:row>36</xdr:row>
      <xdr:rowOff>9525</xdr:rowOff>
    </xdr:to>
    <xdr:cxnSp macro="">
      <xdr:nvCxnSpPr>
        <xdr:cNvPr id="9" name="Straight Connector 8">
          <a:extLst>
            <a:ext uri="{FF2B5EF4-FFF2-40B4-BE49-F238E27FC236}">
              <a16:creationId xmlns:a16="http://schemas.microsoft.com/office/drawing/2014/main" id="{31723F52-AA23-4749-A073-59A576CCF94B}"/>
            </a:ext>
          </a:extLst>
        </xdr:cNvPr>
        <xdr:cNvCxnSpPr/>
      </xdr:nvCxnSpPr>
      <xdr:spPr>
        <a:xfrm>
          <a:off x="4683125" y="71596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35</xdr:row>
      <xdr:rowOff>171450</xdr:rowOff>
    </xdr:from>
    <xdr:to>
      <xdr:col>10</xdr:col>
      <xdr:colOff>1739900</xdr:colOff>
      <xdr:row>36</xdr:row>
      <xdr:rowOff>0</xdr:rowOff>
    </xdr:to>
    <xdr:cxnSp macro="">
      <xdr:nvCxnSpPr>
        <xdr:cNvPr id="10" name="Straight Connector 9">
          <a:extLst>
            <a:ext uri="{FF2B5EF4-FFF2-40B4-BE49-F238E27FC236}">
              <a16:creationId xmlns:a16="http://schemas.microsoft.com/office/drawing/2014/main" id="{C087E4FC-2FC1-4828-B690-59E3737E8B94}"/>
            </a:ext>
          </a:extLst>
        </xdr:cNvPr>
        <xdr:cNvCxnSpPr/>
      </xdr:nvCxnSpPr>
      <xdr:spPr>
        <a:xfrm flipV="1">
          <a:off x="8867653" y="71310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45</xdr:row>
      <xdr:rowOff>3097</xdr:rowOff>
    </xdr:from>
    <xdr:to>
      <xdr:col>1</xdr:col>
      <xdr:colOff>1550900</xdr:colOff>
      <xdr:row>45</xdr:row>
      <xdr:rowOff>6195</xdr:rowOff>
    </xdr:to>
    <xdr:cxnSp macro="">
      <xdr:nvCxnSpPr>
        <xdr:cNvPr id="11" name="Straight Connector 10">
          <a:extLst>
            <a:ext uri="{FF2B5EF4-FFF2-40B4-BE49-F238E27FC236}">
              <a16:creationId xmlns:a16="http://schemas.microsoft.com/office/drawing/2014/main" id="{F6DBBC9A-8FED-4987-8798-2DA539A2F396}"/>
            </a:ext>
          </a:extLst>
        </xdr:cNvPr>
        <xdr:cNvCxnSpPr/>
      </xdr:nvCxnSpPr>
      <xdr:spPr>
        <a:xfrm>
          <a:off x="851316" y="88232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C0CD555B-4073-4C30-9474-3F715FA1E1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34</xdr:row>
      <xdr:rowOff>187158</xdr:rowOff>
    </xdr:from>
    <xdr:to>
      <xdr:col>1</xdr:col>
      <xdr:colOff>1564105</xdr:colOff>
      <xdr:row>35</xdr:row>
      <xdr:rowOff>0</xdr:rowOff>
    </xdr:to>
    <xdr:cxnSp macro="">
      <xdr:nvCxnSpPr>
        <xdr:cNvPr id="8" name="Straight Connector 7">
          <a:extLst>
            <a:ext uri="{FF2B5EF4-FFF2-40B4-BE49-F238E27FC236}">
              <a16:creationId xmlns:a16="http://schemas.microsoft.com/office/drawing/2014/main" id="{5F244433-2D06-4009-8E0E-3EEED8CD6A27}"/>
            </a:ext>
          </a:extLst>
        </xdr:cNvPr>
        <xdr:cNvCxnSpPr/>
      </xdr:nvCxnSpPr>
      <xdr:spPr>
        <a:xfrm flipV="1">
          <a:off x="822080" y="7432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35</xdr:row>
      <xdr:rowOff>9525</xdr:rowOff>
    </xdr:from>
    <xdr:to>
      <xdr:col>5</xdr:col>
      <xdr:colOff>820737</xdr:colOff>
      <xdr:row>35</xdr:row>
      <xdr:rowOff>9525</xdr:rowOff>
    </xdr:to>
    <xdr:cxnSp macro="">
      <xdr:nvCxnSpPr>
        <xdr:cNvPr id="9" name="Straight Connector 8">
          <a:extLst>
            <a:ext uri="{FF2B5EF4-FFF2-40B4-BE49-F238E27FC236}">
              <a16:creationId xmlns:a16="http://schemas.microsoft.com/office/drawing/2014/main" id="{2D58FB43-B0FA-42B1-845F-92CFE0F25DD9}"/>
            </a:ext>
          </a:extLst>
        </xdr:cNvPr>
        <xdr:cNvCxnSpPr/>
      </xdr:nvCxnSpPr>
      <xdr:spPr>
        <a:xfrm>
          <a:off x="4683125" y="7445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34</xdr:row>
      <xdr:rowOff>171450</xdr:rowOff>
    </xdr:from>
    <xdr:to>
      <xdr:col>10</xdr:col>
      <xdr:colOff>1739900</xdr:colOff>
      <xdr:row>35</xdr:row>
      <xdr:rowOff>0</xdr:rowOff>
    </xdr:to>
    <xdr:cxnSp macro="">
      <xdr:nvCxnSpPr>
        <xdr:cNvPr id="10" name="Straight Connector 9">
          <a:extLst>
            <a:ext uri="{FF2B5EF4-FFF2-40B4-BE49-F238E27FC236}">
              <a16:creationId xmlns:a16="http://schemas.microsoft.com/office/drawing/2014/main" id="{C034DC6C-CDB0-4497-A66F-00D26FE0AB99}"/>
            </a:ext>
          </a:extLst>
        </xdr:cNvPr>
        <xdr:cNvCxnSpPr/>
      </xdr:nvCxnSpPr>
      <xdr:spPr>
        <a:xfrm flipV="1">
          <a:off x="8867653" y="7416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44</xdr:row>
      <xdr:rowOff>3097</xdr:rowOff>
    </xdr:from>
    <xdr:to>
      <xdr:col>1</xdr:col>
      <xdr:colOff>1550900</xdr:colOff>
      <xdr:row>44</xdr:row>
      <xdr:rowOff>6195</xdr:rowOff>
    </xdr:to>
    <xdr:cxnSp macro="">
      <xdr:nvCxnSpPr>
        <xdr:cNvPr id="11" name="Straight Connector 10">
          <a:extLst>
            <a:ext uri="{FF2B5EF4-FFF2-40B4-BE49-F238E27FC236}">
              <a16:creationId xmlns:a16="http://schemas.microsoft.com/office/drawing/2014/main" id="{FBD5EC77-9C13-48E9-996E-34DD7118DD4D}"/>
            </a:ext>
          </a:extLst>
        </xdr:cNvPr>
        <xdr:cNvCxnSpPr/>
      </xdr:nvCxnSpPr>
      <xdr:spPr>
        <a:xfrm>
          <a:off x="851316" y="91089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A8666E0C-186D-4002-8489-DF23962B66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37</xdr:row>
      <xdr:rowOff>187158</xdr:rowOff>
    </xdr:from>
    <xdr:to>
      <xdr:col>1</xdr:col>
      <xdr:colOff>1564105</xdr:colOff>
      <xdr:row>38</xdr:row>
      <xdr:rowOff>0</xdr:rowOff>
    </xdr:to>
    <xdr:cxnSp macro="">
      <xdr:nvCxnSpPr>
        <xdr:cNvPr id="8" name="Straight Connector 7">
          <a:extLst>
            <a:ext uri="{FF2B5EF4-FFF2-40B4-BE49-F238E27FC236}">
              <a16:creationId xmlns:a16="http://schemas.microsoft.com/office/drawing/2014/main" id="{85302D12-3451-4185-B550-20E841FB744D}"/>
            </a:ext>
          </a:extLst>
        </xdr:cNvPr>
        <xdr:cNvCxnSpPr/>
      </xdr:nvCxnSpPr>
      <xdr:spPr>
        <a:xfrm flipV="1">
          <a:off x="822080" y="71594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38</xdr:row>
      <xdr:rowOff>9525</xdr:rowOff>
    </xdr:from>
    <xdr:to>
      <xdr:col>5</xdr:col>
      <xdr:colOff>820737</xdr:colOff>
      <xdr:row>38</xdr:row>
      <xdr:rowOff>9525</xdr:rowOff>
    </xdr:to>
    <xdr:cxnSp macro="">
      <xdr:nvCxnSpPr>
        <xdr:cNvPr id="9" name="Straight Connector 8">
          <a:extLst>
            <a:ext uri="{FF2B5EF4-FFF2-40B4-BE49-F238E27FC236}">
              <a16:creationId xmlns:a16="http://schemas.microsoft.com/office/drawing/2014/main" id="{20050676-3CBA-4144-ACF0-8A5E6C1CCC77}"/>
            </a:ext>
          </a:extLst>
        </xdr:cNvPr>
        <xdr:cNvCxnSpPr/>
      </xdr:nvCxnSpPr>
      <xdr:spPr>
        <a:xfrm>
          <a:off x="4683125" y="71723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37</xdr:row>
      <xdr:rowOff>171450</xdr:rowOff>
    </xdr:from>
    <xdr:to>
      <xdr:col>10</xdr:col>
      <xdr:colOff>1739900</xdr:colOff>
      <xdr:row>38</xdr:row>
      <xdr:rowOff>0</xdr:rowOff>
    </xdr:to>
    <xdr:cxnSp macro="">
      <xdr:nvCxnSpPr>
        <xdr:cNvPr id="10" name="Straight Connector 9">
          <a:extLst>
            <a:ext uri="{FF2B5EF4-FFF2-40B4-BE49-F238E27FC236}">
              <a16:creationId xmlns:a16="http://schemas.microsoft.com/office/drawing/2014/main" id="{0A4BCBDD-8C2C-44CC-8E51-FC4B61B32400}"/>
            </a:ext>
          </a:extLst>
        </xdr:cNvPr>
        <xdr:cNvCxnSpPr/>
      </xdr:nvCxnSpPr>
      <xdr:spPr>
        <a:xfrm flipV="1">
          <a:off x="8867653" y="71437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47</xdr:row>
      <xdr:rowOff>3097</xdr:rowOff>
    </xdr:from>
    <xdr:to>
      <xdr:col>1</xdr:col>
      <xdr:colOff>1550900</xdr:colOff>
      <xdr:row>47</xdr:row>
      <xdr:rowOff>6195</xdr:rowOff>
    </xdr:to>
    <xdr:cxnSp macro="">
      <xdr:nvCxnSpPr>
        <xdr:cNvPr id="11" name="Straight Connector 10">
          <a:extLst>
            <a:ext uri="{FF2B5EF4-FFF2-40B4-BE49-F238E27FC236}">
              <a16:creationId xmlns:a16="http://schemas.microsoft.com/office/drawing/2014/main" id="{DCB5F1E9-EEDB-463D-9496-6B8A931A53BC}"/>
            </a:ext>
          </a:extLst>
        </xdr:cNvPr>
        <xdr:cNvCxnSpPr/>
      </xdr:nvCxnSpPr>
      <xdr:spPr>
        <a:xfrm>
          <a:off x="851316" y="88359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BED31D42-9BA9-4910-886D-8FB3207BF9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37</xdr:row>
      <xdr:rowOff>187158</xdr:rowOff>
    </xdr:from>
    <xdr:to>
      <xdr:col>1</xdr:col>
      <xdr:colOff>1564105</xdr:colOff>
      <xdr:row>38</xdr:row>
      <xdr:rowOff>0</xdr:rowOff>
    </xdr:to>
    <xdr:cxnSp macro="">
      <xdr:nvCxnSpPr>
        <xdr:cNvPr id="8" name="Straight Connector 7">
          <a:extLst>
            <a:ext uri="{FF2B5EF4-FFF2-40B4-BE49-F238E27FC236}">
              <a16:creationId xmlns:a16="http://schemas.microsoft.com/office/drawing/2014/main" id="{AE22559E-FBE6-4ECB-B39A-1FF696B0992E}"/>
            </a:ext>
          </a:extLst>
        </xdr:cNvPr>
        <xdr:cNvCxnSpPr/>
      </xdr:nvCxnSpPr>
      <xdr:spPr>
        <a:xfrm flipV="1">
          <a:off x="822080" y="77563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38</xdr:row>
      <xdr:rowOff>9525</xdr:rowOff>
    </xdr:from>
    <xdr:to>
      <xdr:col>5</xdr:col>
      <xdr:colOff>820737</xdr:colOff>
      <xdr:row>38</xdr:row>
      <xdr:rowOff>9525</xdr:rowOff>
    </xdr:to>
    <xdr:cxnSp macro="">
      <xdr:nvCxnSpPr>
        <xdr:cNvPr id="9" name="Straight Connector 8">
          <a:extLst>
            <a:ext uri="{FF2B5EF4-FFF2-40B4-BE49-F238E27FC236}">
              <a16:creationId xmlns:a16="http://schemas.microsoft.com/office/drawing/2014/main" id="{6B5F8373-3EFB-4563-8DED-1DD4C6575559}"/>
            </a:ext>
          </a:extLst>
        </xdr:cNvPr>
        <xdr:cNvCxnSpPr/>
      </xdr:nvCxnSpPr>
      <xdr:spPr>
        <a:xfrm>
          <a:off x="4683125" y="77692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37</xdr:row>
      <xdr:rowOff>171450</xdr:rowOff>
    </xdr:from>
    <xdr:to>
      <xdr:col>10</xdr:col>
      <xdr:colOff>1739900</xdr:colOff>
      <xdr:row>38</xdr:row>
      <xdr:rowOff>0</xdr:rowOff>
    </xdr:to>
    <xdr:cxnSp macro="">
      <xdr:nvCxnSpPr>
        <xdr:cNvPr id="10" name="Straight Connector 9">
          <a:extLst>
            <a:ext uri="{FF2B5EF4-FFF2-40B4-BE49-F238E27FC236}">
              <a16:creationId xmlns:a16="http://schemas.microsoft.com/office/drawing/2014/main" id="{B8880F78-42FD-4CEB-BB4B-42CE2C3DC6F3}"/>
            </a:ext>
          </a:extLst>
        </xdr:cNvPr>
        <xdr:cNvCxnSpPr/>
      </xdr:nvCxnSpPr>
      <xdr:spPr>
        <a:xfrm flipV="1">
          <a:off x="8867653" y="77406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47</xdr:row>
      <xdr:rowOff>3097</xdr:rowOff>
    </xdr:from>
    <xdr:to>
      <xdr:col>1</xdr:col>
      <xdr:colOff>1550900</xdr:colOff>
      <xdr:row>47</xdr:row>
      <xdr:rowOff>6195</xdr:rowOff>
    </xdr:to>
    <xdr:cxnSp macro="">
      <xdr:nvCxnSpPr>
        <xdr:cNvPr id="11" name="Straight Connector 10">
          <a:extLst>
            <a:ext uri="{FF2B5EF4-FFF2-40B4-BE49-F238E27FC236}">
              <a16:creationId xmlns:a16="http://schemas.microsoft.com/office/drawing/2014/main" id="{C817D323-2BF6-46D4-9DD6-0468097111F1}"/>
            </a:ext>
          </a:extLst>
        </xdr:cNvPr>
        <xdr:cNvCxnSpPr/>
      </xdr:nvCxnSpPr>
      <xdr:spPr>
        <a:xfrm>
          <a:off x="851316" y="94328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4DCF5006-1FEE-49CE-A332-87D4453D49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187158</xdr:rowOff>
    </xdr:from>
    <xdr:to>
      <xdr:col>1</xdr:col>
      <xdr:colOff>1564105</xdr:colOff>
      <xdr:row>20</xdr:row>
      <xdr:rowOff>0</xdr:rowOff>
    </xdr:to>
    <xdr:cxnSp macro="">
      <xdr:nvCxnSpPr>
        <xdr:cNvPr id="8" name="Straight Connector 7">
          <a:extLst>
            <a:ext uri="{FF2B5EF4-FFF2-40B4-BE49-F238E27FC236}">
              <a16:creationId xmlns:a16="http://schemas.microsoft.com/office/drawing/2014/main" id="{582F7A7A-4551-4707-9DD6-EE381A7B45E5}"/>
            </a:ext>
          </a:extLst>
        </xdr:cNvPr>
        <xdr:cNvCxnSpPr/>
      </xdr:nvCxnSpPr>
      <xdr:spPr>
        <a:xfrm flipV="1">
          <a:off x="822080" y="77436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117B732C-6C1B-4949-8FDE-8BE311396247}"/>
            </a:ext>
          </a:extLst>
        </xdr:cNvPr>
        <xdr:cNvCxnSpPr/>
      </xdr:nvCxnSpPr>
      <xdr:spPr>
        <a:xfrm>
          <a:off x="4683125" y="77565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DFC44484-66E1-408A-9575-837509F65F52}"/>
            </a:ext>
          </a:extLst>
        </xdr:cNvPr>
        <xdr:cNvCxnSpPr/>
      </xdr:nvCxnSpPr>
      <xdr:spPr>
        <a:xfrm flipV="1">
          <a:off x="8867653" y="7727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989730BF-8042-4F4D-9601-7061D435CC2A}"/>
            </a:ext>
          </a:extLst>
        </xdr:cNvPr>
        <xdr:cNvCxnSpPr/>
      </xdr:nvCxnSpPr>
      <xdr:spPr>
        <a:xfrm>
          <a:off x="851316" y="9420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AA334A54-BE27-4D7C-83F3-F1DD6AB9A7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33</xdr:row>
      <xdr:rowOff>187158</xdr:rowOff>
    </xdr:from>
    <xdr:to>
      <xdr:col>1</xdr:col>
      <xdr:colOff>1564105</xdr:colOff>
      <xdr:row>34</xdr:row>
      <xdr:rowOff>0</xdr:rowOff>
    </xdr:to>
    <xdr:cxnSp macro="">
      <xdr:nvCxnSpPr>
        <xdr:cNvPr id="8" name="Straight Connector 7">
          <a:extLst>
            <a:ext uri="{FF2B5EF4-FFF2-40B4-BE49-F238E27FC236}">
              <a16:creationId xmlns:a16="http://schemas.microsoft.com/office/drawing/2014/main" id="{E053C984-1CC0-4D41-A1A9-C7D333836140}"/>
            </a:ext>
          </a:extLst>
        </xdr:cNvPr>
        <xdr:cNvCxnSpPr/>
      </xdr:nvCxnSpPr>
      <xdr:spPr>
        <a:xfrm flipV="1">
          <a:off x="822080" y="44162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34</xdr:row>
      <xdr:rowOff>9525</xdr:rowOff>
    </xdr:from>
    <xdr:to>
      <xdr:col>5</xdr:col>
      <xdr:colOff>820737</xdr:colOff>
      <xdr:row>34</xdr:row>
      <xdr:rowOff>9525</xdr:rowOff>
    </xdr:to>
    <xdr:cxnSp macro="">
      <xdr:nvCxnSpPr>
        <xdr:cNvPr id="9" name="Straight Connector 8">
          <a:extLst>
            <a:ext uri="{FF2B5EF4-FFF2-40B4-BE49-F238E27FC236}">
              <a16:creationId xmlns:a16="http://schemas.microsoft.com/office/drawing/2014/main" id="{8F726542-BFE1-426A-8550-F681382D931B}"/>
            </a:ext>
          </a:extLst>
        </xdr:cNvPr>
        <xdr:cNvCxnSpPr/>
      </xdr:nvCxnSpPr>
      <xdr:spPr>
        <a:xfrm>
          <a:off x="4683125" y="44291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33</xdr:row>
      <xdr:rowOff>171450</xdr:rowOff>
    </xdr:from>
    <xdr:to>
      <xdr:col>10</xdr:col>
      <xdr:colOff>1739900</xdr:colOff>
      <xdr:row>34</xdr:row>
      <xdr:rowOff>0</xdr:rowOff>
    </xdr:to>
    <xdr:cxnSp macro="">
      <xdr:nvCxnSpPr>
        <xdr:cNvPr id="10" name="Straight Connector 9">
          <a:extLst>
            <a:ext uri="{FF2B5EF4-FFF2-40B4-BE49-F238E27FC236}">
              <a16:creationId xmlns:a16="http://schemas.microsoft.com/office/drawing/2014/main" id="{CBE74A79-B845-45D8-9FE3-8872BEA6A069}"/>
            </a:ext>
          </a:extLst>
        </xdr:cNvPr>
        <xdr:cNvCxnSpPr/>
      </xdr:nvCxnSpPr>
      <xdr:spPr>
        <a:xfrm flipV="1">
          <a:off x="8867653" y="44005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43</xdr:row>
      <xdr:rowOff>3097</xdr:rowOff>
    </xdr:from>
    <xdr:to>
      <xdr:col>1</xdr:col>
      <xdr:colOff>1550900</xdr:colOff>
      <xdr:row>43</xdr:row>
      <xdr:rowOff>6195</xdr:rowOff>
    </xdr:to>
    <xdr:cxnSp macro="">
      <xdr:nvCxnSpPr>
        <xdr:cNvPr id="11" name="Straight Connector 10">
          <a:extLst>
            <a:ext uri="{FF2B5EF4-FFF2-40B4-BE49-F238E27FC236}">
              <a16:creationId xmlns:a16="http://schemas.microsoft.com/office/drawing/2014/main" id="{38418F3D-A053-4DFF-BC78-9C7056E44AD7}"/>
            </a:ext>
          </a:extLst>
        </xdr:cNvPr>
        <xdr:cNvCxnSpPr/>
      </xdr:nvCxnSpPr>
      <xdr:spPr>
        <a:xfrm>
          <a:off x="851316" y="60927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381124" cy="523875"/>
    <xdr:pic>
      <xdr:nvPicPr>
        <xdr:cNvPr id="12" name="Picture 11" descr="image001">
          <a:extLst>
            <a:ext uri="{FF2B5EF4-FFF2-40B4-BE49-F238E27FC236}">
              <a16:creationId xmlns:a16="http://schemas.microsoft.com/office/drawing/2014/main" id="{8374030A-C541-4177-8459-CD129BBB84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1124" cy="5238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13" name="Straight Connector 12">
          <a:extLst>
            <a:ext uri="{FF2B5EF4-FFF2-40B4-BE49-F238E27FC236}">
              <a16:creationId xmlns:a16="http://schemas.microsoft.com/office/drawing/2014/main" id="{418CDCEA-6611-47CF-B13C-53FF4BF9B50D}"/>
            </a:ext>
          </a:extLst>
        </xdr:cNvPr>
        <xdr:cNvCxnSpPr/>
      </xdr:nvCxnSpPr>
      <xdr:spPr>
        <a:xfrm flipV="1">
          <a:off x="822080" y="6670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14" name="Straight Connector 13">
          <a:extLst>
            <a:ext uri="{FF2B5EF4-FFF2-40B4-BE49-F238E27FC236}">
              <a16:creationId xmlns:a16="http://schemas.microsoft.com/office/drawing/2014/main" id="{665CA41F-A89A-4661-AF51-6C6EF6B7C0E5}"/>
            </a:ext>
          </a:extLst>
        </xdr:cNvPr>
        <xdr:cNvCxnSpPr/>
      </xdr:nvCxnSpPr>
      <xdr:spPr>
        <a:xfrm>
          <a:off x="4683125" y="6683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5" name="Straight Connector 14">
          <a:extLst>
            <a:ext uri="{FF2B5EF4-FFF2-40B4-BE49-F238E27FC236}">
              <a16:creationId xmlns:a16="http://schemas.microsoft.com/office/drawing/2014/main" id="{FA57042F-00F8-4A02-9563-0655814559EE}"/>
            </a:ext>
          </a:extLst>
        </xdr:cNvPr>
        <xdr:cNvCxnSpPr/>
      </xdr:nvCxnSpPr>
      <xdr:spPr>
        <a:xfrm flipV="1">
          <a:off x="8842253" y="6654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577850</xdr:colOff>
      <xdr:row>37</xdr:row>
      <xdr:rowOff>158750</xdr:rowOff>
    </xdr:from>
    <xdr:to>
      <xdr:col>1</xdr:col>
      <xdr:colOff>1682750</xdr:colOff>
      <xdr:row>37</xdr:row>
      <xdr:rowOff>158750</xdr:rowOff>
    </xdr:to>
    <xdr:cxnSp macro="">
      <xdr:nvCxnSpPr>
        <xdr:cNvPr id="16" name="Straight Connector 15">
          <a:extLst>
            <a:ext uri="{FF2B5EF4-FFF2-40B4-BE49-F238E27FC236}">
              <a16:creationId xmlns:a16="http://schemas.microsoft.com/office/drawing/2014/main" id="{59E13187-0F28-40A5-AFCA-B70C7C7374CB}"/>
            </a:ext>
          </a:extLst>
        </xdr:cNvPr>
        <xdr:cNvCxnSpPr/>
      </xdr:nvCxnSpPr>
      <xdr:spPr>
        <a:xfrm>
          <a:off x="977900" y="8134350"/>
          <a:ext cx="110490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B5109390-3CD0-4954-9783-B092884D525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32</xdr:row>
      <xdr:rowOff>187158</xdr:rowOff>
    </xdr:from>
    <xdr:to>
      <xdr:col>1</xdr:col>
      <xdr:colOff>1564105</xdr:colOff>
      <xdr:row>33</xdr:row>
      <xdr:rowOff>0</xdr:rowOff>
    </xdr:to>
    <xdr:cxnSp macro="">
      <xdr:nvCxnSpPr>
        <xdr:cNvPr id="8" name="Straight Connector 7">
          <a:extLst>
            <a:ext uri="{FF2B5EF4-FFF2-40B4-BE49-F238E27FC236}">
              <a16:creationId xmlns:a16="http://schemas.microsoft.com/office/drawing/2014/main" id="{6A81AF84-E3CE-41CE-BFF5-C6648200BA21}"/>
            </a:ext>
          </a:extLst>
        </xdr:cNvPr>
        <xdr:cNvCxnSpPr/>
      </xdr:nvCxnSpPr>
      <xdr:spPr>
        <a:xfrm flipV="1">
          <a:off x="822080" y="71721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33</xdr:row>
      <xdr:rowOff>9525</xdr:rowOff>
    </xdr:from>
    <xdr:to>
      <xdr:col>5</xdr:col>
      <xdr:colOff>820737</xdr:colOff>
      <xdr:row>33</xdr:row>
      <xdr:rowOff>9525</xdr:rowOff>
    </xdr:to>
    <xdr:cxnSp macro="">
      <xdr:nvCxnSpPr>
        <xdr:cNvPr id="9" name="Straight Connector 8">
          <a:extLst>
            <a:ext uri="{FF2B5EF4-FFF2-40B4-BE49-F238E27FC236}">
              <a16:creationId xmlns:a16="http://schemas.microsoft.com/office/drawing/2014/main" id="{E51A1DCD-2DE4-46C8-B1CF-44114179D122}"/>
            </a:ext>
          </a:extLst>
        </xdr:cNvPr>
        <xdr:cNvCxnSpPr/>
      </xdr:nvCxnSpPr>
      <xdr:spPr>
        <a:xfrm>
          <a:off x="4683125" y="71850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32</xdr:row>
      <xdr:rowOff>171450</xdr:rowOff>
    </xdr:from>
    <xdr:to>
      <xdr:col>10</xdr:col>
      <xdr:colOff>1739900</xdr:colOff>
      <xdr:row>33</xdr:row>
      <xdr:rowOff>0</xdr:rowOff>
    </xdr:to>
    <xdr:cxnSp macro="">
      <xdr:nvCxnSpPr>
        <xdr:cNvPr id="10" name="Straight Connector 9">
          <a:extLst>
            <a:ext uri="{FF2B5EF4-FFF2-40B4-BE49-F238E27FC236}">
              <a16:creationId xmlns:a16="http://schemas.microsoft.com/office/drawing/2014/main" id="{6C010914-B118-4377-987A-60DF7E5915DF}"/>
            </a:ext>
          </a:extLst>
        </xdr:cNvPr>
        <xdr:cNvCxnSpPr/>
      </xdr:nvCxnSpPr>
      <xdr:spPr>
        <a:xfrm flipV="1">
          <a:off x="8867653" y="71564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42</xdr:row>
      <xdr:rowOff>3097</xdr:rowOff>
    </xdr:from>
    <xdr:to>
      <xdr:col>1</xdr:col>
      <xdr:colOff>1550900</xdr:colOff>
      <xdr:row>42</xdr:row>
      <xdr:rowOff>6195</xdr:rowOff>
    </xdr:to>
    <xdr:cxnSp macro="">
      <xdr:nvCxnSpPr>
        <xdr:cNvPr id="11" name="Straight Connector 10">
          <a:extLst>
            <a:ext uri="{FF2B5EF4-FFF2-40B4-BE49-F238E27FC236}">
              <a16:creationId xmlns:a16="http://schemas.microsoft.com/office/drawing/2014/main" id="{CC41F9DE-C79F-4DD8-99D9-A65AA071EBA0}"/>
            </a:ext>
          </a:extLst>
        </xdr:cNvPr>
        <xdr:cNvCxnSpPr/>
      </xdr:nvCxnSpPr>
      <xdr:spPr>
        <a:xfrm>
          <a:off x="851316" y="88486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D3649D84-0397-43FE-98E8-374C8D6406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187158</xdr:rowOff>
    </xdr:from>
    <xdr:to>
      <xdr:col>1</xdr:col>
      <xdr:colOff>1564105</xdr:colOff>
      <xdr:row>20</xdr:row>
      <xdr:rowOff>0</xdr:rowOff>
    </xdr:to>
    <xdr:cxnSp macro="">
      <xdr:nvCxnSpPr>
        <xdr:cNvPr id="8" name="Straight Connector 7">
          <a:extLst>
            <a:ext uri="{FF2B5EF4-FFF2-40B4-BE49-F238E27FC236}">
              <a16:creationId xmlns:a16="http://schemas.microsoft.com/office/drawing/2014/main" id="{427962E7-7147-4E72-8AD3-D1D10F31B8BD}"/>
            </a:ext>
          </a:extLst>
        </xdr:cNvPr>
        <xdr:cNvCxnSpPr/>
      </xdr:nvCxnSpPr>
      <xdr:spPr>
        <a:xfrm flipV="1">
          <a:off x="822080" y="7432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514DC5F6-7C11-4669-9DC8-FDCEA03BAA1E}"/>
            </a:ext>
          </a:extLst>
        </xdr:cNvPr>
        <xdr:cNvCxnSpPr/>
      </xdr:nvCxnSpPr>
      <xdr:spPr>
        <a:xfrm>
          <a:off x="4683125" y="7445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E67931DB-EB70-4EE8-8386-8F5B39AB6D6C}"/>
            </a:ext>
          </a:extLst>
        </xdr:cNvPr>
        <xdr:cNvCxnSpPr/>
      </xdr:nvCxnSpPr>
      <xdr:spPr>
        <a:xfrm flipV="1">
          <a:off x="8867653" y="7416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3B99B3B7-0D24-490A-BBBF-4DFD2CD96F4A}"/>
            </a:ext>
          </a:extLst>
        </xdr:cNvPr>
        <xdr:cNvCxnSpPr/>
      </xdr:nvCxnSpPr>
      <xdr:spPr>
        <a:xfrm>
          <a:off x="851316" y="91089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24DA80BE-8AB2-4F30-8FBA-AB04847704C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8" name="Straight Connector 7">
          <a:extLst>
            <a:ext uri="{FF2B5EF4-FFF2-40B4-BE49-F238E27FC236}">
              <a16:creationId xmlns:a16="http://schemas.microsoft.com/office/drawing/2014/main" id="{EE81F0EC-FFD5-4AB5-9D45-11E3805AB345}"/>
            </a:ext>
          </a:extLst>
        </xdr:cNvPr>
        <xdr:cNvCxnSpPr/>
      </xdr:nvCxnSpPr>
      <xdr:spPr>
        <a:xfrm flipV="1">
          <a:off x="822080" y="44035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9" name="Straight Connector 8">
          <a:extLst>
            <a:ext uri="{FF2B5EF4-FFF2-40B4-BE49-F238E27FC236}">
              <a16:creationId xmlns:a16="http://schemas.microsoft.com/office/drawing/2014/main" id="{989D345E-78DE-4C1A-BC55-2127725BCAAD}"/>
            </a:ext>
          </a:extLst>
        </xdr:cNvPr>
        <xdr:cNvCxnSpPr/>
      </xdr:nvCxnSpPr>
      <xdr:spPr>
        <a:xfrm>
          <a:off x="4683125" y="44164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F2C71B5C-33E0-4E49-8E85-81B1812BBADD}"/>
            </a:ext>
          </a:extLst>
        </xdr:cNvPr>
        <xdr:cNvCxnSpPr/>
      </xdr:nvCxnSpPr>
      <xdr:spPr>
        <a:xfrm flipV="1">
          <a:off x="8867653" y="43878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39</xdr:row>
      <xdr:rowOff>3097</xdr:rowOff>
    </xdr:from>
    <xdr:to>
      <xdr:col>1</xdr:col>
      <xdr:colOff>1550900</xdr:colOff>
      <xdr:row>39</xdr:row>
      <xdr:rowOff>6195</xdr:rowOff>
    </xdr:to>
    <xdr:cxnSp macro="">
      <xdr:nvCxnSpPr>
        <xdr:cNvPr id="11" name="Straight Connector 10">
          <a:extLst>
            <a:ext uri="{FF2B5EF4-FFF2-40B4-BE49-F238E27FC236}">
              <a16:creationId xmlns:a16="http://schemas.microsoft.com/office/drawing/2014/main" id="{6A7E0110-F5A8-46BD-B987-77CA56029AB2}"/>
            </a:ext>
          </a:extLst>
        </xdr:cNvPr>
        <xdr:cNvCxnSpPr/>
      </xdr:nvCxnSpPr>
      <xdr:spPr>
        <a:xfrm>
          <a:off x="851316" y="60800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710586AF-B289-4758-8984-0ACA03DB0C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28</xdr:row>
      <xdr:rowOff>187158</xdr:rowOff>
    </xdr:from>
    <xdr:to>
      <xdr:col>1</xdr:col>
      <xdr:colOff>1564105</xdr:colOff>
      <xdr:row>29</xdr:row>
      <xdr:rowOff>0</xdr:rowOff>
    </xdr:to>
    <xdr:cxnSp macro="">
      <xdr:nvCxnSpPr>
        <xdr:cNvPr id="8" name="Straight Connector 7">
          <a:extLst>
            <a:ext uri="{FF2B5EF4-FFF2-40B4-BE49-F238E27FC236}">
              <a16:creationId xmlns:a16="http://schemas.microsoft.com/office/drawing/2014/main" id="{B1B388B1-6A0B-481C-A612-34F87BB7ADD5}"/>
            </a:ext>
          </a:extLst>
        </xdr:cNvPr>
        <xdr:cNvCxnSpPr/>
      </xdr:nvCxnSpPr>
      <xdr:spPr>
        <a:xfrm flipV="1">
          <a:off x="822080" y="65371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29</xdr:row>
      <xdr:rowOff>9525</xdr:rowOff>
    </xdr:from>
    <xdr:to>
      <xdr:col>5</xdr:col>
      <xdr:colOff>820737</xdr:colOff>
      <xdr:row>29</xdr:row>
      <xdr:rowOff>9525</xdr:rowOff>
    </xdr:to>
    <xdr:cxnSp macro="">
      <xdr:nvCxnSpPr>
        <xdr:cNvPr id="9" name="Straight Connector 8">
          <a:extLst>
            <a:ext uri="{FF2B5EF4-FFF2-40B4-BE49-F238E27FC236}">
              <a16:creationId xmlns:a16="http://schemas.microsoft.com/office/drawing/2014/main" id="{9489A50D-D339-4992-AE73-5595D3EA8147}"/>
            </a:ext>
          </a:extLst>
        </xdr:cNvPr>
        <xdr:cNvCxnSpPr/>
      </xdr:nvCxnSpPr>
      <xdr:spPr>
        <a:xfrm>
          <a:off x="4683125" y="65500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28</xdr:row>
      <xdr:rowOff>171450</xdr:rowOff>
    </xdr:from>
    <xdr:to>
      <xdr:col>10</xdr:col>
      <xdr:colOff>1739900</xdr:colOff>
      <xdr:row>29</xdr:row>
      <xdr:rowOff>0</xdr:rowOff>
    </xdr:to>
    <xdr:cxnSp macro="">
      <xdr:nvCxnSpPr>
        <xdr:cNvPr id="10" name="Straight Connector 9">
          <a:extLst>
            <a:ext uri="{FF2B5EF4-FFF2-40B4-BE49-F238E27FC236}">
              <a16:creationId xmlns:a16="http://schemas.microsoft.com/office/drawing/2014/main" id="{5E52741D-8044-45EF-A2C2-41CB82DDF50A}"/>
            </a:ext>
          </a:extLst>
        </xdr:cNvPr>
        <xdr:cNvCxnSpPr/>
      </xdr:nvCxnSpPr>
      <xdr:spPr>
        <a:xfrm flipV="1">
          <a:off x="8867653" y="65214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38</xdr:row>
      <xdr:rowOff>3097</xdr:rowOff>
    </xdr:from>
    <xdr:to>
      <xdr:col>1</xdr:col>
      <xdr:colOff>1550900</xdr:colOff>
      <xdr:row>38</xdr:row>
      <xdr:rowOff>6195</xdr:rowOff>
    </xdr:to>
    <xdr:cxnSp macro="">
      <xdr:nvCxnSpPr>
        <xdr:cNvPr id="11" name="Straight Connector 10">
          <a:extLst>
            <a:ext uri="{FF2B5EF4-FFF2-40B4-BE49-F238E27FC236}">
              <a16:creationId xmlns:a16="http://schemas.microsoft.com/office/drawing/2014/main" id="{5383AFEF-B292-48B4-BDFB-305D4CC42E90}"/>
            </a:ext>
          </a:extLst>
        </xdr:cNvPr>
        <xdr:cNvCxnSpPr/>
      </xdr:nvCxnSpPr>
      <xdr:spPr>
        <a:xfrm>
          <a:off x="851316" y="82136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oneCellAnchor>
    <xdr:from>
      <xdr:col>0</xdr:col>
      <xdr:colOff>19051</xdr:colOff>
      <xdr:row>0</xdr:row>
      <xdr:rowOff>47625</xdr:rowOff>
    </xdr:from>
    <xdr:ext cx="1041399" cy="415925"/>
    <xdr:pic>
      <xdr:nvPicPr>
        <xdr:cNvPr id="7" name="Picture 6" descr="image001">
          <a:extLst>
            <a:ext uri="{FF2B5EF4-FFF2-40B4-BE49-F238E27FC236}">
              <a16:creationId xmlns:a16="http://schemas.microsoft.com/office/drawing/2014/main" id="{85DDD2F1-40C6-4707-9534-0AC6612B6EA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041399" cy="415925"/>
        </a:xfrm>
        <a:prstGeom prst="rect">
          <a:avLst/>
        </a:prstGeom>
        <a:noFill/>
        <a:ln>
          <a:noFill/>
        </a:ln>
      </xdr:spPr>
    </xdr:pic>
    <xdr:clientData/>
  </xdr:oneCellAnchor>
  <xdr:twoCellAnchor>
    <xdr:from>
      <xdr:col>1</xdr:col>
      <xdr:colOff>390280</xdr:colOff>
      <xdr:row>32</xdr:row>
      <xdr:rowOff>6350</xdr:rowOff>
    </xdr:from>
    <xdr:to>
      <xdr:col>1</xdr:col>
      <xdr:colOff>1511300</xdr:colOff>
      <xdr:row>32</xdr:row>
      <xdr:rowOff>6350</xdr:rowOff>
    </xdr:to>
    <xdr:cxnSp macro="">
      <xdr:nvCxnSpPr>
        <xdr:cNvPr id="8" name="Straight Connector 7">
          <a:extLst>
            <a:ext uri="{FF2B5EF4-FFF2-40B4-BE49-F238E27FC236}">
              <a16:creationId xmlns:a16="http://schemas.microsoft.com/office/drawing/2014/main" id="{427B49EE-EAAB-4342-8FC3-9742A73B8772}"/>
            </a:ext>
          </a:extLst>
        </xdr:cNvPr>
        <xdr:cNvCxnSpPr/>
      </xdr:nvCxnSpPr>
      <xdr:spPr>
        <a:xfrm>
          <a:off x="790330" y="6940550"/>
          <a:ext cx="112102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304800</xdr:colOff>
      <xdr:row>31</xdr:row>
      <xdr:rowOff>187325</xdr:rowOff>
    </xdr:from>
    <xdr:to>
      <xdr:col>5</xdr:col>
      <xdr:colOff>820737</xdr:colOff>
      <xdr:row>32</xdr:row>
      <xdr:rowOff>0</xdr:rowOff>
    </xdr:to>
    <xdr:cxnSp macro="">
      <xdr:nvCxnSpPr>
        <xdr:cNvPr id="9" name="Straight Connector 8">
          <a:extLst>
            <a:ext uri="{FF2B5EF4-FFF2-40B4-BE49-F238E27FC236}">
              <a16:creationId xmlns:a16="http://schemas.microsoft.com/office/drawing/2014/main" id="{3915F018-C664-4313-A398-79B2BA7B1827}"/>
            </a:ext>
          </a:extLst>
        </xdr:cNvPr>
        <xdr:cNvCxnSpPr/>
      </xdr:nvCxnSpPr>
      <xdr:spPr>
        <a:xfrm flipV="1">
          <a:off x="4635500" y="6931025"/>
          <a:ext cx="87153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99CCA4A8-D70E-431A-A06E-4B8436D4F51E}"/>
            </a:ext>
          </a:extLst>
        </xdr:cNvPr>
        <xdr:cNvCxnSpPr/>
      </xdr:nvCxnSpPr>
      <xdr:spPr>
        <a:xfrm flipV="1">
          <a:off x="8867653" y="61023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1E73EA4D-F2EC-435E-A3E6-324DC6CAB9E4}"/>
            </a:ext>
          </a:extLst>
        </xdr:cNvPr>
        <xdr:cNvCxnSpPr/>
      </xdr:nvCxnSpPr>
      <xdr:spPr>
        <a:xfrm>
          <a:off x="851316" y="7794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7E03286D-3B51-4B2D-A257-746B1CC601F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8" name="Straight Connector 7">
          <a:extLst>
            <a:ext uri="{FF2B5EF4-FFF2-40B4-BE49-F238E27FC236}">
              <a16:creationId xmlns:a16="http://schemas.microsoft.com/office/drawing/2014/main" id="{25121F74-A92C-4C8D-B5B6-1BBA60303F77}"/>
            </a:ext>
          </a:extLst>
        </xdr:cNvPr>
        <xdr:cNvCxnSpPr/>
      </xdr:nvCxnSpPr>
      <xdr:spPr>
        <a:xfrm flipV="1">
          <a:off x="822080" y="7432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346075</xdr:colOff>
      <xdr:row>29</xdr:row>
      <xdr:rowOff>177800</xdr:rowOff>
    </xdr:from>
    <xdr:to>
      <xdr:col>5</xdr:col>
      <xdr:colOff>654050</xdr:colOff>
      <xdr:row>29</xdr:row>
      <xdr:rowOff>187325</xdr:rowOff>
    </xdr:to>
    <xdr:cxnSp macro="">
      <xdr:nvCxnSpPr>
        <xdr:cNvPr id="9" name="Straight Connector 8">
          <a:extLst>
            <a:ext uri="{FF2B5EF4-FFF2-40B4-BE49-F238E27FC236}">
              <a16:creationId xmlns:a16="http://schemas.microsoft.com/office/drawing/2014/main" id="{F5E06CF4-E696-44A9-8071-A6D24F30A877}"/>
            </a:ext>
          </a:extLst>
        </xdr:cNvPr>
        <xdr:cNvCxnSpPr/>
      </xdr:nvCxnSpPr>
      <xdr:spPr>
        <a:xfrm flipV="1">
          <a:off x="4486275" y="6242050"/>
          <a:ext cx="1019175" cy="95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DE93D699-7722-4E2E-8DB4-797261C72C56}"/>
            </a:ext>
          </a:extLst>
        </xdr:cNvPr>
        <xdr:cNvCxnSpPr/>
      </xdr:nvCxnSpPr>
      <xdr:spPr>
        <a:xfrm flipV="1">
          <a:off x="8867653" y="7416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39</xdr:row>
      <xdr:rowOff>3097</xdr:rowOff>
    </xdr:from>
    <xdr:to>
      <xdr:col>1</xdr:col>
      <xdr:colOff>1550900</xdr:colOff>
      <xdr:row>39</xdr:row>
      <xdr:rowOff>6195</xdr:rowOff>
    </xdr:to>
    <xdr:cxnSp macro="">
      <xdr:nvCxnSpPr>
        <xdr:cNvPr id="11" name="Straight Connector 10">
          <a:extLst>
            <a:ext uri="{FF2B5EF4-FFF2-40B4-BE49-F238E27FC236}">
              <a16:creationId xmlns:a16="http://schemas.microsoft.com/office/drawing/2014/main" id="{5618B326-BE38-48C5-8489-753521B5F7C1}"/>
            </a:ext>
          </a:extLst>
        </xdr:cNvPr>
        <xdr:cNvCxnSpPr/>
      </xdr:nvCxnSpPr>
      <xdr:spPr>
        <a:xfrm>
          <a:off x="851316" y="91089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B068AD27-3403-4DC2-9BFE-398F4DE8E98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27</xdr:row>
      <xdr:rowOff>187158</xdr:rowOff>
    </xdr:from>
    <xdr:to>
      <xdr:col>1</xdr:col>
      <xdr:colOff>1564105</xdr:colOff>
      <xdr:row>28</xdr:row>
      <xdr:rowOff>0</xdr:rowOff>
    </xdr:to>
    <xdr:cxnSp macro="">
      <xdr:nvCxnSpPr>
        <xdr:cNvPr id="8" name="Straight Connector 7">
          <a:extLst>
            <a:ext uri="{FF2B5EF4-FFF2-40B4-BE49-F238E27FC236}">
              <a16:creationId xmlns:a16="http://schemas.microsoft.com/office/drawing/2014/main" id="{99550BFD-9FC3-4B5F-A79B-93E62797804E}"/>
            </a:ext>
          </a:extLst>
        </xdr:cNvPr>
        <xdr:cNvCxnSpPr/>
      </xdr:nvCxnSpPr>
      <xdr:spPr>
        <a:xfrm flipV="1">
          <a:off x="822080" y="7432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28</xdr:row>
      <xdr:rowOff>9525</xdr:rowOff>
    </xdr:from>
    <xdr:to>
      <xdr:col>5</xdr:col>
      <xdr:colOff>820737</xdr:colOff>
      <xdr:row>28</xdr:row>
      <xdr:rowOff>9525</xdr:rowOff>
    </xdr:to>
    <xdr:cxnSp macro="">
      <xdr:nvCxnSpPr>
        <xdr:cNvPr id="9" name="Straight Connector 8">
          <a:extLst>
            <a:ext uri="{FF2B5EF4-FFF2-40B4-BE49-F238E27FC236}">
              <a16:creationId xmlns:a16="http://schemas.microsoft.com/office/drawing/2014/main" id="{1ECE87C4-1920-464A-B874-58BF196CE2F6}"/>
            </a:ext>
          </a:extLst>
        </xdr:cNvPr>
        <xdr:cNvCxnSpPr/>
      </xdr:nvCxnSpPr>
      <xdr:spPr>
        <a:xfrm>
          <a:off x="4683125" y="7445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10" name="Straight Connector 9">
          <a:extLst>
            <a:ext uri="{FF2B5EF4-FFF2-40B4-BE49-F238E27FC236}">
              <a16:creationId xmlns:a16="http://schemas.microsoft.com/office/drawing/2014/main" id="{0449DB43-8702-465E-9156-4BD7DA6DE980}"/>
            </a:ext>
          </a:extLst>
        </xdr:cNvPr>
        <xdr:cNvCxnSpPr/>
      </xdr:nvCxnSpPr>
      <xdr:spPr>
        <a:xfrm flipV="1">
          <a:off x="8867653" y="7416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37</xdr:row>
      <xdr:rowOff>3097</xdr:rowOff>
    </xdr:from>
    <xdr:to>
      <xdr:col>1</xdr:col>
      <xdr:colOff>1550900</xdr:colOff>
      <xdr:row>37</xdr:row>
      <xdr:rowOff>6195</xdr:rowOff>
    </xdr:to>
    <xdr:cxnSp macro="">
      <xdr:nvCxnSpPr>
        <xdr:cNvPr id="11" name="Straight Connector 10">
          <a:extLst>
            <a:ext uri="{FF2B5EF4-FFF2-40B4-BE49-F238E27FC236}">
              <a16:creationId xmlns:a16="http://schemas.microsoft.com/office/drawing/2014/main" id="{D2883A87-E911-425E-8E4D-2D0D594A2C84}"/>
            </a:ext>
          </a:extLst>
        </xdr:cNvPr>
        <xdr:cNvCxnSpPr/>
      </xdr:nvCxnSpPr>
      <xdr:spPr>
        <a:xfrm>
          <a:off x="851316" y="91089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869A6728-6B35-4EB9-87D1-C897C43883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33</xdr:row>
      <xdr:rowOff>187158</xdr:rowOff>
    </xdr:from>
    <xdr:to>
      <xdr:col>1</xdr:col>
      <xdr:colOff>1564105</xdr:colOff>
      <xdr:row>34</xdr:row>
      <xdr:rowOff>0</xdr:rowOff>
    </xdr:to>
    <xdr:cxnSp macro="">
      <xdr:nvCxnSpPr>
        <xdr:cNvPr id="8" name="Straight Connector 7">
          <a:extLst>
            <a:ext uri="{FF2B5EF4-FFF2-40B4-BE49-F238E27FC236}">
              <a16:creationId xmlns:a16="http://schemas.microsoft.com/office/drawing/2014/main" id="{39E8B881-77CC-4874-89FA-C750087379EF}"/>
            </a:ext>
          </a:extLst>
        </xdr:cNvPr>
        <xdr:cNvCxnSpPr/>
      </xdr:nvCxnSpPr>
      <xdr:spPr>
        <a:xfrm flipV="1">
          <a:off x="822080" y="68229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34</xdr:row>
      <xdr:rowOff>9525</xdr:rowOff>
    </xdr:from>
    <xdr:to>
      <xdr:col>5</xdr:col>
      <xdr:colOff>820737</xdr:colOff>
      <xdr:row>34</xdr:row>
      <xdr:rowOff>9525</xdr:rowOff>
    </xdr:to>
    <xdr:cxnSp macro="">
      <xdr:nvCxnSpPr>
        <xdr:cNvPr id="9" name="Straight Connector 8">
          <a:extLst>
            <a:ext uri="{FF2B5EF4-FFF2-40B4-BE49-F238E27FC236}">
              <a16:creationId xmlns:a16="http://schemas.microsoft.com/office/drawing/2014/main" id="{76CEAAEF-EE1C-48D5-B2D6-59019C89855B}"/>
            </a:ext>
          </a:extLst>
        </xdr:cNvPr>
        <xdr:cNvCxnSpPr/>
      </xdr:nvCxnSpPr>
      <xdr:spPr>
        <a:xfrm>
          <a:off x="4683125" y="68357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33</xdr:row>
      <xdr:rowOff>171450</xdr:rowOff>
    </xdr:from>
    <xdr:to>
      <xdr:col>10</xdr:col>
      <xdr:colOff>1739900</xdr:colOff>
      <xdr:row>34</xdr:row>
      <xdr:rowOff>0</xdr:rowOff>
    </xdr:to>
    <xdr:cxnSp macro="">
      <xdr:nvCxnSpPr>
        <xdr:cNvPr id="10" name="Straight Connector 9">
          <a:extLst>
            <a:ext uri="{FF2B5EF4-FFF2-40B4-BE49-F238E27FC236}">
              <a16:creationId xmlns:a16="http://schemas.microsoft.com/office/drawing/2014/main" id="{0CB3E47E-AA6C-4FED-AC97-07C8368A27CF}"/>
            </a:ext>
          </a:extLst>
        </xdr:cNvPr>
        <xdr:cNvCxnSpPr/>
      </xdr:nvCxnSpPr>
      <xdr:spPr>
        <a:xfrm flipV="1">
          <a:off x="8842253" y="68072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43</xdr:row>
      <xdr:rowOff>3097</xdr:rowOff>
    </xdr:from>
    <xdr:to>
      <xdr:col>1</xdr:col>
      <xdr:colOff>1550900</xdr:colOff>
      <xdr:row>43</xdr:row>
      <xdr:rowOff>6195</xdr:rowOff>
    </xdr:to>
    <xdr:cxnSp macro="">
      <xdr:nvCxnSpPr>
        <xdr:cNvPr id="11" name="Straight Connector 10">
          <a:extLst>
            <a:ext uri="{FF2B5EF4-FFF2-40B4-BE49-F238E27FC236}">
              <a16:creationId xmlns:a16="http://schemas.microsoft.com/office/drawing/2014/main" id="{EDECE96C-C79E-4BA7-8B37-58E059A384E4}"/>
            </a:ext>
          </a:extLst>
        </xdr:cNvPr>
        <xdr:cNvCxnSpPr/>
      </xdr:nvCxnSpPr>
      <xdr:spPr>
        <a:xfrm>
          <a:off x="851316" y="84930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47D36993-F607-447E-8F0F-C59B7F2AC7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422030</xdr:colOff>
      <xdr:row>30</xdr:row>
      <xdr:rowOff>187158</xdr:rowOff>
    </xdr:from>
    <xdr:to>
      <xdr:col>1</xdr:col>
      <xdr:colOff>1564105</xdr:colOff>
      <xdr:row>31</xdr:row>
      <xdr:rowOff>0</xdr:rowOff>
    </xdr:to>
    <xdr:cxnSp macro="">
      <xdr:nvCxnSpPr>
        <xdr:cNvPr id="8" name="Straight Connector 7">
          <a:extLst>
            <a:ext uri="{FF2B5EF4-FFF2-40B4-BE49-F238E27FC236}">
              <a16:creationId xmlns:a16="http://schemas.microsoft.com/office/drawing/2014/main" id="{C545B9CD-9321-4770-AEB1-1BC821F957F6}"/>
            </a:ext>
          </a:extLst>
        </xdr:cNvPr>
        <xdr:cNvCxnSpPr/>
      </xdr:nvCxnSpPr>
      <xdr:spPr>
        <a:xfrm flipV="1">
          <a:off x="822080" y="7178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31</xdr:row>
      <xdr:rowOff>9525</xdr:rowOff>
    </xdr:from>
    <xdr:to>
      <xdr:col>5</xdr:col>
      <xdr:colOff>820737</xdr:colOff>
      <xdr:row>31</xdr:row>
      <xdr:rowOff>9525</xdr:rowOff>
    </xdr:to>
    <xdr:cxnSp macro="">
      <xdr:nvCxnSpPr>
        <xdr:cNvPr id="9" name="Straight Connector 8">
          <a:extLst>
            <a:ext uri="{FF2B5EF4-FFF2-40B4-BE49-F238E27FC236}">
              <a16:creationId xmlns:a16="http://schemas.microsoft.com/office/drawing/2014/main" id="{7AFFD0D5-7DCC-4EAB-9006-37DED8747C85}"/>
            </a:ext>
          </a:extLst>
        </xdr:cNvPr>
        <xdr:cNvCxnSpPr/>
      </xdr:nvCxnSpPr>
      <xdr:spPr>
        <a:xfrm>
          <a:off x="4683125" y="7191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30</xdr:row>
      <xdr:rowOff>171450</xdr:rowOff>
    </xdr:from>
    <xdr:to>
      <xdr:col>10</xdr:col>
      <xdr:colOff>1739900</xdr:colOff>
      <xdr:row>31</xdr:row>
      <xdr:rowOff>0</xdr:rowOff>
    </xdr:to>
    <xdr:cxnSp macro="">
      <xdr:nvCxnSpPr>
        <xdr:cNvPr id="10" name="Straight Connector 9">
          <a:extLst>
            <a:ext uri="{FF2B5EF4-FFF2-40B4-BE49-F238E27FC236}">
              <a16:creationId xmlns:a16="http://schemas.microsoft.com/office/drawing/2014/main" id="{11174AEE-4440-47FF-9195-A25E0B0C90D0}"/>
            </a:ext>
          </a:extLst>
        </xdr:cNvPr>
        <xdr:cNvCxnSpPr/>
      </xdr:nvCxnSpPr>
      <xdr:spPr>
        <a:xfrm flipV="1">
          <a:off x="8842253" y="7162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40</xdr:row>
      <xdr:rowOff>3097</xdr:rowOff>
    </xdr:from>
    <xdr:to>
      <xdr:col>1</xdr:col>
      <xdr:colOff>1550900</xdr:colOff>
      <xdr:row>40</xdr:row>
      <xdr:rowOff>6195</xdr:rowOff>
    </xdr:to>
    <xdr:cxnSp macro="">
      <xdr:nvCxnSpPr>
        <xdr:cNvPr id="11" name="Straight Connector 10">
          <a:extLst>
            <a:ext uri="{FF2B5EF4-FFF2-40B4-BE49-F238E27FC236}">
              <a16:creationId xmlns:a16="http://schemas.microsoft.com/office/drawing/2014/main" id="{A73D3B48-095F-4959-BC52-BD6552734537}"/>
            </a:ext>
          </a:extLst>
        </xdr:cNvPr>
        <xdr:cNvCxnSpPr/>
      </xdr:nvCxnSpPr>
      <xdr:spPr>
        <a:xfrm>
          <a:off x="851316" y="88486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0</xdr:rowOff>
    </xdr:from>
    <xdr:ext cx="1381124" cy="523875"/>
    <xdr:pic>
      <xdr:nvPicPr>
        <xdr:cNvPr id="7" name="Picture 6" descr="image001">
          <a:extLst>
            <a:ext uri="{FF2B5EF4-FFF2-40B4-BE49-F238E27FC236}">
              <a16:creationId xmlns:a16="http://schemas.microsoft.com/office/drawing/2014/main" id="{CA7CFF66-0FEE-4BCE-806C-163041EF4D6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1124" cy="5238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8" name="Straight Connector 7">
          <a:extLst>
            <a:ext uri="{FF2B5EF4-FFF2-40B4-BE49-F238E27FC236}">
              <a16:creationId xmlns:a16="http://schemas.microsoft.com/office/drawing/2014/main" id="{C5726F4E-EFB7-4645-B990-75FE0F8F201A}"/>
            </a:ext>
          </a:extLst>
        </xdr:cNvPr>
        <xdr:cNvCxnSpPr/>
      </xdr:nvCxnSpPr>
      <xdr:spPr>
        <a:xfrm flipV="1">
          <a:off x="822080" y="60863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9" name="Straight Connector 8">
          <a:extLst>
            <a:ext uri="{FF2B5EF4-FFF2-40B4-BE49-F238E27FC236}">
              <a16:creationId xmlns:a16="http://schemas.microsoft.com/office/drawing/2014/main" id="{55F4307B-5185-4971-B1AF-13FA08136EBF}"/>
            </a:ext>
          </a:extLst>
        </xdr:cNvPr>
        <xdr:cNvCxnSpPr/>
      </xdr:nvCxnSpPr>
      <xdr:spPr>
        <a:xfrm>
          <a:off x="4683125" y="60991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7039328B-E62E-4E1C-9268-9F80EB540A19}"/>
            </a:ext>
          </a:extLst>
        </xdr:cNvPr>
        <xdr:cNvCxnSpPr/>
      </xdr:nvCxnSpPr>
      <xdr:spPr>
        <a:xfrm flipV="1">
          <a:off x="8842253" y="60706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37</xdr:row>
      <xdr:rowOff>3097</xdr:rowOff>
    </xdr:from>
    <xdr:to>
      <xdr:col>1</xdr:col>
      <xdr:colOff>1550900</xdr:colOff>
      <xdr:row>37</xdr:row>
      <xdr:rowOff>6195</xdr:rowOff>
    </xdr:to>
    <xdr:cxnSp macro="">
      <xdr:nvCxnSpPr>
        <xdr:cNvPr id="11" name="Straight Connector 10">
          <a:extLst>
            <a:ext uri="{FF2B5EF4-FFF2-40B4-BE49-F238E27FC236}">
              <a16:creationId xmlns:a16="http://schemas.microsoft.com/office/drawing/2014/main" id="{3FD5D896-BB67-4417-A6C5-0CFCB0FD367A}"/>
            </a:ext>
          </a:extLst>
        </xdr:cNvPr>
        <xdr:cNvCxnSpPr/>
      </xdr:nvCxnSpPr>
      <xdr:spPr>
        <a:xfrm>
          <a:off x="851316" y="7388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oneCellAnchor>
    <xdr:from>
      <xdr:col>0</xdr:col>
      <xdr:colOff>0</xdr:colOff>
      <xdr:row>0</xdr:row>
      <xdr:rowOff>0</xdr:rowOff>
    </xdr:from>
    <xdr:ext cx="1381124" cy="523875"/>
    <xdr:pic>
      <xdr:nvPicPr>
        <xdr:cNvPr id="6" name="Picture 5" descr="image001">
          <a:extLst>
            <a:ext uri="{FF2B5EF4-FFF2-40B4-BE49-F238E27FC236}">
              <a16:creationId xmlns:a16="http://schemas.microsoft.com/office/drawing/2014/main" id="{93FEADE5-B9B7-4CEF-AE25-BCF747A0047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81124" cy="5238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7" name="Straight Connector 6">
          <a:extLst>
            <a:ext uri="{FF2B5EF4-FFF2-40B4-BE49-F238E27FC236}">
              <a16:creationId xmlns:a16="http://schemas.microsoft.com/office/drawing/2014/main" id="{3D9B015A-AB9D-4020-B8BF-B391C0002753}"/>
            </a:ext>
          </a:extLst>
        </xdr:cNvPr>
        <xdr:cNvCxnSpPr/>
      </xdr:nvCxnSpPr>
      <xdr:spPr>
        <a:xfrm flipV="1">
          <a:off x="822080" y="64546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8" name="Straight Connector 7">
          <a:extLst>
            <a:ext uri="{FF2B5EF4-FFF2-40B4-BE49-F238E27FC236}">
              <a16:creationId xmlns:a16="http://schemas.microsoft.com/office/drawing/2014/main" id="{C2F7ADD1-66A6-4C5A-9E12-8298E47C6086}"/>
            </a:ext>
          </a:extLst>
        </xdr:cNvPr>
        <xdr:cNvCxnSpPr/>
      </xdr:nvCxnSpPr>
      <xdr:spPr>
        <a:xfrm>
          <a:off x="4683125" y="64674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9" name="Straight Connector 8">
          <a:extLst>
            <a:ext uri="{FF2B5EF4-FFF2-40B4-BE49-F238E27FC236}">
              <a16:creationId xmlns:a16="http://schemas.microsoft.com/office/drawing/2014/main" id="{F466516E-9D45-4853-9963-80980CAC7A1C}"/>
            </a:ext>
          </a:extLst>
        </xdr:cNvPr>
        <xdr:cNvCxnSpPr/>
      </xdr:nvCxnSpPr>
      <xdr:spPr>
        <a:xfrm flipV="1">
          <a:off x="8842253" y="6438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oneCellAnchor>
    <xdr:from>
      <xdr:col>0</xdr:col>
      <xdr:colOff>0</xdr:colOff>
      <xdr:row>0</xdr:row>
      <xdr:rowOff>1</xdr:rowOff>
    </xdr:from>
    <xdr:ext cx="1085850" cy="393700"/>
    <xdr:pic>
      <xdr:nvPicPr>
        <xdr:cNvPr id="6" name="Picture 5" descr="image001">
          <a:extLst>
            <a:ext uri="{FF2B5EF4-FFF2-40B4-BE49-F238E27FC236}">
              <a16:creationId xmlns:a16="http://schemas.microsoft.com/office/drawing/2014/main" id="{D40F8F62-57B4-45FD-AE24-2ED9055DD4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085850" cy="393700"/>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7" name="Straight Connector 6">
          <a:extLst>
            <a:ext uri="{FF2B5EF4-FFF2-40B4-BE49-F238E27FC236}">
              <a16:creationId xmlns:a16="http://schemas.microsoft.com/office/drawing/2014/main" id="{FCD5C0E2-A2D8-40C7-A1D5-B272C2B53B06}"/>
            </a:ext>
          </a:extLst>
        </xdr:cNvPr>
        <xdr:cNvCxnSpPr/>
      </xdr:nvCxnSpPr>
      <xdr:spPr>
        <a:xfrm flipV="1">
          <a:off x="822080" y="6670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800100</xdr:colOff>
      <xdr:row>29</xdr:row>
      <xdr:rowOff>184150</xdr:rowOff>
    </xdr:from>
    <xdr:to>
      <xdr:col>5</xdr:col>
      <xdr:colOff>6350</xdr:colOff>
      <xdr:row>30</xdr:row>
      <xdr:rowOff>0</xdr:rowOff>
    </xdr:to>
    <xdr:cxnSp macro="">
      <xdr:nvCxnSpPr>
        <xdr:cNvPr id="8" name="Straight Connector 7">
          <a:extLst>
            <a:ext uri="{FF2B5EF4-FFF2-40B4-BE49-F238E27FC236}">
              <a16:creationId xmlns:a16="http://schemas.microsoft.com/office/drawing/2014/main" id="{9A4D2FC7-92DD-400E-9FA5-3B5EB84DCD3C}"/>
            </a:ext>
          </a:extLst>
        </xdr:cNvPr>
        <xdr:cNvCxnSpPr/>
      </xdr:nvCxnSpPr>
      <xdr:spPr>
        <a:xfrm>
          <a:off x="3556000" y="6565900"/>
          <a:ext cx="1136650" cy="63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9" name="Straight Connector 8">
          <a:extLst>
            <a:ext uri="{FF2B5EF4-FFF2-40B4-BE49-F238E27FC236}">
              <a16:creationId xmlns:a16="http://schemas.microsoft.com/office/drawing/2014/main" id="{C5840609-A8AE-444A-958F-52D63DB873B8}"/>
            </a:ext>
          </a:extLst>
        </xdr:cNvPr>
        <xdr:cNvCxnSpPr/>
      </xdr:nvCxnSpPr>
      <xdr:spPr>
        <a:xfrm flipV="1">
          <a:off x="8842253" y="6654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603250</xdr:colOff>
      <xdr:row>39</xdr:row>
      <xdr:rowOff>177800</xdr:rowOff>
    </xdr:from>
    <xdr:to>
      <xdr:col>1</xdr:col>
      <xdr:colOff>1695450</xdr:colOff>
      <xdr:row>39</xdr:row>
      <xdr:rowOff>177800</xdr:rowOff>
    </xdr:to>
    <xdr:cxnSp macro="">
      <xdr:nvCxnSpPr>
        <xdr:cNvPr id="10" name="Straight Connector 9">
          <a:extLst>
            <a:ext uri="{FF2B5EF4-FFF2-40B4-BE49-F238E27FC236}">
              <a16:creationId xmlns:a16="http://schemas.microsoft.com/office/drawing/2014/main" id="{3A040B48-1147-4AE8-9C99-3AEDB27E23F9}"/>
            </a:ext>
          </a:extLst>
        </xdr:cNvPr>
        <xdr:cNvCxnSpPr/>
      </xdr:nvCxnSpPr>
      <xdr:spPr>
        <a:xfrm>
          <a:off x="1003300" y="8489950"/>
          <a:ext cx="1092200" cy="0"/>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0</xdr:colOff>
      <xdr:row>40</xdr:row>
      <xdr:rowOff>0</xdr:rowOff>
    </xdr:from>
    <xdr:to>
      <xdr:col>2</xdr:col>
      <xdr:colOff>1092200</xdr:colOff>
      <xdr:row>40</xdr:row>
      <xdr:rowOff>0</xdr:rowOff>
    </xdr:to>
    <xdr:cxnSp macro="">
      <xdr:nvCxnSpPr>
        <xdr:cNvPr id="15" name="Straight Connector 14">
          <a:extLst>
            <a:ext uri="{FF2B5EF4-FFF2-40B4-BE49-F238E27FC236}">
              <a16:creationId xmlns:a16="http://schemas.microsoft.com/office/drawing/2014/main" id="{43BF4DA6-9606-42B5-BFDF-643C06EDE344}"/>
            </a:ext>
          </a:extLst>
        </xdr:cNvPr>
        <xdr:cNvCxnSpPr/>
      </xdr:nvCxnSpPr>
      <xdr:spPr>
        <a:xfrm>
          <a:off x="2755900" y="8496300"/>
          <a:ext cx="1092200" cy="0"/>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410BC1FC-34FB-40A6-B81E-DF3FC629AC4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22</xdr:row>
      <xdr:rowOff>0</xdr:rowOff>
    </xdr:from>
    <xdr:to>
      <xdr:col>1</xdr:col>
      <xdr:colOff>306387</xdr:colOff>
      <xdr:row>22</xdr:row>
      <xdr:rowOff>0</xdr:rowOff>
    </xdr:to>
    <xdr:cxnSp macro="">
      <xdr:nvCxnSpPr>
        <xdr:cNvPr id="3" name="Straight Connector 2">
          <a:extLst>
            <a:ext uri="{FF2B5EF4-FFF2-40B4-BE49-F238E27FC236}">
              <a16:creationId xmlns:a16="http://schemas.microsoft.com/office/drawing/2014/main" id="{3775FBB1-96A3-40BC-A596-7465650FCB04}"/>
            </a:ext>
          </a:extLst>
        </xdr:cNvPr>
        <xdr:cNvCxnSpPr/>
      </xdr:nvCxnSpPr>
      <xdr:spPr>
        <a:xfrm>
          <a:off x="19050" y="44450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22</xdr:row>
      <xdr:rowOff>0</xdr:rowOff>
    </xdr:from>
    <xdr:to>
      <xdr:col>5</xdr:col>
      <xdr:colOff>755650</xdr:colOff>
      <xdr:row>22</xdr:row>
      <xdr:rowOff>0</xdr:rowOff>
    </xdr:to>
    <xdr:cxnSp macro="">
      <xdr:nvCxnSpPr>
        <xdr:cNvPr id="4" name="Straight Connector 3">
          <a:extLst>
            <a:ext uri="{FF2B5EF4-FFF2-40B4-BE49-F238E27FC236}">
              <a16:creationId xmlns:a16="http://schemas.microsoft.com/office/drawing/2014/main" id="{F40CB05B-9195-478C-BAC6-94E3AAE0FE63}"/>
            </a:ext>
          </a:extLst>
        </xdr:cNvPr>
        <xdr:cNvCxnSpPr/>
      </xdr:nvCxnSpPr>
      <xdr:spPr>
        <a:xfrm>
          <a:off x="4108450" y="4445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22</xdr:row>
      <xdr:rowOff>6350</xdr:rowOff>
    </xdr:from>
    <xdr:to>
      <xdr:col>11</xdr:col>
      <xdr:colOff>139700</xdr:colOff>
      <xdr:row>22</xdr:row>
      <xdr:rowOff>6350</xdr:rowOff>
    </xdr:to>
    <xdr:cxnSp macro="">
      <xdr:nvCxnSpPr>
        <xdr:cNvPr id="5" name="Straight Connector 4">
          <a:extLst>
            <a:ext uri="{FF2B5EF4-FFF2-40B4-BE49-F238E27FC236}">
              <a16:creationId xmlns:a16="http://schemas.microsoft.com/office/drawing/2014/main" id="{000D3673-8BAE-4169-B676-B308DF8C72FB}"/>
            </a:ext>
          </a:extLst>
        </xdr:cNvPr>
        <xdr:cNvCxnSpPr/>
      </xdr:nvCxnSpPr>
      <xdr:spPr>
        <a:xfrm>
          <a:off x="9366250" y="4451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22</xdr:row>
      <xdr:rowOff>0</xdr:rowOff>
    </xdr:from>
    <xdr:to>
      <xdr:col>7</xdr:col>
      <xdr:colOff>775074</xdr:colOff>
      <xdr:row>22</xdr:row>
      <xdr:rowOff>3113</xdr:rowOff>
    </xdr:to>
    <xdr:cxnSp macro="">
      <xdr:nvCxnSpPr>
        <xdr:cNvPr id="6" name="Straight Connector 5">
          <a:extLst>
            <a:ext uri="{FF2B5EF4-FFF2-40B4-BE49-F238E27FC236}">
              <a16:creationId xmlns:a16="http://schemas.microsoft.com/office/drawing/2014/main" id="{2AE3C296-81CB-437E-A1B4-F504C2A589EB}"/>
            </a:ext>
          </a:extLst>
        </xdr:cNvPr>
        <xdr:cNvCxnSpPr/>
      </xdr:nvCxnSpPr>
      <xdr:spPr>
        <a:xfrm>
          <a:off x="5895663" y="44450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0895E3EA-9ACD-483A-9126-3E65A06927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23</xdr:row>
      <xdr:rowOff>0</xdr:rowOff>
    </xdr:from>
    <xdr:to>
      <xdr:col>1</xdr:col>
      <xdr:colOff>306387</xdr:colOff>
      <xdr:row>23</xdr:row>
      <xdr:rowOff>0</xdr:rowOff>
    </xdr:to>
    <xdr:cxnSp macro="">
      <xdr:nvCxnSpPr>
        <xdr:cNvPr id="8" name="Straight Connector 7">
          <a:extLst>
            <a:ext uri="{FF2B5EF4-FFF2-40B4-BE49-F238E27FC236}">
              <a16:creationId xmlns:a16="http://schemas.microsoft.com/office/drawing/2014/main" id="{E7C8CE8D-3BDD-4907-BE01-22F93E19BF58}"/>
            </a:ext>
          </a:extLst>
        </xdr:cNvPr>
        <xdr:cNvCxnSpPr/>
      </xdr:nvCxnSpPr>
      <xdr:spPr>
        <a:xfrm>
          <a:off x="19050" y="44450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23</xdr:row>
      <xdr:rowOff>0</xdr:rowOff>
    </xdr:from>
    <xdr:to>
      <xdr:col>5</xdr:col>
      <xdr:colOff>755650</xdr:colOff>
      <xdr:row>23</xdr:row>
      <xdr:rowOff>0</xdr:rowOff>
    </xdr:to>
    <xdr:cxnSp macro="">
      <xdr:nvCxnSpPr>
        <xdr:cNvPr id="9" name="Straight Connector 8">
          <a:extLst>
            <a:ext uri="{FF2B5EF4-FFF2-40B4-BE49-F238E27FC236}">
              <a16:creationId xmlns:a16="http://schemas.microsoft.com/office/drawing/2014/main" id="{44F05CFA-FEE9-438D-B498-5922B44638B1}"/>
            </a:ext>
          </a:extLst>
        </xdr:cNvPr>
        <xdr:cNvCxnSpPr/>
      </xdr:nvCxnSpPr>
      <xdr:spPr>
        <a:xfrm>
          <a:off x="4108450" y="4445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23</xdr:row>
      <xdr:rowOff>6350</xdr:rowOff>
    </xdr:from>
    <xdr:to>
      <xdr:col>11</xdr:col>
      <xdr:colOff>139700</xdr:colOff>
      <xdr:row>23</xdr:row>
      <xdr:rowOff>6350</xdr:rowOff>
    </xdr:to>
    <xdr:cxnSp macro="">
      <xdr:nvCxnSpPr>
        <xdr:cNvPr id="10" name="Straight Connector 9">
          <a:extLst>
            <a:ext uri="{FF2B5EF4-FFF2-40B4-BE49-F238E27FC236}">
              <a16:creationId xmlns:a16="http://schemas.microsoft.com/office/drawing/2014/main" id="{B46E1B38-9BE5-49CF-9F71-ABA544EEB5C9}"/>
            </a:ext>
          </a:extLst>
        </xdr:cNvPr>
        <xdr:cNvCxnSpPr/>
      </xdr:nvCxnSpPr>
      <xdr:spPr>
        <a:xfrm>
          <a:off x="9366250" y="4451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23</xdr:row>
      <xdr:rowOff>0</xdr:rowOff>
    </xdr:from>
    <xdr:to>
      <xdr:col>7</xdr:col>
      <xdr:colOff>775074</xdr:colOff>
      <xdr:row>23</xdr:row>
      <xdr:rowOff>3113</xdr:rowOff>
    </xdr:to>
    <xdr:cxnSp macro="">
      <xdr:nvCxnSpPr>
        <xdr:cNvPr id="11" name="Straight Connector 10">
          <a:extLst>
            <a:ext uri="{FF2B5EF4-FFF2-40B4-BE49-F238E27FC236}">
              <a16:creationId xmlns:a16="http://schemas.microsoft.com/office/drawing/2014/main" id="{2FCB43C7-B46E-4547-8B68-C787C8AF1A8F}"/>
            </a:ext>
          </a:extLst>
        </xdr:cNvPr>
        <xdr:cNvCxnSpPr/>
      </xdr:nvCxnSpPr>
      <xdr:spPr>
        <a:xfrm>
          <a:off x="5895663" y="44450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2C0A4CF0-B22C-406F-BE3B-598E3F48E6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30</xdr:row>
      <xdr:rowOff>0</xdr:rowOff>
    </xdr:from>
    <xdr:to>
      <xdr:col>1</xdr:col>
      <xdr:colOff>306387</xdr:colOff>
      <xdr:row>30</xdr:row>
      <xdr:rowOff>0</xdr:rowOff>
    </xdr:to>
    <xdr:cxnSp macro="">
      <xdr:nvCxnSpPr>
        <xdr:cNvPr id="8" name="Straight Connector 7">
          <a:extLst>
            <a:ext uri="{FF2B5EF4-FFF2-40B4-BE49-F238E27FC236}">
              <a16:creationId xmlns:a16="http://schemas.microsoft.com/office/drawing/2014/main" id="{050A4CF8-1B63-45CF-AF54-948BFE23D300}"/>
            </a:ext>
          </a:extLst>
        </xdr:cNvPr>
        <xdr:cNvCxnSpPr/>
      </xdr:nvCxnSpPr>
      <xdr:spPr>
        <a:xfrm>
          <a:off x="19050" y="462915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DF8FD646-7A1C-40AE-A2A2-39A65B484C4E}"/>
            </a:ext>
          </a:extLst>
        </xdr:cNvPr>
        <xdr:cNvCxnSpPr/>
      </xdr:nvCxnSpPr>
      <xdr:spPr>
        <a:xfrm>
          <a:off x="4108450" y="46291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28E24978-733A-46CC-AC02-62AD7EDF3507}"/>
            </a:ext>
          </a:extLst>
        </xdr:cNvPr>
        <xdr:cNvCxnSpPr/>
      </xdr:nvCxnSpPr>
      <xdr:spPr>
        <a:xfrm>
          <a:off x="9366250" y="46355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30</xdr:row>
      <xdr:rowOff>0</xdr:rowOff>
    </xdr:from>
    <xdr:to>
      <xdr:col>7</xdr:col>
      <xdr:colOff>775074</xdr:colOff>
      <xdr:row>30</xdr:row>
      <xdr:rowOff>3113</xdr:rowOff>
    </xdr:to>
    <xdr:cxnSp macro="">
      <xdr:nvCxnSpPr>
        <xdr:cNvPr id="11" name="Straight Connector 10">
          <a:extLst>
            <a:ext uri="{FF2B5EF4-FFF2-40B4-BE49-F238E27FC236}">
              <a16:creationId xmlns:a16="http://schemas.microsoft.com/office/drawing/2014/main" id="{9B9764E1-782B-4062-B11F-8D3BAFDEC2BD}"/>
            </a:ext>
          </a:extLst>
        </xdr:cNvPr>
        <xdr:cNvCxnSpPr/>
      </xdr:nvCxnSpPr>
      <xdr:spPr>
        <a:xfrm>
          <a:off x="5895663" y="46291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EE5DFB74-081E-4EF8-ADBB-56A4BD4FDA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31</xdr:row>
      <xdr:rowOff>0</xdr:rowOff>
    </xdr:from>
    <xdr:to>
      <xdr:col>1</xdr:col>
      <xdr:colOff>306387</xdr:colOff>
      <xdr:row>31</xdr:row>
      <xdr:rowOff>0</xdr:rowOff>
    </xdr:to>
    <xdr:cxnSp macro="">
      <xdr:nvCxnSpPr>
        <xdr:cNvPr id="8" name="Straight Connector 7">
          <a:extLst>
            <a:ext uri="{FF2B5EF4-FFF2-40B4-BE49-F238E27FC236}">
              <a16:creationId xmlns:a16="http://schemas.microsoft.com/office/drawing/2014/main" id="{79925011-380A-4A27-94F3-438CABFDFD4F}"/>
            </a:ext>
          </a:extLst>
        </xdr:cNvPr>
        <xdr:cNvCxnSpPr/>
      </xdr:nvCxnSpPr>
      <xdr:spPr>
        <a:xfrm>
          <a:off x="19050" y="619125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A2A6F864-52EA-4729-8349-488671979AB3}"/>
            </a:ext>
          </a:extLst>
        </xdr:cNvPr>
        <xdr:cNvCxnSpPr/>
      </xdr:nvCxnSpPr>
      <xdr:spPr>
        <a:xfrm>
          <a:off x="4108450" y="61912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DD69E8B8-1C41-4D48-9983-44D13C623B5C}"/>
            </a:ext>
          </a:extLst>
        </xdr:cNvPr>
        <xdr:cNvCxnSpPr/>
      </xdr:nvCxnSpPr>
      <xdr:spPr>
        <a:xfrm>
          <a:off x="9366250" y="61976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31</xdr:row>
      <xdr:rowOff>0</xdr:rowOff>
    </xdr:from>
    <xdr:to>
      <xdr:col>7</xdr:col>
      <xdr:colOff>775074</xdr:colOff>
      <xdr:row>31</xdr:row>
      <xdr:rowOff>3113</xdr:rowOff>
    </xdr:to>
    <xdr:cxnSp macro="">
      <xdr:nvCxnSpPr>
        <xdr:cNvPr id="11" name="Straight Connector 10">
          <a:extLst>
            <a:ext uri="{FF2B5EF4-FFF2-40B4-BE49-F238E27FC236}">
              <a16:creationId xmlns:a16="http://schemas.microsoft.com/office/drawing/2014/main" id="{FEA7DDF2-AB32-4C29-A5FE-C0186A314772}"/>
            </a:ext>
          </a:extLst>
        </xdr:cNvPr>
        <xdr:cNvCxnSpPr/>
      </xdr:nvCxnSpPr>
      <xdr:spPr>
        <a:xfrm>
          <a:off x="5895663" y="61912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2" name="Picture 1" descr="image001">
          <a:extLst>
            <a:ext uri="{FF2B5EF4-FFF2-40B4-BE49-F238E27FC236}">
              <a16:creationId xmlns:a16="http://schemas.microsoft.com/office/drawing/2014/main" id="{9DFF1C0F-3FFD-4B21-8E6A-B484AF3E72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3" name="Straight Connector 2">
          <a:extLst>
            <a:ext uri="{FF2B5EF4-FFF2-40B4-BE49-F238E27FC236}">
              <a16:creationId xmlns:a16="http://schemas.microsoft.com/office/drawing/2014/main" id="{194C385F-2AC0-4CC3-B239-50312BDCC912}"/>
            </a:ext>
          </a:extLst>
        </xdr:cNvPr>
        <xdr:cNvCxnSpPr/>
      </xdr:nvCxnSpPr>
      <xdr:spPr>
        <a:xfrm>
          <a:off x="19050" y="66548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24</xdr:row>
      <xdr:rowOff>0</xdr:rowOff>
    </xdr:from>
    <xdr:to>
      <xdr:col>5</xdr:col>
      <xdr:colOff>755650</xdr:colOff>
      <xdr:row>24</xdr:row>
      <xdr:rowOff>0</xdr:rowOff>
    </xdr:to>
    <xdr:cxnSp macro="">
      <xdr:nvCxnSpPr>
        <xdr:cNvPr id="4" name="Straight Connector 3">
          <a:extLst>
            <a:ext uri="{FF2B5EF4-FFF2-40B4-BE49-F238E27FC236}">
              <a16:creationId xmlns:a16="http://schemas.microsoft.com/office/drawing/2014/main" id="{F9DFD9DC-7D07-4B3C-B6A0-1EE6B53DD44C}"/>
            </a:ext>
          </a:extLst>
        </xdr:cNvPr>
        <xdr:cNvCxnSpPr/>
      </xdr:nvCxnSpPr>
      <xdr:spPr>
        <a:xfrm>
          <a:off x="4108450" y="6654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24</xdr:row>
      <xdr:rowOff>6350</xdr:rowOff>
    </xdr:from>
    <xdr:to>
      <xdr:col>11</xdr:col>
      <xdr:colOff>139700</xdr:colOff>
      <xdr:row>24</xdr:row>
      <xdr:rowOff>6350</xdr:rowOff>
    </xdr:to>
    <xdr:cxnSp macro="">
      <xdr:nvCxnSpPr>
        <xdr:cNvPr id="5" name="Straight Connector 4">
          <a:extLst>
            <a:ext uri="{FF2B5EF4-FFF2-40B4-BE49-F238E27FC236}">
              <a16:creationId xmlns:a16="http://schemas.microsoft.com/office/drawing/2014/main" id="{5EF09EB9-C483-4482-A47E-79E9B09B148A}"/>
            </a:ext>
          </a:extLst>
        </xdr:cNvPr>
        <xdr:cNvCxnSpPr/>
      </xdr:nvCxnSpPr>
      <xdr:spPr>
        <a:xfrm>
          <a:off x="9366250" y="6661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24</xdr:row>
      <xdr:rowOff>0</xdr:rowOff>
    </xdr:from>
    <xdr:to>
      <xdr:col>7</xdr:col>
      <xdr:colOff>775074</xdr:colOff>
      <xdr:row>24</xdr:row>
      <xdr:rowOff>3113</xdr:rowOff>
    </xdr:to>
    <xdr:cxnSp macro="">
      <xdr:nvCxnSpPr>
        <xdr:cNvPr id="6" name="Straight Connector 5">
          <a:extLst>
            <a:ext uri="{FF2B5EF4-FFF2-40B4-BE49-F238E27FC236}">
              <a16:creationId xmlns:a16="http://schemas.microsoft.com/office/drawing/2014/main" id="{D08FB2C9-A8C7-48B5-A65C-ED6B1AFFCF64}"/>
            </a:ext>
          </a:extLst>
        </xdr:cNvPr>
        <xdr:cNvCxnSpPr/>
      </xdr:nvCxnSpPr>
      <xdr:spPr>
        <a:xfrm>
          <a:off x="5895663" y="66548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A5D179A9-EB69-4C6C-BAFD-8A3085526A1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8" name="Straight Connector 7">
          <a:extLst>
            <a:ext uri="{FF2B5EF4-FFF2-40B4-BE49-F238E27FC236}">
              <a16:creationId xmlns:a16="http://schemas.microsoft.com/office/drawing/2014/main" id="{1F1BE2C7-E3DF-4936-9828-CE025C00D272}"/>
            </a:ext>
          </a:extLst>
        </xdr:cNvPr>
        <xdr:cNvCxnSpPr/>
      </xdr:nvCxnSpPr>
      <xdr:spPr>
        <a:xfrm>
          <a:off x="19050" y="480695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24</xdr:row>
      <xdr:rowOff>0</xdr:rowOff>
    </xdr:from>
    <xdr:to>
      <xdr:col>5</xdr:col>
      <xdr:colOff>755650</xdr:colOff>
      <xdr:row>24</xdr:row>
      <xdr:rowOff>0</xdr:rowOff>
    </xdr:to>
    <xdr:cxnSp macro="">
      <xdr:nvCxnSpPr>
        <xdr:cNvPr id="9" name="Straight Connector 8">
          <a:extLst>
            <a:ext uri="{FF2B5EF4-FFF2-40B4-BE49-F238E27FC236}">
              <a16:creationId xmlns:a16="http://schemas.microsoft.com/office/drawing/2014/main" id="{8F95F5EA-3658-4384-A8D6-1D1B5B7D6FC0}"/>
            </a:ext>
          </a:extLst>
        </xdr:cNvPr>
        <xdr:cNvCxnSpPr/>
      </xdr:nvCxnSpPr>
      <xdr:spPr>
        <a:xfrm>
          <a:off x="4679950" y="48069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24</xdr:row>
      <xdr:rowOff>6350</xdr:rowOff>
    </xdr:from>
    <xdr:to>
      <xdr:col>11</xdr:col>
      <xdr:colOff>139700</xdr:colOff>
      <xdr:row>24</xdr:row>
      <xdr:rowOff>6350</xdr:rowOff>
    </xdr:to>
    <xdr:cxnSp macro="">
      <xdr:nvCxnSpPr>
        <xdr:cNvPr id="10" name="Straight Connector 9">
          <a:extLst>
            <a:ext uri="{FF2B5EF4-FFF2-40B4-BE49-F238E27FC236}">
              <a16:creationId xmlns:a16="http://schemas.microsoft.com/office/drawing/2014/main" id="{11BD8791-8DAF-4329-81E9-EE6C71CF426F}"/>
            </a:ext>
          </a:extLst>
        </xdr:cNvPr>
        <xdr:cNvCxnSpPr/>
      </xdr:nvCxnSpPr>
      <xdr:spPr>
        <a:xfrm>
          <a:off x="9937750" y="48133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24</xdr:row>
      <xdr:rowOff>0</xdr:rowOff>
    </xdr:from>
    <xdr:to>
      <xdr:col>7</xdr:col>
      <xdr:colOff>775074</xdr:colOff>
      <xdr:row>24</xdr:row>
      <xdr:rowOff>3113</xdr:rowOff>
    </xdr:to>
    <xdr:cxnSp macro="">
      <xdr:nvCxnSpPr>
        <xdr:cNvPr id="11" name="Straight Connector 10">
          <a:extLst>
            <a:ext uri="{FF2B5EF4-FFF2-40B4-BE49-F238E27FC236}">
              <a16:creationId xmlns:a16="http://schemas.microsoft.com/office/drawing/2014/main" id="{195FF1CB-CF12-40EF-9DE0-3C073E4130B4}"/>
            </a:ext>
          </a:extLst>
        </xdr:cNvPr>
        <xdr:cNvCxnSpPr/>
      </xdr:nvCxnSpPr>
      <xdr:spPr>
        <a:xfrm>
          <a:off x="6467163" y="48069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616B086E-EB14-4AF7-83D6-A5A40A53F41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30</xdr:row>
      <xdr:rowOff>177800</xdr:rowOff>
    </xdr:from>
    <xdr:to>
      <xdr:col>1</xdr:col>
      <xdr:colOff>1035050</xdr:colOff>
      <xdr:row>31</xdr:row>
      <xdr:rowOff>0</xdr:rowOff>
    </xdr:to>
    <xdr:cxnSp macro="">
      <xdr:nvCxnSpPr>
        <xdr:cNvPr id="8" name="Straight Connector 7">
          <a:extLst>
            <a:ext uri="{FF2B5EF4-FFF2-40B4-BE49-F238E27FC236}">
              <a16:creationId xmlns:a16="http://schemas.microsoft.com/office/drawing/2014/main" id="{D7937FA0-C2A2-401E-82AC-0618C1B45A07}"/>
            </a:ext>
          </a:extLst>
        </xdr:cNvPr>
        <xdr:cNvCxnSpPr/>
      </xdr:nvCxnSpPr>
      <xdr:spPr>
        <a:xfrm flipV="1">
          <a:off x="412750" y="608965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2FF935EC-AE21-47B8-A977-845695699330}"/>
            </a:ext>
          </a:extLst>
        </xdr:cNvPr>
        <xdr:cNvCxnSpPr/>
      </xdr:nvCxnSpPr>
      <xdr:spPr>
        <a:xfrm>
          <a:off x="4108450" y="6654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197E23F7-1FD0-4160-995D-B2FE3F0AC175}"/>
            </a:ext>
          </a:extLst>
        </xdr:cNvPr>
        <xdr:cNvCxnSpPr/>
      </xdr:nvCxnSpPr>
      <xdr:spPr>
        <a:xfrm>
          <a:off x="9366250" y="6661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31</xdr:row>
      <xdr:rowOff>0</xdr:rowOff>
    </xdr:from>
    <xdr:to>
      <xdr:col>7</xdr:col>
      <xdr:colOff>775074</xdr:colOff>
      <xdr:row>31</xdr:row>
      <xdr:rowOff>3113</xdr:rowOff>
    </xdr:to>
    <xdr:cxnSp macro="">
      <xdr:nvCxnSpPr>
        <xdr:cNvPr id="11" name="Straight Connector 10">
          <a:extLst>
            <a:ext uri="{FF2B5EF4-FFF2-40B4-BE49-F238E27FC236}">
              <a16:creationId xmlns:a16="http://schemas.microsoft.com/office/drawing/2014/main" id="{0512FFEC-6319-4004-AD02-A4EA6BCD7C7C}"/>
            </a:ext>
          </a:extLst>
        </xdr:cNvPr>
        <xdr:cNvCxnSpPr/>
      </xdr:nvCxnSpPr>
      <xdr:spPr>
        <a:xfrm>
          <a:off x="5895663" y="66548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16984141-91AA-4B95-A583-D08B5C468E7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30</xdr:row>
      <xdr:rowOff>177800</xdr:rowOff>
    </xdr:from>
    <xdr:to>
      <xdr:col>1</xdr:col>
      <xdr:colOff>1035050</xdr:colOff>
      <xdr:row>31</xdr:row>
      <xdr:rowOff>0</xdr:rowOff>
    </xdr:to>
    <xdr:cxnSp macro="">
      <xdr:nvCxnSpPr>
        <xdr:cNvPr id="8" name="Straight Connector 7">
          <a:extLst>
            <a:ext uri="{FF2B5EF4-FFF2-40B4-BE49-F238E27FC236}">
              <a16:creationId xmlns:a16="http://schemas.microsoft.com/office/drawing/2014/main" id="{744122EE-3022-4E3F-BC61-731EE6404288}"/>
            </a:ext>
          </a:extLst>
        </xdr:cNvPr>
        <xdr:cNvCxnSpPr/>
      </xdr:nvCxnSpPr>
      <xdr:spPr>
        <a:xfrm flipV="1">
          <a:off x="412750" y="632460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7C6CEA1D-05FF-40E7-9DDB-D9ED524B7278}"/>
            </a:ext>
          </a:extLst>
        </xdr:cNvPr>
        <xdr:cNvCxnSpPr/>
      </xdr:nvCxnSpPr>
      <xdr:spPr>
        <a:xfrm>
          <a:off x="4089400" y="63309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23AD7EED-F1C5-45F4-BE10-0D863D5BBBE0}"/>
            </a:ext>
          </a:extLst>
        </xdr:cNvPr>
        <xdr:cNvCxnSpPr/>
      </xdr:nvCxnSpPr>
      <xdr:spPr>
        <a:xfrm>
          <a:off x="9347200" y="63373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31</xdr:row>
      <xdr:rowOff>0</xdr:rowOff>
    </xdr:from>
    <xdr:to>
      <xdr:col>7</xdr:col>
      <xdr:colOff>775074</xdr:colOff>
      <xdr:row>31</xdr:row>
      <xdr:rowOff>3113</xdr:rowOff>
    </xdr:to>
    <xdr:cxnSp macro="">
      <xdr:nvCxnSpPr>
        <xdr:cNvPr id="11" name="Straight Connector 10">
          <a:extLst>
            <a:ext uri="{FF2B5EF4-FFF2-40B4-BE49-F238E27FC236}">
              <a16:creationId xmlns:a16="http://schemas.microsoft.com/office/drawing/2014/main" id="{65F4D618-F745-439B-8964-6C52F67FB351}"/>
            </a:ext>
          </a:extLst>
        </xdr:cNvPr>
        <xdr:cNvCxnSpPr/>
      </xdr:nvCxnSpPr>
      <xdr:spPr>
        <a:xfrm>
          <a:off x="5876613" y="63309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AE2B73EF-52F5-4624-90FD-D298F99F92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27</xdr:row>
      <xdr:rowOff>0</xdr:rowOff>
    </xdr:from>
    <xdr:to>
      <xdr:col>1</xdr:col>
      <xdr:colOff>736600</xdr:colOff>
      <xdr:row>27</xdr:row>
      <xdr:rowOff>6350</xdr:rowOff>
    </xdr:to>
    <xdr:cxnSp macro="">
      <xdr:nvCxnSpPr>
        <xdr:cNvPr id="8" name="Straight Connector 7">
          <a:extLst>
            <a:ext uri="{FF2B5EF4-FFF2-40B4-BE49-F238E27FC236}">
              <a16:creationId xmlns:a16="http://schemas.microsoft.com/office/drawing/2014/main" id="{566AD9E7-72DF-4A20-A17B-DEBF51D90E19}"/>
            </a:ext>
          </a:extLst>
        </xdr:cNvPr>
        <xdr:cNvCxnSpPr/>
      </xdr:nvCxnSpPr>
      <xdr:spPr>
        <a:xfrm>
          <a:off x="19050" y="5359400"/>
          <a:ext cx="112395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27</xdr:row>
      <xdr:rowOff>0</xdr:rowOff>
    </xdr:from>
    <xdr:to>
      <xdr:col>5</xdr:col>
      <xdr:colOff>755650</xdr:colOff>
      <xdr:row>27</xdr:row>
      <xdr:rowOff>0</xdr:rowOff>
    </xdr:to>
    <xdr:cxnSp macro="">
      <xdr:nvCxnSpPr>
        <xdr:cNvPr id="9" name="Straight Connector 8">
          <a:extLst>
            <a:ext uri="{FF2B5EF4-FFF2-40B4-BE49-F238E27FC236}">
              <a16:creationId xmlns:a16="http://schemas.microsoft.com/office/drawing/2014/main" id="{921D3720-B8E5-4F74-AE0E-04EFB99A4324}"/>
            </a:ext>
          </a:extLst>
        </xdr:cNvPr>
        <xdr:cNvCxnSpPr/>
      </xdr:nvCxnSpPr>
      <xdr:spPr>
        <a:xfrm>
          <a:off x="4108450" y="61912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27</xdr:row>
      <xdr:rowOff>6350</xdr:rowOff>
    </xdr:from>
    <xdr:to>
      <xdr:col>11</xdr:col>
      <xdr:colOff>139700</xdr:colOff>
      <xdr:row>27</xdr:row>
      <xdr:rowOff>6350</xdr:rowOff>
    </xdr:to>
    <xdr:cxnSp macro="">
      <xdr:nvCxnSpPr>
        <xdr:cNvPr id="10" name="Straight Connector 9">
          <a:extLst>
            <a:ext uri="{FF2B5EF4-FFF2-40B4-BE49-F238E27FC236}">
              <a16:creationId xmlns:a16="http://schemas.microsoft.com/office/drawing/2014/main" id="{60BF68CE-5366-4626-8148-9F9F6EA54D4B}"/>
            </a:ext>
          </a:extLst>
        </xdr:cNvPr>
        <xdr:cNvCxnSpPr/>
      </xdr:nvCxnSpPr>
      <xdr:spPr>
        <a:xfrm>
          <a:off x="9366250" y="61976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27</xdr:row>
      <xdr:rowOff>0</xdr:rowOff>
    </xdr:from>
    <xdr:to>
      <xdr:col>7</xdr:col>
      <xdr:colOff>775074</xdr:colOff>
      <xdr:row>27</xdr:row>
      <xdr:rowOff>3113</xdr:rowOff>
    </xdr:to>
    <xdr:cxnSp macro="">
      <xdr:nvCxnSpPr>
        <xdr:cNvPr id="11" name="Straight Connector 10">
          <a:extLst>
            <a:ext uri="{FF2B5EF4-FFF2-40B4-BE49-F238E27FC236}">
              <a16:creationId xmlns:a16="http://schemas.microsoft.com/office/drawing/2014/main" id="{2D949FC7-8000-4EBE-997C-F36DB7FB7187}"/>
            </a:ext>
          </a:extLst>
        </xdr:cNvPr>
        <xdr:cNvCxnSpPr/>
      </xdr:nvCxnSpPr>
      <xdr:spPr>
        <a:xfrm>
          <a:off x="5895663" y="61912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12700</xdr:colOff>
      <xdr:row>35</xdr:row>
      <xdr:rowOff>177800</xdr:rowOff>
    </xdr:from>
    <xdr:to>
      <xdr:col>1</xdr:col>
      <xdr:colOff>1136650</xdr:colOff>
      <xdr:row>36</xdr:row>
      <xdr:rowOff>0</xdr:rowOff>
    </xdr:to>
    <xdr:cxnSp macro="">
      <xdr:nvCxnSpPr>
        <xdr:cNvPr id="13" name="Straight Connector 12">
          <a:extLst>
            <a:ext uri="{FF2B5EF4-FFF2-40B4-BE49-F238E27FC236}">
              <a16:creationId xmlns:a16="http://schemas.microsoft.com/office/drawing/2014/main" id="{F3C5449A-F4D2-4233-8FF6-E8A73772B289}"/>
            </a:ext>
          </a:extLst>
        </xdr:cNvPr>
        <xdr:cNvCxnSpPr/>
      </xdr:nvCxnSpPr>
      <xdr:spPr>
        <a:xfrm>
          <a:off x="419100" y="7010400"/>
          <a:ext cx="112395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D02A24A0-9369-455D-AA29-7444A2BDBC0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57150</xdr:colOff>
      <xdr:row>17</xdr:row>
      <xdr:rowOff>177800</xdr:rowOff>
    </xdr:from>
    <xdr:to>
      <xdr:col>1</xdr:col>
      <xdr:colOff>1028700</xdr:colOff>
      <xdr:row>17</xdr:row>
      <xdr:rowOff>177800</xdr:rowOff>
    </xdr:to>
    <xdr:cxnSp macro="">
      <xdr:nvCxnSpPr>
        <xdr:cNvPr id="8" name="Straight Connector 7">
          <a:extLst>
            <a:ext uri="{FF2B5EF4-FFF2-40B4-BE49-F238E27FC236}">
              <a16:creationId xmlns:a16="http://schemas.microsoft.com/office/drawing/2014/main" id="{7B0CDE86-F726-4E76-B02C-E59EFD837268}"/>
            </a:ext>
          </a:extLst>
        </xdr:cNvPr>
        <xdr:cNvCxnSpPr/>
      </xdr:nvCxnSpPr>
      <xdr:spPr>
        <a:xfrm>
          <a:off x="463550" y="5029200"/>
          <a:ext cx="971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18</xdr:row>
      <xdr:rowOff>0</xdr:rowOff>
    </xdr:from>
    <xdr:to>
      <xdr:col>5</xdr:col>
      <xdr:colOff>755650</xdr:colOff>
      <xdr:row>18</xdr:row>
      <xdr:rowOff>0</xdr:rowOff>
    </xdr:to>
    <xdr:cxnSp macro="">
      <xdr:nvCxnSpPr>
        <xdr:cNvPr id="9" name="Straight Connector 8">
          <a:extLst>
            <a:ext uri="{FF2B5EF4-FFF2-40B4-BE49-F238E27FC236}">
              <a16:creationId xmlns:a16="http://schemas.microsoft.com/office/drawing/2014/main" id="{CF004FA7-A4D2-482D-8AF9-B621A1B0073D}"/>
            </a:ext>
          </a:extLst>
        </xdr:cNvPr>
        <xdr:cNvCxnSpPr/>
      </xdr:nvCxnSpPr>
      <xdr:spPr>
        <a:xfrm>
          <a:off x="4108450" y="61912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18</xdr:row>
      <xdr:rowOff>6350</xdr:rowOff>
    </xdr:from>
    <xdr:to>
      <xdr:col>11</xdr:col>
      <xdr:colOff>139700</xdr:colOff>
      <xdr:row>18</xdr:row>
      <xdr:rowOff>6350</xdr:rowOff>
    </xdr:to>
    <xdr:cxnSp macro="">
      <xdr:nvCxnSpPr>
        <xdr:cNvPr id="10" name="Straight Connector 9">
          <a:extLst>
            <a:ext uri="{FF2B5EF4-FFF2-40B4-BE49-F238E27FC236}">
              <a16:creationId xmlns:a16="http://schemas.microsoft.com/office/drawing/2014/main" id="{53989378-64D6-4DA0-AC1F-29067D42D19B}"/>
            </a:ext>
          </a:extLst>
        </xdr:cNvPr>
        <xdr:cNvCxnSpPr/>
      </xdr:nvCxnSpPr>
      <xdr:spPr>
        <a:xfrm>
          <a:off x="9366250" y="61976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18</xdr:row>
      <xdr:rowOff>0</xdr:rowOff>
    </xdr:from>
    <xdr:to>
      <xdr:col>7</xdr:col>
      <xdr:colOff>775074</xdr:colOff>
      <xdr:row>18</xdr:row>
      <xdr:rowOff>3113</xdr:rowOff>
    </xdr:to>
    <xdr:cxnSp macro="">
      <xdr:nvCxnSpPr>
        <xdr:cNvPr id="11" name="Straight Connector 10">
          <a:extLst>
            <a:ext uri="{FF2B5EF4-FFF2-40B4-BE49-F238E27FC236}">
              <a16:creationId xmlns:a16="http://schemas.microsoft.com/office/drawing/2014/main" id="{351F1F2F-9F20-4DDC-9163-2DF48C7BC43E}"/>
            </a:ext>
          </a:extLst>
        </xdr:cNvPr>
        <xdr:cNvCxnSpPr/>
      </xdr:nvCxnSpPr>
      <xdr:spPr>
        <a:xfrm>
          <a:off x="5895663" y="61912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oneCellAnchor>
    <xdr:from>
      <xdr:col>0</xdr:col>
      <xdr:colOff>0</xdr:colOff>
      <xdr:row>0</xdr:row>
      <xdr:rowOff>0</xdr:rowOff>
    </xdr:from>
    <xdr:ext cx="1289049" cy="409575"/>
    <xdr:pic>
      <xdr:nvPicPr>
        <xdr:cNvPr id="12" name="Picture 11" descr="image001">
          <a:extLst>
            <a:ext uri="{FF2B5EF4-FFF2-40B4-BE49-F238E27FC236}">
              <a16:creationId xmlns:a16="http://schemas.microsoft.com/office/drawing/2014/main" id="{8B74E4E8-60AB-4F6B-BFCD-5AF25D79AC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89049" cy="409575"/>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8" name="Picture 7" descr="image001">
          <a:extLst>
            <a:ext uri="{FF2B5EF4-FFF2-40B4-BE49-F238E27FC236}">
              <a16:creationId xmlns:a16="http://schemas.microsoft.com/office/drawing/2014/main" id="{C27A32E0-1455-4631-B4A7-16A2048DB8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57150</xdr:colOff>
      <xdr:row>17</xdr:row>
      <xdr:rowOff>177800</xdr:rowOff>
    </xdr:from>
    <xdr:to>
      <xdr:col>1</xdr:col>
      <xdr:colOff>1028700</xdr:colOff>
      <xdr:row>17</xdr:row>
      <xdr:rowOff>177800</xdr:rowOff>
    </xdr:to>
    <xdr:cxnSp macro="">
      <xdr:nvCxnSpPr>
        <xdr:cNvPr id="9" name="Straight Connector 8">
          <a:extLst>
            <a:ext uri="{FF2B5EF4-FFF2-40B4-BE49-F238E27FC236}">
              <a16:creationId xmlns:a16="http://schemas.microsoft.com/office/drawing/2014/main" id="{31B42933-601A-4107-B282-7A266267E1D3}"/>
            </a:ext>
          </a:extLst>
        </xdr:cNvPr>
        <xdr:cNvCxnSpPr/>
      </xdr:nvCxnSpPr>
      <xdr:spPr>
        <a:xfrm>
          <a:off x="463550" y="3924300"/>
          <a:ext cx="97155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18</xdr:row>
      <xdr:rowOff>0</xdr:rowOff>
    </xdr:from>
    <xdr:to>
      <xdr:col>5</xdr:col>
      <xdr:colOff>755650</xdr:colOff>
      <xdr:row>18</xdr:row>
      <xdr:rowOff>0</xdr:rowOff>
    </xdr:to>
    <xdr:cxnSp macro="">
      <xdr:nvCxnSpPr>
        <xdr:cNvPr id="10" name="Straight Connector 9">
          <a:extLst>
            <a:ext uri="{FF2B5EF4-FFF2-40B4-BE49-F238E27FC236}">
              <a16:creationId xmlns:a16="http://schemas.microsoft.com/office/drawing/2014/main" id="{6C057D82-2BCC-4946-B920-3218FB698BB3}"/>
            </a:ext>
          </a:extLst>
        </xdr:cNvPr>
        <xdr:cNvCxnSpPr/>
      </xdr:nvCxnSpPr>
      <xdr:spPr>
        <a:xfrm>
          <a:off x="4108450" y="39306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18</xdr:row>
      <xdr:rowOff>6350</xdr:rowOff>
    </xdr:from>
    <xdr:to>
      <xdr:col>11</xdr:col>
      <xdr:colOff>139700</xdr:colOff>
      <xdr:row>18</xdr:row>
      <xdr:rowOff>6350</xdr:rowOff>
    </xdr:to>
    <xdr:cxnSp macro="">
      <xdr:nvCxnSpPr>
        <xdr:cNvPr id="11" name="Straight Connector 10">
          <a:extLst>
            <a:ext uri="{FF2B5EF4-FFF2-40B4-BE49-F238E27FC236}">
              <a16:creationId xmlns:a16="http://schemas.microsoft.com/office/drawing/2014/main" id="{034D29F7-97EA-45F5-86FD-DA873A86EC0F}"/>
            </a:ext>
          </a:extLst>
        </xdr:cNvPr>
        <xdr:cNvCxnSpPr/>
      </xdr:nvCxnSpPr>
      <xdr:spPr>
        <a:xfrm>
          <a:off x="9366250" y="39370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18</xdr:row>
      <xdr:rowOff>0</xdr:rowOff>
    </xdr:from>
    <xdr:to>
      <xdr:col>7</xdr:col>
      <xdr:colOff>775074</xdr:colOff>
      <xdr:row>18</xdr:row>
      <xdr:rowOff>3113</xdr:rowOff>
    </xdr:to>
    <xdr:cxnSp macro="">
      <xdr:nvCxnSpPr>
        <xdr:cNvPr id="12" name="Straight Connector 11">
          <a:extLst>
            <a:ext uri="{FF2B5EF4-FFF2-40B4-BE49-F238E27FC236}">
              <a16:creationId xmlns:a16="http://schemas.microsoft.com/office/drawing/2014/main" id="{F4C3334E-9C04-4964-8F2C-E8CC23E7243C}"/>
            </a:ext>
          </a:extLst>
        </xdr:cNvPr>
        <xdr:cNvCxnSpPr/>
      </xdr:nvCxnSpPr>
      <xdr:spPr>
        <a:xfrm>
          <a:off x="5895663" y="39306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oneCellAnchor>
    <xdr:from>
      <xdr:col>0</xdr:col>
      <xdr:colOff>0</xdr:colOff>
      <xdr:row>0</xdr:row>
      <xdr:rowOff>0</xdr:rowOff>
    </xdr:from>
    <xdr:ext cx="1289049" cy="409575"/>
    <xdr:pic>
      <xdr:nvPicPr>
        <xdr:cNvPr id="13" name="Picture 12" descr="image001">
          <a:extLst>
            <a:ext uri="{FF2B5EF4-FFF2-40B4-BE49-F238E27FC236}">
              <a16:creationId xmlns:a16="http://schemas.microsoft.com/office/drawing/2014/main" id="{17EE7FAF-E239-4772-B7ED-2D5A5CA81D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89049" cy="409575"/>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068A5374-DCE1-47E2-8551-2959FF42B28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38</xdr:row>
      <xdr:rowOff>187158</xdr:rowOff>
    </xdr:from>
    <xdr:to>
      <xdr:col>1</xdr:col>
      <xdr:colOff>1564105</xdr:colOff>
      <xdr:row>39</xdr:row>
      <xdr:rowOff>0</xdr:rowOff>
    </xdr:to>
    <xdr:cxnSp macro="">
      <xdr:nvCxnSpPr>
        <xdr:cNvPr id="8" name="Straight Connector 7">
          <a:extLst>
            <a:ext uri="{FF2B5EF4-FFF2-40B4-BE49-F238E27FC236}">
              <a16:creationId xmlns:a16="http://schemas.microsoft.com/office/drawing/2014/main" id="{4207DD54-00FF-40A9-9932-1D7866845AAC}"/>
            </a:ext>
          </a:extLst>
        </xdr:cNvPr>
        <xdr:cNvCxnSpPr/>
      </xdr:nvCxnSpPr>
      <xdr:spPr>
        <a:xfrm flipV="1">
          <a:off x="822080" y="77436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39</xdr:row>
      <xdr:rowOff>9525</xdr:rowOff>
    </xdr:from>
    <xdr:to>
      <xdr:col>5</xdr:col>
      <xdr:colOff>820737</xdr:colOff>
      <xdr:row>39</xdr:row>
      <xdr:rowOff>9525</xdr:rowOff>
    </xdr:to>
    <xdr:cxnSp macro="">
      <xdr:nvCxnSpPr>
        <xdr:cNvPr id="9" name="Straight Connector 8">
          <a:extLst>
            <a:ext uri="{FF2B5EF4-FFF2-40B4-BE49-F238E27FC236}">
              <a16:creationId xmlns:a16="http://schemas.microsoft.com/office/drawing/2014/main" id="{9134D1EB-8356-49D2-BB4E-E2ECB8A2C1C2}"/>
            </a:ext>
          </a:extLst>
        </xdr:cNvPr>
        <xdr:cNvCxnSpPr/>
      </xdr:nvCxnSpPr>
      <xdr:spPr>
        <a:xfrm>
          <a:off x="4683125" y="77565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38</xdr:row>
      <xdr:rowOff>171450</xdr:rowOff>
    </xdr:from>
    <xdr:to>
      <xdr:col>10</xdr:col>
      <xdr:colOff>1739900</xdr:colOff>
      <xdr:row>39</xdr:row>
      <xdr:rowOff>0</xdr:rowOff>
    </xdr:to>
    <xdr:cxnSp macro="">
      <xdr:nvCxnSpPr>
        <xdr:cNvPr id="10" name="Straight Connector 9">
          <a:extLst>
            <a:ext uri="{FF2B5EF4-FFF2-40B4-BE49-F238E27FC236}">
              <a16:creationId xmlns:a16="http://schemas.microsoft.com/office/drawing/2014/main" id="{5A06EA6D-7832-4DC3-9F9F-9B9E48138BB0}"/>
            </a:ext>
          </a:extLst>
        </xdr:cNvPr>
        <xdr:cNvCxnSpPr/>
      </xdr:nvCxnSpPr>
      <xdr:spPr>
        <a:xfrm flipV="1">
          <a:off x="8867653" y="7727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48</xdr:row>
      <xdr:rowOff>3097</xdr:rowOff>
    </xdr:from>
    <xdr:to>
      <xdr:col>1</xdr:col>
      <xdr:colOff>1550900</xdr:colOff>
      <xdr:row>48</xdr:row>
      <xdr:rowOff>6195</xdr:rowOff>
    </xdr:to>
    <xdr:cxnSp macro="">
      <xdr:nvCxnSpPr>
        <xdr:cNvPr id="11" name="Straight Connector 10">
          <a:extLst>
            <a:ext uri="{FF2B5EF4-FFF2-40B4-BE49-F238E27FC236}">
              <a16:creationId xmlns:a16="http://schemas.microsoft.com/office/drawing/2014/main" id="{887DAEB0-36E5-4D2E-954B-8F4300901341}"/>
            </a:ext>
          </a:extLst>
        </xdr:cNvPr>
        <xdr:cNvCxnSpPr/>
      </xdr:nvCxnSpPr>
      <xdr:spPr>
        <a:xfrm>
          <a:off x="851316" y="9420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1A3BD5E2-CDF0-4AD4-AD9B-199B8EDD4C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40</xdr:row>
      <xdr:rowOff>187158</xdr:rowOff>
    </xdr:from>
    <xdr:to>
      <xdr:col>1</xdr:col>
      <xdr:colOff>1564105</xdr:colOff>
      <xdr:row>41</xdr:row>
      <xdr:rowOff>0</xdr:rowOff>
    </xdr:to>
    <xdr:cxnSp macro="">
      <xdr:nvCxnSpPr>
        <xdr:cNvPr id="8" name="Straight Connector 7">
          <a:extLst>
            <a:ext uri="{FF2B5EF4-FFF2-40B4-BE49-F238E27FC236}">
              <a16:creationId xmlns:a16="http://schemas.microsoft.com/office/drawing/2014/main" id="{90B7E1A3-211A-4BB2-9ECD-92AE283778A3}"/>
            </a:ext>
          </a:extLst>
        </xdr:cNvPr>
        <xdr:cNvCxnSpPr/>
      </xdr:nvCxnSpPr>
      <xdr:spPr>
        <a:xfrm flipV="1">
          <a:off x="822080" y="78960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41</xdr:row>
      <xdr:rowOff>9525</xdr:rowOff>
    </xdr:from>
    <xdr:to>
      <xdr:col>5</xdr:col>
      <xdr:colOff>820737</xdr:colOff>
      <xdr:row>41</xdr:row>
      <xdr:rowOff>9525</xdr:rowOff>
    </xdr:to>
    <xdr:cxnSp macro="">
      <xdr:nvCxnSpPr>
        <xdr:cNvPr id="9" name="Straight Connector 8">
          <a:extLst>
            <a:ext uri="{FF2B5EF4-FFF2-40B4-BE49-F238E27FC236}">
              <a16:creationId xmlns:a16="http://schemas.microsoft.com/office/drawing/2014/main" id="{D5E3022A-347E-40CC-982A-FB36B9B8F713}"/>
            </a:ext>
          </a:extLst>
        </xdr:cNvPr>
        <xdr:cNvCxnSpPr/>
      </xdr:nvCxnSpPr>
      <xdr:spPr>
        <a:xfrm>
          <a:off x="4683125" y="79089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40</xdr:row>
      <xdr:rowOff>171450</xdr:rowOff>
    </xdr:from>
    <xdr:to>
      <xdr:col>10</xdr:col>
      <xdr:colOff>1739900</xdr:colOff>
      <xdr:row>41</xdr:row>
      <xdr:rowOff>0</xdr:rowOff>
    </xdr:to>
    <xdr:cxnSp macro="">
      <xdr:nvCxnSpPr>
        <xdr:cNvPr id="10" name="Straight Connector 9">
          <a:extLst>
            <a:ext uri="{FF2B5EF4-FFF2-40B4-BE49-F238E27FC236}">
              <a16:creationId xmlns:a16="http://schemas.microsoft.com/office/drawing/2014/main" id="{61ABAD42-479B-4843-B452-8189402D02A2}"/>
            </a:ext>
          </a:extLst>
        </xdr:cNvPr>
        <xdr:cNvCxnSpPr/>
      </xdr:nvCxnSpPr>
      <xdr:spPr>
        <a:xfrm flipV="1">
          <a:off x="8867653" y="78803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50</xdr:row>
      <xdr:rowOff>3097</xdr:rowOff>
    </xdr:from>
    <xdr:to>
      <xdr:col>1</xdr:col>
      <xdr:colOff>1550900</xdr:colOff>
      <xdr:row>50</xdr:row>
      <xdr:rowOff>6195</xdr:rowOff>
    </xdr:to>
    <xdr:cxnSp macro="">
      <xdr:nvCxnSpPr>
        <xdr:cNvPr id="11" name="Straight Connector 10">
          <a:extLst>
            <a:ext uri="{FF2B5EF4-FFF2-40B4-BE49-F238E27FC236}">
              <a16:creationId xmlns:a16="http://schemas.microsoft.com/office/drawing/2014/main" id="{76347519-37B3-43F7-8E76-B9FDB294BEC8}"/>
            </a:ext>
          </a:extLst>
        </xdr:cNvPr>
        <xdr:cNvCxnSpPr/>
      </xdr:nvCxnSpPr>
      <xdr:spPr>
        <a:xfrm>
          <a:off x="851316" y="9572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E7C8851C-4CC1-48CB-94EA-B802C57998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29</xdr:row>
      <xdr:rowOff>187158</xdr:rowOff>
    </xdr:from>
    <xdr:to>
      <xdr:col>1</xdr:col>
      <xdr:colOff>1564105</xdr:colOff>
      <xdr:row>30</xdr:row>
      <xdr:rowOff>0</xdr:rowOff>
    </xdr:to>
    <xdr:cxnSp macro="">
      <xdr:nvCxnSpPr>
        <xdr:cNvPr id="8" name="Straight Connector 7">
          <a:extLst>
            <a:ext uri="{FF2B5EF4-FFF2-40B4-BE49-F238E27FC236}">
              <a16:creationId xmlns:a16="http://schemas.microsoft.com/office/drawing/2014/main" id="{EDF83DCF-A766-4DAC-ABF2-362B1FCD7522}"/>
            </a:ext>
          </a:extLst>
        </xdr:cNvPr>
        <xdr:cNvCxnSpPr/>
      </xdr:nvCxnSpPr>
      <xdr:spPr>
        <a:xfrm flipV="1">
          <a:off x="822080" y="78960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30</xdr:row>
      <xdr:rowOff>9525</xdr:rowOff>
    </xdr:from>
    <xdr:to>
      <xdr:col>5</xdr:col>
      <xdr:colOff>820737</xdr:colOff>
      <xdr:row>30</xdr:row>
      <xdr:rowOff>9525</xdr:rowOff>
    </xdr:to>
    <xdr:cxnSp macro="">
      <xdr:nvCxnSpPr>
        <xdr:cNvPr id="9" name="Straight Connector 8">
          <a:extLst>
            <a:ext uri="{FF2B5EF4-FFF2-40B4-BE49-F238E27FC236}">
              <a16:creationId xmlns:a16="http://schemas.microsoft.com/office/drawing/2014/main" id="{0A395A3B-914C-4703-8FA7-65B64F13F314}"/>
            </a:ext>
          </a:extLst>
        </xdr:cNvPr>
        <xdr:cNvCxnSpPr/>
      </xdr:nvCxnSpPr>
      <xdr:spPr>
        <a:xfrm>
          <a:off x="4683125" y="79089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9A4FC5C0-3519-4041-B7E0-7F5E628A3F93}"/>
            </a:ext>
          </a:extLst>
        </xdr:cNvPr>
        <xdr:cNvCxnSpPr/>
      </xdr:nvCxnSpPr>
      <xdr:spPr>
        <a:xfrm flipV="1">
          <a:off x="8867653" y="78803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39</xdr:row>
      <xdr:rowOff>3097</xdr:rowOff>
    </xdr:from>
    <xdr:to>
      <xdr:col>1</xdr:col>
      <xdr:colOff>1550900</xdr:colOff>
      <xdr:row>39</xdr:row>
      <xdr:rowOff>6195</xdr:rowOff>
    </xdr:to>
    <xdr:cxnSp macro="">
      <xdr:nvCxnSpPr>
        <xdr:cNvPr id="11" name="Straight Connector 10">
          <a:extLst>
            <a:ext uri="{FF2B5EF4-FFF2-40B4-BE49-F238E27FC236}">
              <a16:creationId xmlns:a16="http://schemas.microsoft.com/office/drawing/2014/main" id="{4BE4091B-FEBE-4EDF-AE40-C8F93D891502}"/>
            </a:ext>
          </a:extLst>
        </xdr:cNvPr>
        <xdr:cNvCxnSpPr/>
      </xdr:nvCxnSpPr>
      <xdr:spPr>
        <a:xfrm>
          <a:off x="851316" y="9572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51ECBFEF-9B91-46AB-885B-F6800F2688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187158</xdr:rowOff>
    </xdr:from>
    <xdr:to>
      <xdr:col>1</xdr:col>
      <xdr:colOff>1564105</xdr:colOff>
      <xdr:row>20</xdr:row>
      <xdr:rowOff>0</xdr:rowOff>
    </xdr:to>
    <xdr:cxnSp macro="">
      <xdr:nvCxnSpPr>
        <xdr:cNvPr id="8" name="Straight Connector 7">
          <a:extLst>
            <a:ext uri="{FF2B5EF4-FFF2-40B4-BE49-F238E27FC236}">
              <a16:creationId xmlns:a16="http://schemas.microsoft.com/office/drawing/2014/main" id="{F0D8239B-D787-4A93-B7A7-A93256621ABF}"/>
            </a:ext>
          </a:extLst>
        </xdr:cNvPr>
        <xdr:cNvCxnSpPr/>
      </xdr:nvCxnSpPr>
      <xdr:spPr>
        <a:xfrm flipV="1">
          <a:off x="822080" y="78960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AC375606-76FE-4E79-89BC-15B9F8DAD370}"/>
            </a:ext>
          </a:extLst>
        </xdr:cNvPr>
        <xdr:cNvCxnSpPr/>
      </xdr:nvCxnSpPr>
      <xdr:spPr>
        <a:xfrm>
          <a:off x="4683125" y="79089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0385ABA5-6E07-47DE-BDEE-CA64204FE2AC}"/>
            </a:ext>
          </a:extLst>
        </xdr:cNvPr>
        <xdr:cNvCxnSpPr/>
      </xdr:nvCxnSpPr>
      <xdr:spPr>
        <a:xfrm flipV="1">
          <a:off x="8867653" y="78803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DA09EAAD-902F-44AE-B951-257DD3AED8DF}"/>
            </a:ext>
          </a:extLst>
        </xdr:cNvPr>
        <xdr:cNvCxnSpPr/>
      </xdr:nvCxnSpPr>
      <xdr:spPr>
        <a:xfrm>
          <a:off x="851316" y="9572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AF678545-BB0B-4539-858F-B9562423E7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28</xdr:row>
      <xdr:rowOff>0</xdr:rowOff>
    </xdr:from>
    <xdr:to>
      <xdr:col>1</xdr:col>
      <xdr:colOff>306387</xdr:colOff>
      <xdr:row>28</xdr:row>
      <xdr:rowOff>0</xdr:rowOff>
    </xdr:to>
    <xdr:cxnSp macro="">
      <xdr:nvCxnSpPr>
        <xdr:cNvPr id="8" name="Straight Connector 7">
          <a:extLst>
            <a:ext uri="{FF2B5EF4-FFF2-40B4-BE49-F238E27FC236}">
              <a16:creationId xmlns:a16="http://schemas.microsoft.com/office/drawing/2014/main" id="{50FE468F-F687-46FD-986B-EBF4862138B7}"/>
            </a:ext>
          </a:extLst>
        </xdr:cNvPr>
        <xdr:cNvCxnSpPr/>
      </xdr:nvCxnSpPr>
      <xdr:spPr>
        <a:xfrm>
          <a:off x="19050" y="59182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28</xdr:row>
      <xdr:rowOff>0</xdr:rowOff>
    </xdr:from>
    <xdr:to>
      <xdr:col>5</xdr:col>
      <xdr:colOff>755650</xdr:colOff>
      <xdr:row>28</xdr:row>
      <xdr:rowOff>0</xdr:rowOff>
    </xdr:to>
    <xdr:cxnSp macro="">
      <xdr:nvCxnSpPr>
        <xdr:cNvPr id="9" name="Straight Connector 8">
          <a:extLst>
            <a:ext uri="{FF2B5EF4-FFF2-40B4-BE49-F238E27FC236}">
              <a16:creationId xmlns:a16="http://schemas.microsoft.com/office/drawing/2014/main" id="{595ADF5E-3E28-40A0-98C6-C1E0E95F5681}"/>
            </a:ext>
          </a:extLst>
        </xdr:cNvPr>
        <xdr:cNvCxnSpPr/>
      </xdr:nvCxnSpPr>
      <xdr:spPr>
        <a:xfrm>
          <a:off x="4108450" y="59182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28</xdr:row>
      <xdr:rowOff>6350</xdr:rowOff>
    </xdr:from>
    <xdr:to>
      <xdr:col>11</xdr:col>
      <xdr:colOff>139700</xdr:colOff>
      <xdr:row>28</xdr:row>
      <xdr:rowOff>6350</xdr:rowOff>
    </xdr:to>
    <xdr:cxnSp macro="">
      <xdr:nvCxnSpPr>
        <xdr:cNvPr id="10" name="Straight Connector 9">
          <a:extLst>
            <a:ext uri="{FF2B5EF4-FFF2-40B4-BE49-F238E27FC236}">
              <a16:creationId xmlns:a16="http://schemas.microsoft.com/office/drawing/2014/main" id="{B7260CF4-CE45-4EB6-B228-CEBD829F34AB}"/>
            </a:ext>
          </a:extLst>
        </xdr:cNvPr>
        <xdr:cNvCxnSpPr/>
      </xdr:nvCxnSpPr>
      <xdr:spPr>
        <a:xfrm>
          <a:off x="9366250" y="59245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28</xdr:row>
      <xdr:rowOff>0</xdr:rowOff>
    </xdr:from>
    <xdr:to>
      <xdr:col>7</xdr:col>
      <xdr:colOff>775074</xdr:colOff>
      <xdr:row>28</xdr:row>
      <xdr:rowOff>3113</xdr:rowOff>
    </xdr:to>
    <xdr:cxnSp macro="">
      <xdr:nvCxnSpPr>
        <xdr:cNvPr id="11" name="Straight Connector 10">
          <a:extLst>
            <a:ext uri="{FF2B5EF4-FFF2-40B4-BE49-F238E27FC236}">
              <a16:creationId xmlns:a16="http://schemas.microsoft.com/office/drawing/2014/main" id="{4C31C872-7508-4898-A679-FF18F55AB689}"/>
            </a:ext>
          </a:extLst>
        </xdr:cNvPr>
        <xdr:cNvCxnSpPr/>
      </xdr:nvCxnSpPr>
      <xdr:spPr>
        <a:xfrm>
          <a:off x="5895663" y="59182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oneCellAnchor>
    <xdr:from>
      <xdr:col>0</xdr:col>
      <xdr:colOff>19051</xdr:colOff>
      <xdr:row>0</xdr:row>
      <xdr:rowOff>47625</xdr:rowOff>
    </xdr:from>
    <xdr:ext cx="1003299" cy="390525"/>
    <xdr:pic>
      <xdr:nvPicPr>
        <xdr:cNvPr id="7" name="Picture 6" descr="image001">
          <a:extLst>
            <a:ext uri="{FF2B5EF4-FFF2-40B4-BE49-F238E27FC236}">
              <a16:creationId xmlns:a16="http://schemas.microsoft.com/office/drawing/2014/main" id="{076A424C-467C-41FF-818A-AF27FC3B3BE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003299" cy="390525"/>
        </a:xfrm>
        <a:prstGeom prst="rect">
          <a:avLst/>
        </a:prstGeom>
        <a:noFill/>
        <a:ln>
          <a:noFill/>
        </a:ln>
      </xdr:spPr>
    </xdr:pic>
    <xdr:clientData/>
  </xdr:oneCellAnchor>
  <xdr:twoCellAnchor>
    <xdr:from>
      <xdr:col>0</xdr:col>
      <xdr:colOff>19050</xdr:colOff>
      <xdr:row>27</xdr:row>
      <xdr:rowOff>0</xdr:rowOff>
    </xdr:from>
    <xdr:to>
      <xdr:col>1</xdr:col>
      <xdr:colOff>306387</xdr:colOff>
      <xdr:row>27</xdr:row>
      <xdr:rowOff>0</xdr:rowOff>
    </xdr:to>
    <xdr:cxnSp macro="">
      <xdr:nvCxnSpPr>
        <xdr:cNvPr id="8" name="Straight Connector 7">
          <a:extLst>
            <a:ext uri="{FF2B5EF4-FFF2-40B4-BE49-F238E27FC236}">
              <a16:creationId xmlns:a16="http://schemas.microsoft.com/office/drawing/2014/main" id="{77961C83-C740-4FE6-B0C1-9C919E2149B6}"/>
            </a:ext>
          </a:extLst>
        </xdr:cNvPr>
        <xdr:cNvCxnSpPr/>
      </xdr:nvCxnSpPr>
      <xdr:spPr>
        <a:xfrm>
          <a:off x="19050" y="55499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27</xdr:row>
      <xdr:rowOff>0</xdr:rowOff>
    </xdr:from>
    <xdr:to>
      <xdr:col>5</xdr:col>
      <xdr:colOff>755650</xdr:colOff>
      <xdr:row>27</xdr:row>
      <xdr:rowOff>0</xdr:rowOff>
    </xdr:to>
    <xdr:cxnSp macro="">
      <xdr:nvCxnSpPr>
        <xdr:cNvPr id="9" name="Straight Connector 8">
          <a:extLst>
            <a:ext uri="{FF2B5EF4-FFF2-40B4-BE49-F238E27FC236}">
              <a16:creationId xmlns:a16="http://schemas.microsoft.com/office/drawing/2014/main" id="{72AA8DB4-4B7C-4D38-BF70-30926A3D8A72}"/>
            </a:ext>
          </a:extLst>
        </xdr:cNvPr>
        <xdr:cNvCxnSpPr/>
      </xdr:nvCxnSpPr>
      <xdr:spPr>
        <a:xfrm>
          <a:off x="4108450" y="55499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27</xdr:row>
      <xdr:rowOff>6350</xdr:rowOff>
    </xdr:from>
    <xdr:to>
      <xdr:col>11</xdr:col>
      <xdr:colOff>139700</xdr:colOff>
      <xdr:row>27</xdr:row>
      <xdr:rowOff>6350</xdr:rowOff>
    </xdr:to>
    <xdr:cxnSp macro="">
      <xdr:nvCxnSpPr>
        <xdr:cNvPr id="10" name="Straight Connector 9">
          <a:extLst>
            <a:ext uri="{FF2B5EF4-FFF2-40B4-BE49-F238E27FC236}">
              <a16:creationId xmlns:a16="http://schemas.microsoft.com/office/drawing/2014/main" id="{6DD4B4D6-B981-49B0-AB4D-F046656149A6}"/>
            </a:ext>
          </a:extLst>
        </xdr:cNvPr>
        <xdr:cNvCxnSpPr/>
      </xdr:nvCxnSpPr>
      <xdr:spPr>
        <a:xfrm>
          <a:off x="9366250" y="55562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27</xdr:row>
      <xdr:rowOff>0</xdr:rowOff>
    </xdr:from>
    <xdr:to>
      <xdr:col>7</xdr:col>
      <xdr:colOff>775074</xdr:colOff>
      <xdr:row>27</xdr:row>
      <xdr:rowOff>3113</xdr:rowOff>
    </xdr:to>
    <xdr:cxnSp macro="">
      <xdr:nvCxnSpPr>
        <xdr:cNvPr id="11" name="Straight Connector 10">
          <a:extLst>
            <a:ext uri="{FF2B5EF4-FFF2-40B4-BE49-F238E27FC236}">
              <a16:creationId xmlns:a16="http://schemas.microsoft.com/office/drawing/2014/main" id="{3233E561-EF9A-48DC-8D7A-2D2D5401D0FA}"/>
            </a:ext>
          </a:extLst>
        </xdr:cNvPr>
        <xdr:cNvCxnSpPr/>
      </xdr:nvCxnSpPr>
      <xdr:spPr>
        <a:xfrm>
          <a:off x="5895663" y="55499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E1994BFF-E1B0-4191-B647-8BBC4AD6689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22</xdr:row>
      <xdr:rowOff>0</xdr:rowOff>
    </xdr:from>
    <xdr:to>
      <xdr:col>1</xdr:col>
      <xdr:colOff>306387</xdr:colOff>
      <xdr:row>22</xdr:row>
      <xdr:rowOff>0</xdr:rowOff>
    </xdr:to>
    <xdr:cxnSp macro="">
      <xdr:nvCxnSpPr>
        <xdr:cNvPr id="8" name="Straight Connector 7">
          <a:extLst>
            <a:ext uri="{FF2B5EF4-FFF2-40B4-BE49-F238E27FC236}">
              <a16:creationId xmlns:a16="http://schemas.microsoft.com/office/drawing/2014/main" id="{4F10ED3F-11C2-49BB-B880-DC5E4B44C37D}"/>
            </a:ext>
          </a:extLst>
        </xdr:cNvPr>
        <xdr:cNvCxnSpPr/>
      </xdr:nvCxnSpPr>
      <xdr:spPr>
        <a:xfrm>
          <a:off x="19050" y="40767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22</xdr:row>
      <xdr:rowOff>0</xdr:rowOff>
    </xdr:from>
    <xdr:to>
      <xdr:col>5</xdr:col>
      <xdr:colOff>755650</xdr:colOff>
      <xdr:row>22</xdr:row>
      <xdr:rowOff>0</xdr:rowOff>
    </xdr:to>
    <xdr:cxnSp macro="">
      <xdr:nvCxnSpPr>
        <xdr:cNvPr id="9" name="Straight Connector 8">
          <a:extLst>
            <a:ext uri="{FF2B5EF4-FFF2-40B4-BE49-F238E27FC236}">
              <a16:creationId xmlns:a16="http://schemas.microsoft.com/office/drawing/2014/main" id="{6E97A5A1-6AAC-43CD-B4F6-6553F7F3AC83}"/>
            </a:ext>
          </a:extLst>
        </xdr:cNvPr>
        <xdr:cNvCxnSpPr/>
      </xdr:nvCxnSpPr>
      <xdr:spPr>
        <a:xfrm>
          <a:off x="4108450" y="40767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22</xdr:row>
      <xdr:rowOff>6350</xdr:rowOff>
    </xdr:from>
    <xdr:to>
      <xdr:col>11</xdr:col>
      <xdr:colOff>139700</xdr:colOff>
      <xdr:row>22</xdr:row>
      <xdr:rowOff>6350</xdr:rowOff>
    </xdr:to>
    <xdr:cxnSp macro="">
      <xdr:nvCxnSpPr>
        <xdr:cNvPr id="10" name="Straight Connector 9">
          <a:extLst>
            <a:ext uri="{FF2B5EF4-FFF2-40B4-BE49-F238E27FC236}">
              <a16:creationId xmlns:a16="http://schemas.microsoft.com/office/drawing/2014/main" id="{8A8F70F7-9069-44D8-8EA4-40075BE81B20}"/>
            </a:ext>
          </a:extLst>
        </xdr:cNvPr>
        <xdr:cNvCxnSpPr/>
      </xdr:nvCxnSpPr>
      <xdr:spPr>
        <a:xfrm>
          <a:off x="9366250" y="40830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22</xdr:row>
      <xdr:rowOff>0</xdr:rowOff>
    </xdr:from>
    <xdr:to>
      <xdr:col>7</xdr:col>
      <xdr:colOff>775074</xdr:colOff>
      <xdr:row>22</xdr:row>
      <xdr:rowOff>3113</xdr:rowOff>
    </xdr:to>
    <xdr:cxnSp macro="">
      <xdr:nvCxnSpPr>
        <xdr:cNvPr id="11" name="Straight Connector 10">
          <a:extLst>
            <a:ext uri="{FF2B5EF4-FFF2-40B4-BE49-F238E27FC236}">
              <a16:creationId xmlns:a16="http://schemas.microsoft.com/office/drawing/2014/main" id="{25F5E513-EE9E-4855-BE50-4AA13ECBC7A8}"/>
            </a:ext>
          </a:extLst>
        </xdr:cNvPr>
        <xdr:cNvCxnSpPr/>
      </xdr:nvCxnSpPr>
      <xdr:spPr>
        <a:xfrm>
          <a:off x="5895663" y="40767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CE5DB1B3-C734-415D-AA8B-13C70E7A8D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20</xdr:row>
      <xdr:rowOff>0</xdr:rowOff>
    </xdr:from>
    <xdr:to>
      <xdr:col>1</xdr:col>
      <xdr:colOff>306387</xdr:colOff>
      <xdr:row>20</xdr:row>
      <xdr:rowOff>0</xdr:rowOff>
    </xdr:to>
    <xdr:cxnSp macro="">
      <xdr:nvCxnSpPr>
        <xdr:cNvPr id="8" name="Straight Connector 7">
          <a:extLst>
            <a:ext uri="{FF2B5EF4-FFF2-40B4-BE49-F238E27FC236}">
              <a16:creationId xmlns:a16="http://schemas.microsoft.com/office/drawing/2014/main" id="{64481E7C-7F64-4B11-81D2-F7A3B4F2B042}"/>
            </a:ext>
          </a:extLst>
        </xdr:cNvPr>
        <xdr:cNvCxnSpPr/>
      </xdr:nvCxnSpPr>
      <xdr:spPr>
        <a:xfrm>
          <a:off x="19050" y="49530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20</xdr:row>
      <xdr:rowOff>0</xdr:rowOff>
    </xdr:from>
    <xdr:to>
      <xdr:col>5</xdr:col>
      <xdr:colOff>755650</xdr:colOff>
      <xdr:row>20</xdr:row>
      <xdr:rowOff>0</xdr:rowOff>
    </xdr:to>
    <xdr:cxnSp macro="">
      <xdr:nvCxnSpPr>
        <xdr:cNvPr id="9" name="Straight Connector 8">
          <a:extLst>
            <a:ext uri="{FF2B5EF4-FFF2-40B4-BE49-F238E27FC236}">
              <a16:creationId xmlns:a16="http://schemas.microsoft.com/office/drawing/2014/main" id="{80F4A6A5-3FAF-493A-ABC7-A719856FD94F}"/>
            </a:ext>
          </a:extLst>
        </xdr:cNvPr>
        <xdr:cNvCxnSpPr/>
      </xdr:nvCxnSpPr>
      <xdr:spPr>
        <a:xfrm>
          <a:off x="4108450" y="4953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20</xdr:row>
      <xdr:rowOff>6350</xdr:rowOff>
    </xdr:from>
    <xdr:to>
      <xdr:col>11</xdr:col>
      <xdr:colOff>139700</xdr:colOff>
      <xdr:row>20</xdr:row>
      <xdr:rowOff>6350</xdr:rowOff>
    </xdr:to>
    <xdr:cxnSp macro="">
      <xdr:nvCxnSpPr>
        <xdr:cNvPr id="10" name="Straight Connector 9">
          <a:extLst>
            <a:ext uri="{FF2B5EF4-FFF2-40B4-BE49-F238E27FC236}">
              <a16:creationId xmlns:a16="http://schemas.microsoft.com/office/drawing/2014/main" id="{E1AFC030-91FE-47DC-88A5-AC5E20561A9F}"/>
            </a:ext>
          </a:extLst>
        </xdr:cNvPr>
        <xdr:cNvCxnSpPr/>
      </xdr:nvCxnSpPr>
      <xdr:spPr>
        <a:xfrm>
          <a:off x="9366250" y="4959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20</xdr:row>
      <xdr:rowOff>0</xdr:rowOff>
    </xdr:from>
    <xdr:to>
      <xdr:col>7</xdr:col>
      <xdr:colOff>775074</xdr:colOff>
      <xdr:row>20</xdr:row>
      <xdr:rowOff>3113</xdr:rowOff>
    </xdr:to>
    <xdr:cxnSp macro="">
      <xdr:nvCxnSpPr>
        <xdr:cNvPr id="11" name="Straight Connector 10">
          <a:extLst>
            <a:ext uri="{FF2B5EF4-FFF2-40B4-BE49-F238E27FC236}">
              <a16:creationId xmlns:a16="http://schemas.microsoft.com/office/drawing/2014/main" id="{4F214755-520C-4C21-9BFD-766381BA7705}"/>
            </a:ext>
          </a:extLst>
        </xdr:cNvPr>
        <xdr:cNvCxnSpPr/>
      </xdr:nvCxnSpPr>
      <xdr:spPr>
        <a:xfrm>
          <a:off x="5895663" y="49530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21DD1E6B-ECB9-4648-836A-A970A36B6F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30</xdr:row>
      <xdr:rowOff>0</xdr:rowOff>
    </xdr:from>
    <xdr:to>
      <xdr:col>1</xdr:col>
      <xdr:colOff>306387</xdr:colOff>
      <xdr:row>30</xdr:row>
      <xdr:rowOff>0</xdr:rowOff>
    </xdr:to>
    <xdr:cxnSp macro="">
      <xdr:nvCxnSpPr>
        <xdr:cNvPr id="8" name="Straight Connector 7">
          <a:extLst>
            <a:ext uri="{FF2B5EF4-FFF2-40B4-BE49-F238E27FC236}">
              <a16:creationId xmlns:a16="http://schemas.microsoft.com/office/drawing/2014/main" id="{A0B642A7-8893-4E8F-BC19-F09C2D12EB00}"/>
            </a:ext>
          </a:extLst>
        </xdr:cNvPr>
        <xdr:cNvCxnSpPr/>
      </xdr:nvCxnSpPr>
      <xdr:spPr>
        <a:xfrm>
          <a:off x="19050" y="44958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D8535894-D4CE-4BD0-8E32-7B7530A84DDE}"/>
            </a:ext>
          </a:extLst>
        </xdr:cNvPr>
        <xdr:cNvCxnSpPr/>
      </xdr:nvCxnSpPr>
      <xdr:spPr>
        <a:xfrm>
          <a:off x="4108450" y="4495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EAE6BD0B-77B8-4EA3-901B-C427E6D045BC}"/>
            </a:ext>
          </a:extLst>
        </xdr:cNvPr>
        <xdr:cNvCxnSpPr/>
      </xdr:nvCxnSpPr>
      <xdr:spPr>
        <a:xfrm>
          <a:off x="9366250" y="4502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30</xdr:row>
      <xdr:rowOff>0</xdr:rowOff>
    </xdr:from>
    <xdr:to>
      <xdr:col>7</xdr:col>
      <xdr:colOff>775074</xdr:colOff>
      <xdr:row>30</xdr:row>
      <xdr:rowOff>3113</xdr:rowOff>
    </xdr:to>
    <xdr:cxnSp macro="">
      <xdr:nvCxnSpPr>
        <xdr:cNvPr id="11" name="Straight Connector 10">
          <a:extLst>
            <a:ext uri="{FF2B5EF4-FFF2-40B4-BE49-F238E27FC236}">
              <a16:creationId xmlns:a16="http://schemas.microsoft.com/office/drawing/2014/main" id="{B4F475E7-494B-4DAF-9E97-111A5FD8265E}"/>
            </a:ext>
          </a:extLst>
        </xdr:cNvPr>
        <xdr:cNvCxnSpPr/>
      </xdr:nvCxnSpPr>
      <xdr:spPr>
        <a:xfrm>
          <a:off x="5895663" y="44958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4.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6B54288E-397B-43F2-9F2E-44005492D4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412750</xdr:colOff>
      <xdr:row>18</xdr:row>
      <xdr:rowOff>184150</xdr:rowOff>
    </xdr:from>
    <xdr:to>
      <xdr:col>1</xdr:col>
      <xdr:colOff>1390650</xdr:colOff>
      <xdr:row>19</xdr:row>
      <xdr:rowOff>0</xdr:rowOff>
    </xdr:to>
    <xdr:cxnSp macro="">
      <xdr:nvCxnSpPr>
        <xdr:cNvPr id="8" name="Straight Connector 7">
          <a:extLst>
            <a:ext uri="{FF2B5EF4-FFF2-40B4-BE49-F238E27FC236}">
              <a16:creationId xmlns:a16="http://schemas.microsoft.com/office/drawing/2014/main" id="{AD57CA3E-A875-46EC-B0A7-BF4887500BCB}"/>
            </a:ext>
          </a:extLst>
        </xdr:cNvPr>
        <xdr:cNvCxnSpPr/>
      </xdr:nvCxnSpPr>
      <xdr:spPr>
        <a:xfrm>
          <a:off x="819150" y="3886200"/>
          <a:ext cx="977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19</xdr:row>
      <xdr:rowOff>0</xdr:rowOff>
    </xdr:from>
    <xdr:to>
      <xdr:col>5</xdr:col>
      <xdr:colOff>755650</xdr:colOff>
      <xdr:row>19</xdr:row>
      <xdr:rowOff>0</xdr:rowOff>
    </xdr:to>
    <xdr:cxnSp macro="">
      <xdr:nvCxnSpPr>
        <xdr:cNvPr id="9" name="Straight Connector 8">
          <a:extLst>
            <a:ext uri="{FF2B5EF4-FFF2-40B4-BE49-F238E27FC236}">
              <a16:creationId xmlns:a16="http://schemas.microsoft.com/office/drawing/2014/main" id="{133B7B29-3652-442C-8DE9-89DF7065D80B}"/>
            </a:ext>
          </a:extLst>
        </xdr:cNvPr>
        <xdr:cNvCxnSpPr/>
      </xdr:nvCxnSpPr>
      <xdr:spPr>
        <a:xfrm>
          <a:off x="4108450" y="40767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19</xdr:row>
      <xdr:rowOff>6350</xdr:rowOff>
    </xdr:from>
    <xdr:to>
      <xdr:col>11</xdr:col>
      <xdr:colOff>139700</xdr:colOff>
      <xdr:row>19</xdr:row>
      <xdr:rowOff>6350</xdr:rowOff>
    </xdr:to>
    <xdr:cxnSp macro="">
      <xdr:nvCxnSpPr>
        <xdr:cNvPr id="10" name="Straight Connector 9">
          <a:extLst>
            <a:ext uri="{FF2B5EF4-FFF2-40B4-BE49-F238E27FC236}">
              <a16:creationId xmlns:a16="http://schemas.microsoft.com/office/drawing/2014/main" id="{6ADAF777-E630-46CD-921D-E3526E517854}"/>
            </a:ext>
          </a:extLst>
        </xdr:cNvPr>
        <xdr:cNvCxnSpPr/>
      </xdr:nvCxnSpPr>
      <xdr:spPr>
        <a:xfrm>
          <a:off x="9366250" y="40830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19</xdr:row>
      <xdr:rowOff>0</xdr:rowOff>
    </xdr:from>
    <xdr:to>
      <xdr:col>7</xdr:col>
      <xdr:colOff>775074</xdr:colOff>
      <xdr:row>19</xdr:row>
      <xdr:rowOff>3113</xdr:rowOff>
    </xdr:to>
    <xdr:cxnSp macro="">
      <xdr:nvCxnSpPr>
        <xdr:cNvPr id="11" name="Straight Connector 10">
          <a:extLst>
            <a:ext uri="{FF2B5EF4-FFF2-40B4-BE49-F238E27FC236}">
              <a16:creationId xmlns:a16="http://schemas.microsoft.com/office/drawing/2014/main" id="{DB397DF0-EE06-4B86-B601-6A67A4CB7A5D}"/>
            </a:ext>
          </a:extLst>
        </xdr:cNvPr>
        <xdr:cNvCxnSpPr/>
      </xdr:nvCxnSpPr>
      <xdr:spPr>
        <a:xfrm>
          <a:off x="5895663" y="40767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5.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BE7C70E8-E04D-4F70-A0CD-BF866F616C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18</xdr:row>
      <xdr:rowOff>0</xdr:rowOff>
    </xdr:from>
    <xdr:to>
      <xdr:col>1</xdr:col>
      <xdr:colOff>306387</xdr:colOff>
      <xdr:row>18</xdr:row>
      <xdr:rowOff>0</xdr:rowOff>
    </xdr:to>
    <xdr:cxnSp macro="">
      <xdr:nvCxnSpPr>
        <xdr:cNvPr id="3" name="Straight Connector 2">
          <a:extLst>
            <a:ext uri="{FF2B5EF4-FFF2-40B4-BE49-F238E27FC236}">
              <a16:creationId xmlns:a16="http://schemas.microsoft.com/office/drawing/2014/main" id="{34EEAB03-1155-496F-9493-336CA1710E21}"/>
            </a:ext>
          </a:extLst>
        </xdr:cNvPr>
        <xdr:cNvCxnSpPr/>
      </xdr:nvCxnSpPr>
      <xdr:spPr>
        <a:xfrm>
          <a:off x="19050" y="5549900"/>
          <a:ext cx="7953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18</xdr:row>
      <xdr:rowOff>0</xdr:rowOff>
    </xdr:from>
    <xdr:to>
      <xdr:col>5</xdr:col>
      <xdr:colOff>755650</xdr:colOff>
      <xdr:row>18</xdr:row>
      <xdr:rowOff>0</xdr:rowOff>
    </xdr:to>
    <xdr:cxnSp macro="">
      <xdr:nvCxnSpPr>
        <xdr:cNvPr id="4" name="Straight Connector 3">
          <a:extLst>
            <a:ext uri="{FF2B5EF4-FFF2-40B4-BE49-F238E27FC236}">
              <a16:creationId xmlns:a16="http://schemas.microsoft.com/office/drawing/2014/main" id="{A268B67C-3319-4D4C-BA30-9FF9ED6E8C17}"/>
            </a:ext>
          </a:extLst>
        </xdr:cNvPr>
        <xdr:cNvCxnSpPr/>
      </xdr:nvCxnSpPr>
      <xdr:spPr>
        <a:xfrm>
          <a:off x="4032250" y="4953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18</xdr:row>
      <xdr:rowOff>6350</xdr:rowOff>
    </xdr:from>
    <xdr:to>
      <xdr:col>11</xdr:col>
      <xdr:colOff>139700</xdr:colOff>
      <xdr:row>18</xdr:row>
      <xdr:rowOff>6350</xdr:rowOff>
    </xdr:to>
    <xdr:cxnSp macro="">
      <xdr:nvCxnSpPr>
        <xdr:cNvPr id="5" name="Straight Connector 4">
          <a:extLst>
            <a:ext uri="{FF2B5EF4-FFF2-40B4-BE49-F238E27FC236}">
              <a16:creationId xmlns:a16="http://schemas.microsoft.com/office/drawing/2014/main" id="{F549A992-D7EF-499E-9C4D-42C287D8F41A}"/>
            </a:ext>
          </a:extLst>
        </xdr:cNvPr>
        <xdr:cNvCxnSpPr/>
      </xdr:nvCxnSpPr>
      <xdr:spPr>
        <a:xfrm>
          <a:off x="9290050" y="4959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18</xdr:row>
      <xdr:rowOff>0</xdr:rowOff>
    </xdr:from>
    <xdr:to>
      <xdr:col>7</xdr:col>
      <xdr:colOff>775074</xdr:colOff>
      <xdr:row>18</xdr:row>
      <xdr:rowOff>3113</xdr:rowOff>
    </xdr:to>
    <xdr:cxnSp macro="">
      <xdr:nvCxnSpPr>
        <xdr:cNvPr id="11" name="Straight Connector 10">
          <a:extLst>
            <a:ext uri="{FF2B5EF4-FFF2-40B4-BE49-F238E27FC236}">
              <a16:creationId xmlns:a16="http://schemas.microsoft.com/office/drawing/2014/main" id="{7FFE81B4-3805-C80A-970A-FECED3A7BC30}"/>
            </a:ext>
          </a:extLst>
        </xdr:cNvPr>
        <xdr:cNvCxnSpPr/>
      </xdr:nvCxnSpPr>
      <xdr:spPr>
        <a:xfrm>
          <a:off x="5820833" y="4946152"/>
          <a:ext cx="1730687"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6.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7" name="Picture 6" descr="image001">
          <a:extLst>
            <a:ext uri="{FF2B5EF4-FFF2-40B4-BE49-F238E27FC236}">
              <a16:creationId xmlns:a16="http://schemas.microsoft.com/office/drawing/2014/main" id="{BE300BAD-BCE4-4B42-AF66-1DA5893CB8B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0</xdr:col>
      <xdr:colOff>19050</xdr:colOff>
      <xdr:row>22</xdr:row>
      <xdr:rowOff>0</xdr:rowOff>
    </xdr:from>
    <xdr:to>
      <xdr:col>1</xdr:col>
      <xdr:colOff>306387</xdr:colOff>
      <xdr:row>22</xdr:row>
      <xdr:rowOff>0</xdr:rowOff>
    </xdr:to>
    <xdr:cxnSp macro="">
      <xdr:nvCxnSpPr>
        <xdr:cNvPr id="8" name="Straight Connector 7">
          <a:extLst>
            <a:ext uri="{FF2B5EF4-FFF2-40B4-BE49-F238E27FC236}">
              <a16:creationId xmlns:a16="http://schemas.microsoft.com/office/drawing/2014/main" id="{15F1E0F7-292D-4927-AC76-312015976878}"/>
            </a:ext>
          </a:extLst>
        </xdr:cNvPr>
        <xdr:cNvCxnSpPr/>
      </xdr:nvCxnSpPr>
      <xdr:spPr>
        <a:xfrm>
          <a:off x="19050" y="49530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22</xdr:row>
      <xdr:rowOff>0</xdr:rowOff>
    </xdr:from>
    <xdr:to>
      <xdr:col>5</xdr:col>
      <xdr:colOff>755650</xdr:colOff>
      <xdr:row>22</xdr:row>
      <xdr:rowOff>0</xdr:rowOff>
    </xdr:to>
    <xdr:cxnSp macro="">
      <xdr:nvCxnSpPr>
        <xdr:cNvPr id="9" name="Straight Connector 8">
          <a:extLst>
            <a:ext uri="{FF2B5EF4-FFF2-40B4-BE49-F238E27FC236}">
              <a16:creationId xmlns:a16="http://schemas.microsoft.com/office/drawing/2014/main" id="{FA1807D3-75DF-499A-9699-91759ABC5FB3}"/>
            </a:ext>
          </a:extLst>
        </xdr:cNvPr>
        <xdr:cNvCxnSpPr/>
      </xdr:nvCxnSpPr>
      <xdr:spPr>
        <a:xfrm>
          <a:off x="4108450" y="4953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22</xdr:row>
      <xdr:rowOff>6350</xdr:rowOff>
    </xdr:from>
    <xdr:to>
      <xdr:col>11</xdr:col>
      <xdr:colOff>139700</xdr:colOff>
      <xdr:row>22</xdr:row>
      <xdr:rowOff>6350</xdr:rowOff>
    </xdr:to>
    <xdr:cxnSp macro="">
      <xdr:nvCxnSpPr>
        <xdr:cNvPr id="10" name="Straight Connector 9">
          <a:extLst>
            <a:ext uri="{FF2B5EF4-FFF2-40B4-BE49-F238E27FC236}">
              <a16:creationId xmlns:a16="http://schemas.microsoft.com/office/drawing/2014/main" id="{4056C12D-D7B8-4925-BCD0-E9B8D80BA300}"/>
            </a:ext>
          </a:extLst>
        </xdr:cNvPr>
        <xdr:cNvCxnSpPr/>
      </xdr:nvCxnSpPr>
      <xdr:spPr>
        <a:xfrm>
          <a:off x="9366250" y="4959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22</xdr:row>
      <xdr:rowOff>0</xdr:rowOff>
    </xdr:from>
    <xdr:to>
      <xdr:col>7</xdr:col>
      <xdr:colOff>775074</xdr:colOff>
      <xdr:row>22</xdr:row>
      <xdr:rowOff>3113</xdr:rowOff>
    </xdr:to>
    <xdr:cxnSp macro="">
      <xdr:nvCxnSpPr>
        <xdr:cNvPr id="11" name="Straight Connector 10">
          <a:extLst>
            <a:ext uri="{FF2B5EF4-FFF2-40B4-BE49-F238E27FC236}">
              <a16:creationId xmlns:a16="http://schemas.microsoft.com/office/drawing/2014/main" id="{B33A267F-E8DB-477F-8F0C-8938F539BB85}"/>
            </a:ext>
          </a:extLst>
        </xdr:cNvPr>
        <xdr:cNvCxnSpPr/>
      </xdr:nvCxnSpPr>
      <xdr:spPr>
        <a:xfrm>
          <a:off x="5895663" y="49530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57.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3DD86D9E-938A-4E44-817A-3CF211565E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168030</xdr:colOff>
      <xdr:row>18</xdr:row>
      <xdr:rowOff>187158</xdr:rowOff>
    </xdr:from>
    <xdr:to>
      <xdr:col>1</xdr:col>
      <xdr:colOff>1310105</xdr:colOff>
      <xdr:row>19</xdr:row>
      <xdr:rowOff>0</xdr:rowOff>
    </xdr:to>
    <xdr:cxnSp macro="">
      <xdr:nvCxnSpPr>
        <xdr:cNvPr id="3" name="Straight Connector 2">
          <a:extLst>
            <a:ext uri="{FF2B5EF4-FFF2-40B4-BE49-F238E27FC236}">
              <a16:creationId xmlns:a16="http://schemas.microsoft.com/office/drawing/2014/main" id="{73DC6CD2-5AB7-46DE-9F70-0FE05A5F036D}"/>
            </a:ext>
          </a:extLst>
        </xdr:cNvPr>
        <xdr:cNvCxnSpPr/>
      </xdr:nvCxnSpPr>
      <xdr:spPr>
        <a:xfrm flipV="1">
          <a:off x="568080" y="64292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250825</xdr:colOff>
      <xdr:row>19</xdr:row>
      <xdr:rowOff>3175</xdr:rowOff>
    </xdr:from>
    <xdr:to>
      <xdr:col>5</xdr:col>
      <xdr:colOff>719137</xdr:colOff>
      <xdr:row>19</xdr:row>
      <xdr:rowOff>3175</xdr:rowOff>
    </xdr:to>
    <xdr:cxnSp macro="">
      <xdr:nvCxnSpPr>
        <xdr:cNvPr id="4" name="Straight Connector 3">
          <a:extLst>
            <a:ext uri="{FF2B5EF4-FFF2-40B4-BE49-F238E27FC236}">
              <a16:creationId xmlns:a16="http://schemas.microsoft.com/office/drawing/2014/main" id="{941F5DA1-6BBC-42C2-9DD7-1D2424274670}"/>
            </a:ext>
          </a:extLst>
        </xdr:cNvPr>
        <xdr:cNvCxnSpPr/>
      </xdr:nvCxnSpPr>
      <xdr:spPr>
        <a:xfrm>
          <a:off x="3775075" y="64357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18</xdr:row>
      <xdr:rowOff>171450</xdr:rowOff>
    </xdr:from>
    <xdr:to>
      <xdr:col>10</xdr:col>
      <xdr:colOff>1739900</xdr:colOff>
      <xdr:row>19</xdr:row>
      <xdr:rowOff>0</xdr:rowOff>
    </xdr:to>
    <xdr:cxnSp macro="">
      <xdr:nvCxnSpPr>
        <xdr:cNvPr id="5" name="Straight Connector 4">
          <a:extLst>
            <a:ext uri="{FF2B5EF4-FFF2-40B4-BE49-F238E27FC236}">
              <a16:creationId xmlns:a16="http://schemas.microsoft.com/office/drawing/2014/main" id="{E18F7DB9-0789-4A9A-A19F-77558BDE752B}"/>
            </a:ext>
          </a:extLst>
        </xdr:cNvPr>
        <xdr:cNvCxnSpPr/>
      </xdr:nvCxnSpPr>
      <xdr:spPr>
        <a:xfrm flipV="1">
          <a:off x="8727953" y="64135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58.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2" name="Picture 1" descr="image001">
          <a:extLst>
            <a:ext uri="{FF2B5EF4-FFF2-40B4-BE49-F238E27FC236}">
              <a16:creationId xmlns:a16="http://schemas.microsoft.com/office/drawing/2014/main" id="{D2C03D60-2AEF-4BE6-AF94-D145AE1C3E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168030</xdr:colOff>
      <xdr:row>27</xdr:row>
      <xdr:rowOff>187158</xdr:rowOff>
    </xdr:from>
    <xdr:to>
      <xdr:col>1</xdr:col>
      <xdr:colOff>1310105</xdr:colOff>
      <xdr:row>28</xdr:row>
      <xdr:rowOff>0</xdr:rowOff>
    </xdr:to>
    <xdr:cxnSp macro="">
      <xdr:nvCxnSpPr>
        <xdr:cNvPr id="3" name="Straight Connector 2">
          <a:extLst>
            <a:ext uri="{FF2B5EF4-FFF2-40B4-BE49-F238E27FC236}">
              <a16:creationId xmlns:a16="http://schemas.microsoft.com/office/drawing/2014/main" id="{D38563DD-E1E9-4679-89C2-E0C6D7F57FCB}"/>
            </a:ext>
          </a:extLst>
        </xdr:cNvPr>
        <xdr:cNvCxnSpPr/>
      </xdr:nvCxnSpPr>
      <xdr:spPr>
        <a:xfrm flipV="1">
          <a:off x="568080" y="44035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250825</xdr:colOff>
      <xdr:row>28</xdr:row>
      <xdr:rowOff>3175</xdr:rowOff>
    </xdr:from>
    <xdr:to>
      <xdr:col>5</xdr:col>
      <xdr:colOff>719137</xdr:colOff>
      <xdr:row>28</xdr:row>
      <xdr:rowOff>3175</xdr:rowOff>
    </xdr:to>
    <xdr:cxnSp macro="">
      <xdr:nvCxnSpPr>
        <xdr:cNvPr id="4" name="Straight Connector 3">
          <a:extLst>
            <a:ext uri="{FF2B5EF4-FFF2-40B4-BE49-F238E27FC236}">
              <a16:creationId xmlns:a16="http://schemas.microsoft.com/office/drawing/2014/main" id="{363FBFB4-8BDB-45A3-B6A1-4BCB1AF19C10}"/>
            </a:ext>
          </a:extLst>
        </xdr:cNvPr>
        <xdr:cNvCxnSpPr/>
      </xdr:nvCxnSpPr>
      <xdr:spPr>
        <a:xfrm>
          <a:off x="3775075" y="44100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5" name="Straight Connector 4">
          <a:extLst>
            <a:ext uri="{FF2B5EF4-FFF2-40B4-BE49-F238E27FC236}">
              <a16:creationId xmlns:a16="http://schemas.microsoft.com/office/drawing/2014/main" id="{0680DE58-F230-4910-B732-CB7A1420BF47}"/>
            </a:ext>
          </a:extLst>
        </xdr:cNvPr>
        <xdr:cNvCxnSpPr/>
      </xdr:nvCxnSpPr>
      <xdr:spPr>
        <a:xfrm flipV="1">
          <a:off x="7807203" y="4387850"/>
          <a:ext cx="118439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59.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FCF7C3D4-915D-4FC4-A93B-1D91DC4E158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24</xdr:row>
      <xdr:rowOff>0</xdr:rowOff>
    </xdr:from>
    <xdr:to>
      <xdr:col>1</xdr:col>
      <xdr:colOff>306387</xdr:colOff>
      <xdr:row>24</xdr:row>
      <xdr:rowOff>0</xdr:rowOff>
    </xdr:to>
    <xdr:cxnSp macro="">
      <xdr:nvCxnSpPr>
        <xdr:cNvPr id="8" name="Straight Connector 7">
          <a:extLst>
            <a:ext uri="{FF2B5EF4-FFF2-40B4-BE49-F238E27FC236}">
              <a16:creationId xmlns:a16="http://schemas.microsoft.com/office/drawing/2014/main" id="{BA4D3605-DA4C-4963-A7D5-C0978618A729}"/>
            </a:ext>
          </a:extLst>
        </xdr:cNvPr>
        <xdr:cNvCxnSpPr/>
      </xdr:nvCxnSpPr>
      <xdr:spPr>
        <a:xfrm>
          <a:off x="19050" y="50546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24</xdr:row>
      <xdr:rowOff>0</xdr:rowOff>
    </xdr:from>
    <xdr:to>
      <xdr:col>5</xdr:col>
      <xdr:colOff>755650</xdr:colOff>
      <xdr:row>24</xdr:row>
      <xdr:rowOff>0</xdr:rowOff>
    </xdr:to>
    <xdr:cxnSp macro="">
      <xdr:nvCxnSpPr>
        <xdr:cNvPr id="9" name="Straight Connector 8">
          <a:extLst>
            <a:ext uri="{FF2B5EF4-FFF2-40B4-BE49-F238E27FC236}">
              <a16:creationId xmlns:a16="http://schemas.microsoft.com/office/drawing/2014/main" id="{38EF269B-3953-4F5F-B960-F8EE2EC56568}"/>
            </a:ext>
          </a:extLst>
        </xdr:cNvPr>
        <xdr:cNvCxnSpPr/>
      </xdr:nvCxnSpPr>
      <xdr:spPr>
        <a:xfrm>
          <a:off x="4679950" y="50546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24</xdr:row>
      <xdr:rowOff>6350</xdr:rowOff>
    </xdr:from>
    <xdr:to>
      <xdr:col>11</xdr:col>
      <xdr:colOff>139700</xdr:colOff>
      <xdr:row>24</xdr:row>
      <xdr:rowOff>6350</xdr:rowOff>
    </xdr:to>
    <xdr:cxnSp macro="">
      <xdr:nvCxnSpPr>
        <xdr:cNvPr id="10" name="Straight Connector 9">
          <a:extLst>
            <a:ext uri="{FF2B5EF4-FFF2-40B4-BE49-F238E27FC236}">
              <a16:creationId xmlns:a16="http://schemas.microsoft.com/office/drawing/2014/main" id="{C97FDB8E-5052-43A3-B2A5-4BE84AE4EBEC}"/>
            </a:ext>
          </a:extLst>
        </xdr:cNvPr>
        <xdr:cNvCxnSpPr/>
      </xdr:nvCxnSpPr>
      <xdr:spPr>
        <a:xfrm>
          <a:off x="9937750" y="50609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24</xdr:row>
      <xdr:rowOff>0</xdr:rowOff>
    </xdr:from>
    <xdr:to>
      <xdr:col>7</xdr:col>
      <xdr:colOff>775074</xdr:colOff>
      <xdr:row>24</xdr:row>
      <xdr:rowOff>3113</xdr:rowOff>
    </xdr:to>
    <xdr:cxnSp macro="">
      <xdr:nvCxnSpPr>
        <xdr:cNvPr id="11" name="Straight Connector 10">
          <a:extLst>
            <a:ext uri="{FF2B5EF4-FFF2-40B4-BE49-F238E27FC236}">
              <a16:creationId xmlns:a16="http://schemas.microsoft.com/office/drawing/2014/main" id="{ED9E68A2-D6F2-420C-9A44-6224E7A021F1}"/>
            </a:ext>
          </a:extLst>
        </xdr:cNvPr>
        <xdr:cNvCxnSpPr/>
      </xdr:nvCxnSpPr>
      <xdr:spPr>
        <a:xfrm>
          <a:off x="6467163" y="50546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629066</xdr:colOff>
      <xdr:row>32</xdr:row>
      <xdr:rowOff>174547</xdr:rowOff>
    </xdr:from>
    <xdr:to>
      <xdr:col>2</xdr:col>
      <xdr:colOff>649200</xdr:colOff>
      <xdr:row>32</xdr:row>
      <xdr:rowOff>177645</xdr:rowOff>
    </xdr:to>
    <xdr:cxnSp macro="">
      <xdr:nvCxnSpPr>
        <xdr:cNvPr id="12" name="Straight Connector 11">
          <a:extLst>
            <a:ext uri="{FF2B5EF4-FFF2-40B4-BE49-F238E27FC236}">
              <a16:creationId xmlns:a16="http://schemas.microsoft.com/office/drawing/2014/main" id="{97470F38-2445-46A6-957B-661E0AD07130}"/>
            </a:ext>
          </a:extLst>
        </xdr:cNvPr>
        <xdr:cNvCxnSpPr/>
      </xdr:nvCxnSpPr>
      <xdr:spPr>
        <a:xfrm>
          <a:off x="1035466" y="6702347"/>
          <a:ext cx="2115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0.xml><?xml version="1.0" encoding="utf-8"?>
<xdr:wsDr xmlns:xdr="http://schemas.openxmlformats.org/drawingml/2006/spreadsheetDrawing" xmlns:a="http://schemas.openxmlformats.org/drawingml/2006/main">
  <xdr:twoCellAnchor>
    <xdr:from>
      <xdr:col>1</xdr:col>
      <xdr:colOff>422030</xdr:colOff>
      <xdr:row>31</xdr:row>
      <xdr:rowOff>187158</xdr:rowOff>
    </xdr:from>
    <xdr:to>
      <xdr:col>1</xdr:col>
      <xdr:colOff>1564105</xdr:colOff>
      <xdr:row>32</xdr:row>
      <xdr:rowOff>0</xdr:rowOff>
    </xdr:to>
    <xdr:cxnSp macro="">
      <xdr:nvCxnSpPr>
        <xdr:cNvPr id="7" name="Straight Connector 6">
          <a:extLst>
            <a:ext uri="{FF2B5EF4-FFF2-40B4-BE49-F238E27FC236}">
              <a16:creationId xmlns:a16="http://schemas.microsoft.com/office/drawing/2014/main" id="{0E20F565-93FE-4EB5-BC25-0B42CDE1678B}"/>
            </a:ext>
          </a:extLst>
        </xdr:cNvPr>
        <xdr:cNvCxnSpPr/>
      </xdr:nvCxnSpPr>
      <xdr:spPr>
        <a:xfrm flipV="1">
          <a:off x="822080" y="6670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8" name="Straight Connector 7">
          <a:extLst>
            <a:ext uri="{FF2B5EF4-FFF2-40B4-BE49-F238E27FC236}">
              <a16:creationId xmlns:a16="http://schemas.microsoft.com/office/drawing/2014/main" id="{D8F74198-0536-4182-8F4B-A924DBC0DB2E}"/>
            </a:ext>
          </a:extLst>
        </xdr:cNvPr>
        <xdr:cNvCxnSpPr/>
      </xdr:nvCxnSpPr>
      <xdr:spPr>
        <a:xfrm>
          <a:off x="4683125" y="66833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9" name="Straight Connector 8">
          <a:extLst>
            <a:ext uri="{FF2B5EF4-FFF2-40B4-BE49-F238E27FC236}">
              <a16:creationId xmlns:a16="http://schemas.microsoft.com/office/drawing/2014/main" id="{DA03CD33-0D3F-4A48-AA7C-92311343BEDB}"/>
            </a:ext>
          </a:extLst>
        </xdr:cNvPr>
        <xdr:cNvCxnSpPr/>
      </xdr:nvCxnSpPr>
      <xdr:spPr>
        <a:xfrm flipV="1">
          <a:off x="8842253" y="66548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0</xdr:colOff>
      <xdr:row>0</xdr:row>
      <xdr:rowOff>0</xdr:rowOff>
    </xdr:from>
    <xdr:to>
      <xdr:col>1</xdr:col>
      <xdr:colOff>819150</xdr:colOff>
      <xdr:row>0</xdr:row>
      <xdr:rowOff>506569</xdr:rowOff>
    </xdr:to>
    <xdr:pic>
      <xdr:nvPicPr>
        <xdr:cNvPr id="11" name="Picture 10">
          <a:extLst>
            <a:ext uri="{FF2B5EF4-FFF2-40B4-BE49-F238E27FC236}">
              <a16:creationId xmlns:a16="http://schemas.microsoft.com/office/drawing/2014/main" id="{455CF84E-641C-3369-23C1-5B577BEA4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506569"/>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8" name="Picture 7" descr="image001">
          <a:extLst>
            <a:ext uri="{FF2B5EF4-FFF2-40B4-BE49-F238E27FC236}">
              <a16:creationId xmlns:a16="http://schemas.microsoft.com/office/drawing/2014/main" id="{7A265D67-F6B4-4D87-BB9E-0B60113A14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30</xdr:row>
      <xdr:rowOff>0</xdr:rowOff>
    </xdr:from>
    <xdr:to>
      <xdr:col>1</xdr:col>
      <xdr:colOff>306387</xdr:colOff>
      <xdr:row>30</xdr:row>
      <xdr:rowOff>0</xdr:rowOff>
    </xdr:to>
    <xdr:cxnSp macro="">
      <xdr:nvCxnSpPr>
        <xdr:cNvPr id="9" name="Straight Connector 8">
          <a:extLst>
            <a:ext uri="{FF2B5EF4-FFF2-40B4-BE49-F238E27FC236}">
              <a16:creationId xmlns:a16="http://schemas.microsoft.com/office/drawing/2014/main" id="{9413ED8C-6614-47FD-85C2-F3409FE0F58F}"/>
            </a:ext>
          </a:extLst>
        </xdr:cNvPr>
        <xdr:cNvCxnSpPr/>
      </xdr:nvCxnSpPr>
      <xdr:spPr>
        <a:xfrm>
          <a:off x="19050" y="50546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10" name="Straight Connector 9">
          <a:extLst>
            <a:ext uri="{FF2B5EF4-FFF2-40B4-BE49-F238E27FC236}">
              <a16:creationId xmlns:a16="http://schemas.microsoft.com/office/drawing/2014/main" id="{27F9494C-EB9E-48D7-9A9B-E218AB761A0C}"/>
            </a:ext>
          </a:extLst>
        </xdr:cNvPr>
        <xdr:cNvCxnSpPr/>
      </xdr:nvCxnSpPr>
      <xdr:spPr>
        <a:xfrm>
          <a:off x="4679950" y="50546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1" name="Straight Connector 10">
          <a:extLst>
            <a:ext uri="{FF2B5EF4-FFF2-40B4-BE49-F238E27FC236}">
              <a16:creationId xmlns:a16="http://schemas.microsoft.com/office/drawing/2014/main" id="{8FAA2C18-5F10-49C0-B2B1-28E61F10A02B}"/>
            </a:ext>
          </a:extLst>
        </xdr:cNvPr>
        <xdr:cNvCxnSpPr/>
      </xdr:nvCxnSpPr>
      <xdr:spPr>
        <a:xfrm>
          <a:off x="9937750" y="50609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30</xdr:row>
      <xdr:rowOff>0</xdr:rowOff>
    </xdr:from>
    <xdr:to>
      <xdr:col>7</xdr:col>
      <xdr:colOff>775074</xdr:colOff>
      <xdr:row>30</xdr:row>
      <xdr:rowOff>3113</xdr:rowOff>
    </xdr:to>
    <xdr:cxnSp macro="">
      <xdr:nvCxnSpPr>
        <xdr:cNvPr id="12" name="Straight Connector 11">
          <a:extLst>
            <a:ext uri="{FF2B5EF4-FFF2-40B4-BE49-F238E27FC236}">
              <a16:creationId xmlns:a16="http://schemas.microsoft.com/office/drawing/2014/main" id="{5720F5C9-3B3C-4BB1-9799-6DEF181EF1BC}"/>
            </a:ext>
          </a:extLst>
        </xdr:cNvPr>
        <xdr:cNvCxnSpPr/>
      </xdr:nvCxnSpPr>
      <xdr:spPr>
        <a:xfrm>
          <a:off x="6467163" y="50546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629066</xdr:colOff>
      <xdr:row>38</xdr:row>
      <xdr:rowOff>174547</xdr:rowOff>
    </xdr:from>
    <xdr:to>
      <xdr:col>2</xdr:col>
      <xdr:colOff>649200</xdr:colOff>
      <xdr:row>38</xdr:row>
      <xdr:rowOff>177645</xdr:rowOff>
    </xdr:to>
    <xdr:cxnSp macro="">
      <xdr:nvCxnSpPr>
        <xdr:cNvPr id="13" name="Straight Connector 12">
          <a:extLst>
            <a:ext uri="{FF2B5EF4-FFF2-40B4-BE49-F238E27FC236}">
              <a16:creationId xmlns:a16="http://schemas.microsoft.com/office/drawing/2014/main" id="{CC40BC4A-CB5B-4D84-809B-0915F4EA882F}"/>
            </a:ext>
          </a:extLst>
        </xdr:cNvPr>
        <xdr:cNvCxnSpPr/>
      </xdr:nvCxnSpPr>
      <xdr:spPr>
        <a:xfrm>
          <a:off x="1035466" y="6702347"/>
          <a:ext cx="2115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2.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8" name="Picture 7" descr="image001">
          <a:extLst>
            <a:ext uri="{FF2B5EF4-FFF2-40B4-BE49-F238E27FC236}">
              <a16:creationId xmlns:a16="http://schemas.microsoft.com/office/drawing/2014/main" id="{601454E1-4F37-4361-B656-4B480FD0BA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30</xdr:row>
      <xdr:rowOff>0</xdr:rowOff>
    </xdr:from>
    <xdr:to>
      <xdr:col>1</xdr:col>
      <xdr:colOff>306387</xdr:colOff>
      <xdr:row>30</xdr:row>
      <xdr:rowOff>0</xdr:rowOff>
    </xdr:to>
    <xdr:cxnSp macro="">
      <xdr:nvCxnSpPr>
        <xdr:cNvPr id="9" name="Straight Connector 8">
          <a:extLst>
            <a:ext uri="{FF2B5EF4-FFF2-40B4-BE49-F238E27FC236}">
              <a16:creationId xmlns:a16="http://schemas.microsoft.com/office/drawing/2014/main" id="{D8DCF90C-C695-467E-A063-F1DF15A0B7B9}"/>
            </a:ext>
          </a:extLst>
        </xdr:cNvPr>
        <xdr:cNvCxnSpPr/>
      </xdr:nvCxnSpPr>
      <xdr:spPr>
        <a:xfrm>
          <a:off x="19050" y="505460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10" name="Straight Connector 9">
          <a:extLst>
            <a:ext uri="{FF2B5EF4-FFF2-40B4-BE49-F238E27FC236}">
              <a16:creationId xmlns:a16="http://schemas.microsoft.com/office/drawing/2014/main" id="{C122E265-BEEB-4E14-8152-12B0985B918B}"/>
            </a:ext>
          </a:extLst>
        </xdr:cNvPr>
        <xdr:cNvCxnSpPr/>
      </xdr:nvCxnSpPr>
      <xdr:spPr>
        <a:xfrm>
          <a:off x="4679950" y="50546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1" name="Straight Connector 10">
          <a:extLst>
            <a:ext uri="{FF2B5EF4-FFF2-40B4-BE49-F238E27FC236}">
              <a16:creationId xmlns:a16="http://schemas.microsoft.com/office/drawing/2014/main" id="{9B7EB4D4-B3F2-4D5E-B91B-72332E518431}"/>
            </a:ext>
          </a:extLst>
        </xdr:cNvPr>
        <xdr:cNvCxnSpPr/>
      </xdr:nvCxnSpPr>
      <xdr:spPr>
        <a:xfrm>
          <a:off x="9937750" y="50609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30</xdr:row>
      <xdr:rowOff>0</xdr:rowOff>
    </xdr:from>
    <xdr:to>
      <xdr:col>7</xdr:col>
      <xdr:colOff>775074</xdr:colOff>
      <xdr:row>30</xdr:row>
      <xdr:rowOff>3113</xdr:rowOff>
    </xdr:to>
    <xdr:cxnSp macro="">
      <xdr:nvCxnSpPr>
        <xdr:cNvPr id="12" name="Straight Connector 11">
          <a:extLst>
            <a:ext uri="{FF2B5EF4-FFF2-40B4-BE49-F238E27FC236}">
              <a16:creationId xmlns:a16="http://schemas.microsoft.com/office/drawing/2014/main" id="{07ADCAB3-D0EA-4BB0-AD7E-076A64636AFF}"/>
            </a:ext>
          </a:extLst>
        </xdr:cNvPr>
        <xdr:cNvCxnSpPr/>
      </xdr:nvCxnSpPr>
      <xdr:spPr>
        <a:xfrm>
          <a:off x="6467163" y="50546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6766</xdr:colOff>
      <xdr:row>38</xdr:row>
      <xdr:rowOff>161847</xdr:rowOff>
    </xdr:from>
    <xdr:to>
      <xdr:col>2</xdr:col>
      <xdr:colOff>26900</xdr:colOff>
      <xdr:row>38</xdr:row>
      <xdr:rowOff>164945</xdr:rowOff>
    </xdr:to>
    <xdr:cxnSp macro="">
      <xdr:nvCxnSpPr>
        <xdr:cNvPr id="13" name="Straight Connector 12">
          <a:extLst>
            <a:ext uri="{FF2B5EF4-FFF2-40B4-BE49-F238E27FC236}">
              <a16:creationId xmlns:a16="http://schemas.microsoft.com/office/drawing/2014/main" id="{82ED740B-6203-4BE8-B0A5-0646130F5D47}"/>
            </a:ext>
          </a:extLst>
        </xdr:cNvPr>
        <xdr:cNvCxnSpPr/>
      </xdr:nvCxnSpPr>
      <xdr:spPr>
        <a:xfrm>
          <a:off x="413166" y="6657897"/>
          <a:ext cx="270618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3.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8" name="Picture 7" descr="image001">
          <a:extLst>
            <a:ext uri="{FF2B5EF4-FFF2-40B4-BE49-F238E27FC236}">
              <a16:creationId xmlns:a16="http://schemas.microsoft.com/office/drawing/2014/main" id="{A985867E-7C1F-4F3C-884C-930C9A9122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0</xdr:col>
      <xdr:colOff>19050</xdr:colOff>
      <xdr:row>35</xdr:row>
      <xdr:rowOff>0</xdr:rowOff>
    </xdr:from>
    <xdr:to>
      <xdr:col>1</xdr:col>
      <xdr:colOff>306387</xdr:colOff>
      <xdr:row>35</xdr:row>
      <xdr:rowOff>0</xdr:rowOff>
    </xdr:to>
    <xdr:cxnSp macro="">
      <xdr:nvCxnSpPr>
        <xdr:cNvPr id="9" name="Straight Connector 8">
          <a:extLst>
            <a:ext uri="{FF2B5EF4-FFF2-40B4-BE49-F238E27FC236}">
              <a16:creationId xmlns:a16="http://schemas.microsoft.com/office/drawing/2014/main" id="{E016C442-A25B-44AB-B50C-9F012F483666}"/>
            </a:ext>
          </a:extLst>
        </xdr:cNvPr>
        <xdr:cNvCxnSpPr/>
      </xdr:nvCxnSpPr>
      <xdr:spPr>
        <a:xfrm>
          <a:off x="19050" y="6127750"/>
          <a:ext cx="693737"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35</xdr:row>
      <xdr:rowOff>0</xdr:rowOff>
    </xdr:from>
    <xdr:to>
      <xdr:col>5</xdr:col>
      <xdr:colOff>755650</xdr:colOff>
      <xdr:row>35</xdr:row>
      <xdr:rowOff>0</xdr:rowOff>
    </xdr:to>
    <xdr:cxnSp macro="">
      <xdr:nvCxnSpPr>
        <xdr:cNvPr id="10" name="Straight Connector 9">
          <a:extLst>
            <a:ext uri="{FF2B5EF4-FFF2-40B4-BE49-F238E27FC236}">
              <a16:creationId xmlns:a16="http://schemas.microsoft.com/office/drawing/2014/main" id="{574294A0-4EC5-4478-A126-7B6396BE3E6A}"/>
            </a:ext>
          </a:extLst>
        </xdr:cNvPr>
        <xdr:cNvCxnSpPr/>
      </xdr:nvCxnSpPr>
      <xdr:spPr>
        <a:xfrm>
          <a:off x="5270500" y="61277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35</xdr:row>
      <xdr:rowOff>6350</xdr:rowOff>
    </xdr:from>
    <xdr:to>
      <xdr:col>11</xdr:col>
      <xdr:colOff>139700</xdr:colOff>
      <xdr:row>35</xdr:row>
      <xdr:rowOff>6350</xdr:rowOff>
    </xdr:to>
    <xdr:cxnSp macro="">
      <xdr:nvCxnSpPr>
        <xdr:cNvPr id="11" name="Straight Connector 10">
          <a:extLst>
            <a:ext uri="{FF2B5EF4-FFF2-40B4-BE49-F238E27FC236}">
              <a16:creationId xmlns:a16="http://schemas.microsoft.com/office/drawing/2014/main" id="{D8B6FF8A-FB65-40C7-A4CC-BBF33F183D85}"/>
            </a:ext>
          </a:extLst>
        </xdr:cNvPr>
        <xdr:cNvCxnSpPr/>
      </xdr:nvCxnSpPr>
      <xdr:spPr>
        <a:xfrm>
          <a:off x="10528300" y="61341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35</xdr:row>
      <xdr:rowOff>0</xdr:rowOff>
    </xdr:from>
    <xdr:to>
      <xdr:col>7</xdr:col>
      <xdr:colOff>775074</xdr:colOff>
      <xdr:row>35</xdr:row>
      <xdr:rowOff>3113</xdr:rowOff>
    </xdr:to>
    <xdr:cxnSp macro="">
      <xdr:nvCxnSpPr>
        <xdr:cNvPr id="12" name="Straight Connector 11">
          <a:extLst>
            <a:ext uri="{FF2B5EF4-FFF2-40B4-BE49-F238E27FC236}">
              <a16:creationId xmlns:a16="http://schemas.microsoft.com/office/drawing/2014/main" id="{7DE400DE-BEBF-4C04-B5C9-141E6D66EEA2}"/>
            </a:ext>
          </a:extLst>
        </xdr:cNvPr>
        <xdr:cNvCxnSpPr/>
      </xdr:nvCxnSpPr>
      <xdr:spPr>
        <a:xfrm>
          <a:off x="7057713" y="61277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6766</xdr:colOff>
      <xdr:row>43</xdr:row>
      <xdr:rowOff>161847</xdr:rowOff>
    </xdr:from>
    <xdr:to>
      <xdr:col>2</xdr:col>
      <xdr:colOff>26900</xdr:colOff>
      <xdr:row>43</xdr:row>
      <xdr:rowOff>164945</xdr:rowOff>
    </xdr:to>
    <xdr:cxnSp macro="">
      <xdr:nvCxnSpPr>
        <xdr:cNvPr id="13" name="Straight Connector 12">
          <a:extLst>
            <a:ext uri="{FF2B5EF4-FFF2-40B4-BE49-F238E27FC236}">
              <a16:creationId xmlns:a16="http://schemas.microsoft.com/office/drawing/2014/main" id="{7AEAA340-4B4E-4752-A9CB-F986DEBABAE1}"/>
            </a:ext>
          </a:extLst>
        </xdr:cNvPr>
        <xdr:cNvCxnSpPr/>
      </xdr:nvCxnSpPr>
      <xdr:spPr>
        <a:xfrm>
          <a:off x="413166" y="7762797"/>
          <a:ext cx="270618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4.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12" name="Picture 11" descr="image001">
          <a:extLst>
            <a:ext uri="{FF2B5EF4-FFF2-40B4-BE49-F238E27FC236}">
              <a16:creationId xmlns:a16="http://schemas.microsoft.com/office/drawing/2014/main" id="{D32A5361-A016-4062-AC9A-9DCEA1A0515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504580</xdr:colOff>
      <xdr:row>18</xdr:row>
      <xdr:rowOff>187158</xdr:rowOff>
    </xdr:from>
    <xdr:to>
      <xdr:col>1</xdr:col>
      <xdr:colOff>1646655</xdr:colOff>
      <xdr:row>19</xdr:row>
      <xdr:rowOff>0</xdr:rowOff>
    </xdr:to>
    <xdr:cxnSp macro="">
      <xdr:nvCxnSpPr>
        <xdr:cNvPr id="13" name="Straight Connector 12">
          <a:extLst>
            <a:ext uri="{FF2B5EF4-FFF2-40B4-BE49-F238E27FC236}">
              <a16:creationId xmlns:a16="http://schemas.microsoft.com/office/drawing/2014/main" id="{5B775691-5AA4-4FE5-85E8-8E6C56A0FF3D}"/>
            </a:ext>
          </a:extLst>
        </xdr:cNvPr>
        <xdr:cNvCxnSpPr/>
      </xdr:nvCxnSpPr>
      <xdr:spPr>
        <a:xfrm flipV="1">
          <a:off x="1114180" y="4956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149225</xdr:colOff>
      <xdr:row>19</xdr:row>
      <xdr:rowOff>3175</xdr:rowOff>
    </xdr:from>
    <xdr:to>
      <xdr:col>5</xdr:col>
      <xdr:colOff>617537</xdr:colOff>
      <xdr:row>19</xdr:row>
      <xdr:rowOff>3175</xdr:rowOff>
    </xdr:to>
    <xdr:cxnSp macro="">
      <xdr:nvCxnSpPr>
        <xdr:cNvPr id="14" name="Straight Connector 13">
          <a:extLst>
            <a:ext uri="{FF2B5EF4-FFF2-40B4-BE49-F238E27FC236}">
              <a16:creationId xmlns:a16="http://schemas.microsoft.com/office/drawing/2014/main" id="{45B294D8-FBFD-4511-A39B-328E6E7C9C36}"/>
            </a:ext>
          </a:extLst>
        </xdr:cNvPr>
        <xdr:cNvCxnSpPr/>
      </xdr:nvCxnSpPr>
      <xdr:spPr>
        <a:xfrm>
          <a:off x="5394325" y="4962525"/>
          <a:ext cx="1077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165100</xdr:colOff>
      <xdr:row>18</xdr:row>
      <xdr:rowOff>184150</xdr:rowOff>
    </xdr:from>
    <xdr:to>
      <xdr:col>11</xdr:col>
      <xdr:colOff>444500</xdr:colOff>
      <xdr:row>19</xdr:row>
      <xdr:rowOff>6350</xdr:rowOff>
    </xdr:to>
    <xdr:cxnSp macro="">
      <xdr:nvCxnSpPr>
        <xdr:cNvPr id="15" name="Straight Connector 14">
          <a:extLst>
            <a:ext uri="{FF2B5EF4-FFF2-40B4-BE49-F238E27FC236}">
              <a16:creationId xmlns:a16="http://schemas.microsoft.com/office/drawing/2014/main" id="{DB8F1A1C-BA63-4CC4-991A-BB74DB9F24DE}"/>
            </a:ext>
          </a:extLst>
        </xdr:cNvPr>
        <xdr:cNvCxnSpPr/>
      </xdr:nvCxnSpPr>
      <xdr:spPr>
        <a:xfrm>
          <a:off x="8851900" y="4953000"/>
          <a:ext cx="1498600" cy="127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476666</xdr:colOff>
      <xdr:row>25</xdr:row>
      <xdr:rowOff>180897</xdr:rowOff>
    </xdr:from>
    <xdr:to>
      <xdr:col>1</xdr:col>
      <xdr:colOff>1576300</xdr:colOff>
      <xdr:row>25</xdr:row>
      <xdr:rowOff>183995</xdr:rowOff>
    </xdr:to>
    <xdr:cxnSp macro="">
      <xdr:nvCxnSpPr>
        <xdr:cNvPr id="16" name="Straight Connector 15">
          <a:extLst>
            <a:ext uri="{FF2B5EF4-FFF2-40B4-BE49-F238E27FC236}">
              <a16:creationId xmlns:a16="http://schemas.microsoft.com/office/drawing/2014/main" id="{20670B2C-5E98-4849-BF7B-BE9ED2A5D422}"/>
            </a:ext>
          </a:extLst>
        </xdr:cNvPr>
        <xdr:cNvCxnSpPr/>
      </xdr:nvCxnSpPr>
      <xdr:spPr>
        <a:xfrm>
          <a:off x="1086266" y="6251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5.xml><?xml version="1.0" encoding="utf-8"?>
<xdr:wsDr xmlns:xdr="http://schemas.openxmlformats.org/drawingml/2006/spreadsheetDrawing" xmlns:a="http://schemas.openxmlformats.org/drawingml/2006/main">
  <xdr:oneCellAnchor>
    <xdr:from>
      <xdr:col>0</xdr:col>
      <xdr:colOff>19051</xdr:colOff>
      <xdr:row>0</xdr:row>
      <xdr:rowOff>47625</xdr:rowOff>
    </xdr:from>
    <xdr:ext cx="1381124" cy="523875"/>
    <xdr:pic>
      <xdr:nvPicPr>
        <xdr:cNvPr id="6" name="Picture 5" descr="image001">
          <a:extLst>
            <a:ext uri="{FF2B5EF4-FFF2-40B4-BE49-F238E27FC236}">
              <a16:creationId xmlns:a16="http://schemas.microsoft.com/office/drawing/2014/main" id="{BD8C7B6B-EEF6-443B-8FBE-9F32B24A37D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381124" cy="523875"/>
        </a:xfrm>
        <a:prstGeom prst="rect">
          <a:avLst/>
        </a:prstGeom>
        <a:noFill/>
        <a:ln>
          <a:noFill/>
        </a:ln>
      </xdr:spPr>
    </xdr:pic>
    <xdr:clientData/>
  </xdr:oneCellAnchor>
  <xdr:twoCellAnchor>
    <xdr:from>
      <xdr:col>1</xdr:col>
      <xdr:colOff>168030</xdr:colOff>
      <xdr:row>27</xdr:row>
      <xdr:rowOff>187158</xdr:rowOff>
    </xdr:from>
    <xdr:to>
      <xdr:col>1</xdr:col>
      <xdr:colOff>1310105</xdr:colOff>
      <xdr:row>28</xdr:row>
      <xdr:rowOff>0</xdr:rowOff>
    </xdr:to>
    <xdr:cxnSp macro="">
      <xdr:nvCxnSpPr>
        <xdr:cNvPr id="7" name="Straight Connector 6">
          <a:extLst>
            <a:ext uri="{FF2B5EF4-FFF2-40B4-BE49-F238E27FC236}">
              <a16:creationId xmlns:a16="http://schemas.microsoft.com/office/drawing/2014/main" id="{DCA41591-AA8E-40D3-8483-ED6C011C886D}"/>
            </a:ext>
          </a:extLst>
        </xdr:cNvPr>
        <xdr:cNvCxnSpPr/>
      </xdr:nvCxnSpPr>
      <xdr:spPr>
        <a:xfrm flipV="1">
          <a:off x="568080" y="57815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250825</xdr:colOff>
      <xdr:row>28</xdr:row>
      <xdr:rowOff>3175</xdr:rowOff>
    </xdr:from>
    <xdr:to>
      <xdr:col>5</xdr:col>
      <xdr:colOff>719137</xdr:colOff>
      <xdr:row>28</xdr:row>
      <xdr:rowOff>3175</xdr:rowOff>
    </xdr:to>
    <xdr:cxnSp macro="">
      <xdr:nvCxnSpPr>
        <xdr:cNvPr id="8" name="Straight Connector 7">
          <a:extLst>
            <a:ext uri="{FF2B5EF4-FFF2-40B4-BE49-F238E27FC236}">
              <a16:creationId xmlns:a16="http://schemas.microsoft.com/office/drawing/2014/main" id="{54029FA9-5A21-444D-8B00-2E5CA3B3322A}"/>
            </a:ext>
          </a:extLst>
        </xdr:cNvPr>
        <xdr:cNvCxnSpPr/>
      </xdr:nvCxnSpPr>
      <xdr:spPr>
        <a:xfrm>
          <a:off x="4098925" y="57880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9" name="Straight Connector 8">
          <a:extLst>
            <a:ext uri="{FF2B5EF4-FFF2-40B4-BE49-F238E27FC236}">
              <a16:creationId xmlns:a16="http://schemas.microsoft.com/office/drawing/2014/main" id="{EC965621-2892-4989-BD78-CE65E053F3F3}"/>
            </a:ext>
          </a:extLst>
        </xdr:cNvPr>
        <xdr:cNvCxnSpPr/>
      </xdr:nvCxnSpPr>
      <xdr:spPr>
        <a:xfrm flipV="1">
          <a:off x="8131053" y="5765800"/>
          <a:ext cx="118439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66.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01415668-77E2-46C1-8725-CC83D422930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29</xdr:row>
      <xdr:rowOff>177800</xdr:rowOff>
    </xdr:from>
    <xdr:to>
      <xdr:col>1</xdr:col>
      <xdr:colOff>1035050</xdr:colOff>
      <xdr:row>30</xdr:row>
      <xdr:rowOff>0</xdr:rowOff>
    </xdr:to>
    <xdr:cxnSp macro="">
      <xdr:nvCxnSpPr>
        <xdr:cNvPr id="8" name="Straight Connector 7">
          <a:extLst>
            <a:ext uri="{FF2B5EF4-FFF2-40B4-BE49-F238E27FC236}">
              <a16:creationId xmlns:a16="http://schemas.microsoft.com/office/drawing/2014/main" id="{7321ED0B-B4FA-4F0A-B96A-DCC8F119BE90}"/>
            </a:ext>
          </a:extLst>
        </xdr:cNvPr>
        <xdr:cNvCxnSpPr/>
      </xdr:nvCxnSpPr>
      <xdr:spPr>
        <a:xfrm flipV="1">
          <a:off x="412750" y="634365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C49FEFA7-5C68-4886-930D-DFA14A96CB0A}"/>
            </a:ext>
          </a:extLst>
        </xdr:cNvPr>
        <xdr:cNvCxnSpPr/>
      </xdr:nvCxnSpPr>
      <xdr:spPr>
        <a:xfrm>
          <a:off x="4089400" y="63500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3DEC1D40-BD11-4C6C-B086-DE0680D21012}"/>
            </a:ext>
          </a:extLst>
        </xdr:cNvPr>
        <xdr:cNvCxnSpPr/>
      </xdr:nvCxnSpPr>
      <xdr:spPr>
        <a:xfrm>
          <a:off x="9347200" y="63563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30</xdr:row>
      <xdr:rowOff>0</xdr:rowOff>
    </xdr:from>
    <xdr:to>
      <xdr:col>7</xdr:col>
      <xdr:colOff>775074</xdr:colOff>
      <xdr:row>30</xdr:row>
      <xdr:rowOff>3113</xdr:rowOff>
    </xdr:to>
    <xdr:cxnSp macro="">
      <xdr:nvCxnSpPr>
        <xdr:cNvPr id="11" name="Straight Connector 10">
          <a:extLst>
            <a:ext uri="{FF2B5EF4-FFF2-40B4-BE49-F238E27FC236}">
              <a16:creationId xmlns:a16="http://schemas.microsoft.com/office/drawing/2014/main" id="{4F19C311-ABEA-4324-85B9-AD6670E5DB5C}"/>
            </a:ext>
          </a:extLst>
        </xdr:cNvPr>
        <xdr:cNvCxnSpPr/>
      </xdr:nvCxnSpPr>
      <xdr:spPr>
        <a:xfrm>
          <a:off x="5876613" y="63500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67.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A7BB38AD-CA15-4145-8F3B-3879081C58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30</xdr:row>
      <xdr:rowOff>177800</xdr:rowOff>
    </xdr:from>
    <xdr:to>
      <xdr:col>1</xdr:col>
      <xdr:colOff>1035050</xdr:colOff>
      <xdr:row>31</xdr:row>
      <xdr:rowOff>0</xdr:rowOff>
    </xdr:to>
    <xdr:cxnSp macro="">
      <xdr:nvCxnSpPr>
        <xdr:cNvPr id="8" name="Straight Connector 7">
          <a:extLst>
            <a:ext uri="{FF2B5EF4-FFF2-40B4-BE49-F238E27FC236}">
              <a16:creationId xmlns:a16="http://schemas.microsoft.com/office/drawing/2014/main" id="{25FA5B74-AA79-45EE-8C86-71D5CAD7E183}"/>
            </a:ext>
          </a:extLst>
        </xdr:cNvPr>
        <xdr:cNvCxnSpPr/>
      </xdr:nvCxnSpPr>
      <xdr:spPr>
        <a:xfrm flipV="1">
          <a:off x="412750" y="618490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D4FD50ED-AEE9-44E7-AF53-09304CE28AAB}"/>
            </a:ext>
          </a:extLst>
        </xdr:cNvPr>
        <xdr:cNvCxnSpPr/>
      </xdr:nvCxnSpPr>
      <xdr:spPr>
        <a:xfrm>
          <a:off x="4089400" y="61912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30582393-6D7C-4505-A224-91E4596B1906}"/>
            </a:ext>
          </a:extLst>
        </xdr:cNvPr>
        <xdr:cNvCxnSpPr/>
      </xdr:nvCxnSpPr>
      <xdr:spPr>
        <a:xfrm>
          <a:off x="9347200" y="61976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31</xdr:row>
      <xdr:rowOff>0</xdr:rowOff>
    </xdr:from>
    <xdr:to>
      <xdr:col>7</xdr:col>
      <xdr:colOff>775074</xdr:colOff>
      <xdr:row>31</xdr:row>
      <xdr:rowOff>3113</xdr:rowOff>
    </xdr:to>
    <xdr:cxnSp macro="">
      <xdr:nvCxnSpPr>
        <xdr:cNvPr id="11" name="Straight Connector 10">
          <a:extLst>
            <a:ext uri="{FF2B5EF4-FFF2-40B4-BE49-F238E27FC236}">
              <a16:creationId xmlns:a16="http://schemas.microsoft.com/office/drawing/2014/main" id="{A932C275-F522-451B-AAEC-43D343591924}"/>
            </a:ext>
          </a:extLst>
        </xdr:cNvPr>
        <xdr:cNvCxnSpPr/>
      </xdr:nvCxnSpPr>
      <xdr:spPr>
        <a:xfrm>
          <a:off x="5876613" y="61912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68.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4BA22326-2B61-4512-BA89-2CE59DD6B3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30</xdr:row>
      <xdr:rowOff>177800</xdr:rowOff>
    </xdr:from>
    <xdr:to>
      <xdr:col>1</xdr:col>
      <xdr:colOff>1035050</xdr:colOff>
      <xdr:row>31</xdr:row>
      <xdr:rowOff>0</xdr:rowOff>
    </xdr:to>
    <xdr:cxnSp macro="">
      <xdr:nvCxnSpPr>
        <xdr:cNvPr id="8" name="Straight Connector 7">
          <a:extLst>
            <a:ext uri="{FF2B5EF4-FFF2-40B4-BE49-F238E27FC236}">
              <a16:creationId xmlns:a16="http://schemas.microsoft.com/office/drawing/2014/main" id="{8F043EC1-23F5-4154-B466-AA5001FD1631}"/>
            </a:ext>
          </a:extLst>
        </xdr:cNvPr>
        <xdr:cNvCxnSpPr/>
      </xdr:nvCxnSpPr>
      <xdr:spPr>
        <a:xfrm flipV="1">
          <a:off x="412750" y="631190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61A31236-F906-4929-8A97-E324637D14FF}"/>
            </a:ext>
          </a:extLst>
        </xdr:cNvPr>
        <xdr:cNvCxnSpPr/>
      </xdr:nvCxnSpPr>
      <xdr:spPr>
        <a:xfrm>
          <a:off x="4089400" y="63182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E4EFB178-AF55-4250-A770-F7FE758086A5}"/>
            </a:ext>
          </a:extLst>
        </xdr:cNvPr>
        <xdr:cNvCxnSpPr/>
      </xdr:nvCxnSpPr>
      <xdr:spPr>
        <a:xfrm>
          <a:off x="9347200" y="63246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31</xdr:row>
      <xdr:rowOff>0</xdr:rowOff>
    </xdr:from>
    <xdr:to>
      <xdr:col>7</xdr:col>
      <xdr:colOff>775074</xdr:colOff>
      <xdr:row>31</xdr:row>
      <xdr:rowOff>3113</xdr:rowOff>
    </xdr:to>
    <xdr:cxnSp macro="">
      <xdr:nvCxnSpPr>
        <xdr:cNvPr id="11" name="Straight Connector 10">
          <a:extLst>
            <a:ext uri="{FF2B5EF4-FFF2-40B4-BE49-F238E27FC236}">
              <a16:creationId xmlns:a16="http://schemas.microsoft.com/office/drawing/2014/main" id="{BEF87B79-C20C-40D2-A4EB-7A4C7D83F762}"/>
            </a:ext>
          </a:extLst>
        </xdr:cNvPr>
        <xdr:cNvCxnSpPr/>
      </xdr:nvCxnSpPr>
      <xdr:spPr>
        <a:xfrm>
          <a:off x="5876613" y="63182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69.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8D3D80FD-398B-40C2-8D07-146AD700D40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187158</xdr:rowOff>
    </xdr:from>
    <xdr:to>
      <xdr:col>1</xdr:col>
      <xdr:colOff>1564105</xdr:colOff>
      <xdr:row>20</xdr:row>
      <xdr:rowOff>0</xdr:rowOff>
    </xdr:to>
    <xdr:cxnSp macro="">
      <xdr:nvCxnSpPr>
        <xdr:cNvPr id="8" name="Straight Connector 7">
          <a:extLst>
            <a:ext uri="{FF2B5EF4-FFF2-40B4-BE49-F238E27FC236}">
              <a16:creationId xmlns:a16="http://schemas.microsoft.com/office/drawing/2014/main" id="{6B14E6B0-BCD5-4BAA-BB87-7CF49EFADF56}"/>
            </a:ext>
          </a:extLst>
        </xdr:cNvPr>
        <xdr:cNvCxnSpPr/>
      </xdr:nvCxnSpPr>
      <xdr:spPr>
        <a:xfrm flipV="1">
          <a:off x="822080" y="44353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B32E37A3-6D53-4DEC-BD78-13F3459C300A}"/>
            </a:ext>
          </a:extLst>
        </xdr:cNvPr>
        <xdr:cNvCxnSpPr/>
      </xdr:nvCxnSpPr>
      <xdr:spPr>
        <a:xfrm>
          <a:off x="4683125" y="44481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4BC0EFF3-25DF-46B1-A8CF-D470CE34ED7F}"/>
            </a:ext>
          </a:extLst>
        </xdr:cNvPr>
        <xdr:cNvCxnSpPr/>
      </xdr:nvCxnSpPr>
      <xdr:spPr>
        <a:xfrm flipV="1">
          <a:off x="8867653" y="44196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A1511F81-ACB9-49B9-881D-E74DFDA56901}"/>
            </a:ext>
          </a:extLst>
        </xdr:cNvPr>
        <xdr:cNvCxnSpPr/>
      </xdr:nvCxnSpPr>
      <xdr:spPr>
        <a:xfrm>
          <a:off x="851316" y="61117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0.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4941CCAF-2840-4919-9E1D-43A002A306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0E8D84A1-91EC-4737-B91E-F17250FC108A}"/>
            </a:ext>
          </a:extLst>
        </xdr:cNvPr>
        <xdr:cNvCxnSpPr/>
      </xdr:nvCxnSpPr>
      <xdr:spPr>
        <a:xfrm flipV="1">
          <a:off x="822080" y="44289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A62D17E5-B9D7-43D2-BCFB-634941E3F21B}"/>
            </a:ext>
          </a:extLst>
        </xdr:cNvPr>
        <xdr:cNvCxnSpPr/>
      </xdr:nvCxnSpPr>
      <xdr:spPr>
        <a:xfrm>
          <a:off x="4683125" y="44418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F15DE320-EDEA-4374-A47B-76DABDDEA704}"/>
            </a:ext>
          </a:extLst>
        </xdr:cNvPr>
        <xdr:cNvCxnSpPr/>
      </xdr:nvCxnSpPr>
      <xdr:spPr>
        <a:xfrm flipV="1">
          <a:off x="8867653" y="44132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9732D5CA-F501-4CCC-AB21-557E7FFD0422}"/>
            </a:ext>
          </a:extLst>
        </xdr:cNvPr>
        <xdr:cNvCxnSpPr/>
      </xdr:nvCxnSpPr>
      <xdr:spPr>
        <a:xfrm>
          <a:off x="851316" y="61054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1.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EB6EB370-CAB9-4B66-A817-88CCDE0A75B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CED2DF01-FBC5-44BD-BE2D-DADB402EA39E}"/>
            </a:ext>
          </a:extLst>
        </xdr:cNvPr>
        <xdr:cNvCxnSpPr/>
      </xdr:nvCxnSpPr>
      <xdr:spPr>
        <a:xfrm flipV="1">
          <a:off x="822080" y="67721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60BF76E9-EDD7-4273-BF65-A721775BA662}"/>
            </a:ext>
          </a:extLst>
        </xdr:cNvPr>
        <xdr:cNvCxnSpPr/>
      </xdr:nvCxnSpPr>
      <xdr:spPr>
        <a:xfrm>
          <a:off x="4683125" y="67849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EF01648A-700A-4650-B916-7953D3F1AA86}"/>
            </a:ext>
          </a:extLst>
        </xdr:cNvPr>
        <xdr:cNvCxnSpPr/>
      </xdr:nvCxnSpPr>
      <xdr:spPr>
        <a:xfrm flipV="1">
          <a:off x="8867653" y="67564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B18A014F-1DF0-458F-A385-B4A2A36647CE}"/>
            </a:ext>
          </a:extLst>
        </xdr:cNvPr>
        <xdr:cNvCxnSpPr/>
      </xdr:nvCxnSpPr>
      <xdr:spPr>
        <a:xfrm>
          <a:off x="851316" y="84485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2.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4067DA9C-90F3-45F6-8522-A621B42B8B4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0D804B72-77BA-4B26-A0F7-3D7791A5FDA6}"/>
            </a:ext>
          </a:extLst>
        </xdr:cNvPr>
        <xdr:cNvCxnSpPr/>
      </xdr:nvCxnSpPr>
      <xdr:spPr>
        <a:xfrm flipV="1">
          <a:off x="822080" y="6861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A8F2BE92-B2A2-4A95-9402-404D606F4473}"/>
            </a:ext>
          </a:extLst>
        </xdr:cNvPr>
        <xdr:cNvCxnSpPr/>
      </xdr:nvCxnSpPr>
      <xdr:spPr>
        <a:xfrm>
          <a:off x="4683125" y="6873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E4614572-8822-4553-9826-B22C43A38F0E}"/>
            </a:ext>
          </a:extLst>
        </xdr:cNvPr>
        <xdr:cNvCxnSpPr/>
      </xdr:nvCxnSpPr>
      <xdr:spPr>
        <a:xfrm flipV="1">
          <a:off x="8867653" y="6845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33232D70-BCCD-47FE-A444-0F0AA27BBD0B}"/>
            </a:ext>
          </a:extLst>
        </xdr:cNvPr>
        <xdr:cNvCxnSpPr/>
      </xdr:nvCxnSpPr>
      <xdr:spPr>
        <a:xfrm>
          <a:off x="851316" y="8537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3.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F8A71D90-EECC-45EC-A3B2-3DA427261F8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55F61F9A-5B00-4BB9-A9F5-585D38E64AE9}"/>
            </a:ext>
          </a:extLst>
        </xdr:cNvPr>
        <xdr:cNvCxnSpPr/>
      </xdr:nvCxnSpPr>
      <xdr:spPr>
        <a:xfrm flipV="1">
          <a:off x="822080" y="66768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22AB11AA-6355-49E9-954E-1F60A85E0822}"/>
            </a:ext>
          </a:extLst>
        </xdr:cNvPr>
        <xdr:cNvCxnSpPr/>
      </xdr:nvCxnSpPr>
      <xdr:spPr>
        <a:xfrm>
          <a:off x="4683125" y="66897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088A1FA8-BB84-4D03-A205-0EF3AFA52E40}"/>
            </a:ext>
          </a:extLst>
        </xdr:cNvPr>
        <xdr:cNvCxnSpPr/>
      </xdr:nvCxnSpPr>
      <xdr:spPr>
        <a:xfrm flipV="1">
          <a:off x="8867653" y="66611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8060560D-FF8F-4D06-BF76-D2E9072B98CD}"/>
            </a:ext>
          </a:extLst>
        </xdr:cNvPr>
        <xdr:cNvCxnSpPr/>
      </xdr:nvCxnSpPr>
      <xdr:spPr>
        <a:xfrm>
          <a:off x="851316" y="83533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4.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09556C14-9466-4FE6-AEAB-E284792359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1BBE7E04-3947-4879-9685-47B04E217933}"/>
            </a:ext>
          </a:extLst>
        </xdr:cNvPr>
        <xdr:cNvCxnSpPr/>
      </xdr:nvCxnSpPr>
      <xdr:spPr>
        <a:xfrm flipV="1">
          <a:off x="822080" y="66324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C2EC4364-E059-4C00-93FE-FD6356B66018}"/>
            </a:ext>
          </a:extLst>
        </xdr:cNvPr>
        <xdr:cNvCxnSpPr/>
      </xdr:nvCxnSpPr>
      <xdr:spPr>
        <a:xfrm>
          <a:off x="4683125" y="66452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887532E8-1D25-496C-B4EF-D1FBB306CFD3}"/>
            </a:ext>
          </a:extLst>
        </xdr:cNvPr>
        <xdr:cNvCxnSpPr/>
      </xdr:nvCxnSpPr>
      <xdr:spPr>
        <a:xfrm flipV="1">
          <a:off x="8867653" y="66167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71DF893D-86CF-40BE-9859-0EFB67152773}"/>
            </a:ext>
          </a:extLst>
        </xdr:cNvPr>
        <xdr:cNvCxnSpPr/>
      </xdr:nvCxnSpPr>
      <xdr:spPr>
        <a:xfrm>
          <a:off x="851316" y="83088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9E0C982D-B81B-4D50-B20A-E310AAE052E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40</xdr:row>
      <xdr:rowOff>187158</xdr:rowOff>
    </xdr:from>
    <xdr:to>
      <xdr:col>1</xdr:col>
      <xdr:colOff>1564105</xdr:colOff>
      <xdr:row>41</xdr:row>
      <xdr:rowOff>0</xdr:rowOff>
    </xdr:to>
    <xdr:cxnSp macro="">
      <xdr:nvCxnSpPr>
        <xdr:cNvPr id="8" name="Straight Connector 7">
          <a:extLst>
            <a:ext uri="{FF2B5EF4-FFF2-40B4-BE49-F238E27FC236}">
              <a16:creationId xmlns:a16="http://schemas.microsoft.com/office/drawing/2014/main" id="{07B544FB-3693-4CEF-9BB3-379F0346E39B}"/>
            </a:ext>
          </a:extLst>
        </xdr:cNvPr>
        <xdr:cNvCxnSpPr/>
      </xdr:nvCxnSpPr>
      <xdr:spPr>
        <a:xfrm flipV="1">
          <a:off x="822080" y="83596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41</xdr:row>
      <xdr:rowOff>9525</xdr:rowOff>
    </xdr:from>
    <xdr:to>
      <xdr:col>5</xdr:col>
      <xdr:colOff>820737</xdr:colOff>
      <xdr:row>41</xdr:row>
      <xdr:rowOff>9525</xdr:rowOff>
    </xdr:to>
    <xdr:cxnSp macro="">
      <xdr:nvCxnSpPr>
        <xdr:cNvPr id="9" name="Straight Connector 8">
          <a:extLst>
            <a:ext uri="{FF2B5EF4-FFF2-40B4-BE49-F238E27FC236}">
              <a16:creationId xmlns:a16="http://schemas.microsoft.com/office/drawing/2014/main" id="{2D6B72B5-7D4E-4D14-B493-D7CF29AC0853}"/>
            </a:ext>
          </a:extLst>
        </xdr:cNvPr>
        <xdr:cNvCxnSpPr/>
      </xdr:nvCxnSpPr>
      <xdr:spPr>
        <a:xfrm>
          <a:off x="4683125" y="83724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40</xdr:row>
      <xdr:rowOff>171450</xdr:rowOff>
    </xdr:from>
    <xdr:to>
      <xdr:col>10</xdr:col>
      <xdr:colOff>1739900</xdr:colOff>
      <xdr:row>41</xdr:row>
      <xdr:rowOff>0</xdr:rowOff>
    </xdr:to>
    <xdr:cxnSp macro="">
      <xdr:nvCxnSpPr>
        <xdr:cNvPr id="10" name="Straight Connector 9">
          <a:extLst>
            <a:ext uri="{FF2B5EF4-FFF2-40B4-BE49-F238E27FC236}">
              <a16:creationId xmlns:a16="http://schemas.microsoft.com/office/drawing/2014/main" id="{150D37EB-A571-45A1-8AA4-484DC0BF39EE}"/>
            </a:ext>
          </a:extLst>
        </xdr:cNvPr>
        <xdr:cNvCxnSpPr/>
      </xdr:nvCxnSpPr>
      <xdr:spPr>
        <a:xfrm flipV="1">
          <a:off x="8867653" y="8343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50</xdr:row>
      <xdr:rowOff>3097</xdr:rowOff>
    </xdr:from>
    <xdr:to>
      <xdr:col>1</xdr:col>
      <xdr:colOff>1550900</xdr:colOff>
      <xdr:row>50</xdr:row>
      <xdr:rowOff>6195</xdr:rowOff>
    </xdr:to>
    <xdr:cxnSp macro="">
      <xdr:nvCxnSpPr>
        <xdr:cNvPr id="11" name="Straight Connector 10">
          <a:extLst>
            <a:ext uri="{FF2B5EF4-FFF2-40B4-BE49-F238E27FC236}">
              <a16:creationId xmlns:a16="http://schemas.microsoft.com/office/drawing/2014/main" id="{87062311-4F7A-46E4-9483-2A3BB85BFDAD}"/>
            </a:ext>
          </a:extLst>
        </xdr:cNvPr>
        <xdr:cNvCxnSpPr/>
      </xdr:nvCxnSpPr>
      <xdr:spPr>
        <a:xfrm>
          <a:off x="851316" y="100360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6.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82127EF0-A87C-46C2-8C00-EAEAC9C3FC7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31</xdr:row>
      <xdr:rowOff>177800</xdr:rowOff>
    </xdr:from>
    <xdr:to>
      <xdr:col>1</xdr:col>
      <xdr:colOff>1035050</xdr:colOff>
      <xdr:row>32</xdr:row>
      <xdr:rowOff>0</xdr:rowOff>
    </xdr:to>
    <xdr:cxnSp macro="">
      <xdr:nvCxnSpPr>
        <xdr:cNvPr id="8" name="Straight Connector 7">
          <a:extLst>
            <a:ext uri="{FF2B5EF4-FFF2-40B4-BE49-F238E27FC236}">
              <a16:creationId xmlns:a16="http://schemas.microsoft.com/office/drawing/2014/main" id="{44796074-9D7F-4B0B-ACB9-0F8FA40E002A}"/>
            </a:ext>
          </a:extLst>
        </xdr:cNvPr>
        <xdr:cNvCxnSpPr/>
      </xdr:nvCxnSpPr>
      <xdr:spPr>
        <a:xfrm flipV="1">
          <a:off x="412750" y="630555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32</xdr:row>
      <xdr:rowOff>0</xdr:rowOff>
    </xdr:from>
    <xdr:to>
      <xdr:col>5</xdr:col>
      <xdr:colOff>755650</xdr:colOff>
      <xdr:row>32</xdr:row>
      <xdr:rowOff>0</xdr:rowOff>
    </xdr:to>
    <xdr:cxnSp macro="">
      <xdr:nvCxnSpPr>
        <xdr:cNvPr id="9" name="Straight Connector 8">
          <a:extLst>
            <a:ext uri="{FF2B5EF4-FFF2-40B4-BE49-F238E27FC236}">
              <a16:creationId xmlns:a16="http://schemas.microsoft.com/office/drawing/2014/main" id="{5386C60C-A641-4D5D-BE43-8EC386175C63}"/>
            </a:ext>
          </a:extLst>
        </xdr:cNvPr>
        <xdr:cNvCxnSpPr/>
      </xdr:nvCxnSpPr>
      <xdr:spPr>
        <a:xfrm>
          <a:off x="4089400" y="63119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32</xdr:row>
      <xdr:rowOff>6350</xdr:rowOff>
    </xdr:from>
    <xdr:to>
      <xdr:col>11</xdr:col>
      <xdr:colOff>139700</xdr:colOff>
      <xdr:row>32</xdr:row>
      <xdr:rowOff>6350</xdr:rowOff>
    </xdr:to>
    <xdr:cxnSp macro="">
      <xdr:nvCxnSpPr>
        <xdr:cNvPr id="10" name="Straight Connector 9">
          <a:extLst>
            <a:ext uri="{FF2B5EF4-FFF2-40B4-BE49-F238E27FC236}">
              <a16:creationId xmlns:a16="http://schemas.microsoft.com/office/drawing/2014/main" id="{3E62483F-9977-49D9-9F55-19A966E1DFA2}"/>
            </a:ext>
          </a:extLst>
        </xdr:cNvPr>
        <xdr:cNvCxnSpPr/>
      </xdr:nvCxnSpPr>
      <xdr:spPr>
        <a:xfrm>
          <a:off x="9347200" y="63182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32</xdr:row>
      <xdr:rowOff>0</xdr:rowOff>
    </xdr:from>
    <xdr:to>
      <xdr:col>7</xdr:col>
      <xdr:colOff>775074</xdr:colOff>
      <xdr:row>32</xdr:row>
      <xdr:rowOff>3113</xdr:rowOff>
    </xdr:to>
    <xdr:cxnSp macro="">
      <xdr:nvCxnSpPr>
        <xdr:cNvPr id="11" name="Straight Connector 10">
          <a:extLst>
            <a:ext uri="{FF2B5EF4-FFF2-40B4-BE49-F238E27FC236}">
              <a16:creationId xmlns:a16="http://schemas.microsoft.com/office/drawing/2014/main" id="{F1816582-98E5-4FFF-859F-0B045219D7C3}"/>
            </a:ext>
          </a:extLst>
        </xdr:cNvPr>
        <xdr:cNvCxnSpPr/>
      </xdr:nvCxnSpPr>
      <xdr:spPr>
        <a:xfrm>
          <a:off x="5876613" y="63119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77.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039D69A7-5EAB-4790-8090-8BB48B35C1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19705EF8-878F-4B49-931F-54736E03E53B}"/>
            </a:ext>
          </a:extLst>
        </xdr:cNvPr>
        <xdr:cNvCxnSpPr/>
      </xdr:nvCxnSpPr>
      <xdr:spPr>
        <a:xfrm flipV="1">
          <a:off x="822080" y="66133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29CCDDBA-A4DC-4454-A908-64DF31931A28}"/>
            </a:ext>
          </a:extLst>
        </xdr:cNvPr>
        <xdr:cNvCxnSpPr/>
      </xdr:nvCxnSpPr>
      <xdr:spPr>
        <a:xfrm>
          <a:off x="4683125" y="66262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028FC5A9-07AF-409F-8DDB-BE9D88685CDE}"/>
            </a:ext>
          </a:extLst>
        </xdr:cNvPr>
        <xdr:cNvCxnSpPr/>
      </xdr:nvCxnSpPr>
      <xdr:spPr>
        <a:xfrm flipV="1">
          <a:off x="8867653" y="65976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8D2911A1-59A0-49C6-8957-E495C8CC22A8}"/>
            </a:ext>
          </a:extLst>
        </xdr:cNvPr>
        <xdr:cNvCxnSpPr/>
      </xdr:nvCxnSpPr>
      <xdr:spPr>
        <a:xfrm>
          <a:off x="851316" y="82898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8.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DE7FA715-4D83-42A4-8E66-D0633ABF61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8" name="Straight Connector 7">
          <a:extLst>
            <a:ext uri="{FF2B5EF4-FFF2-40B4-BE49-F238E27FC236}">
              <a16:creationId xmlns:a16="http://schemas.microsoft.com/office/drawing/2014/main" id="{8B4DBAE9-AE87-4B6C-A754-3B5641440AF7}"/>
            </a:ext>
          </a:extLst>
        </xdr:cNvPr>
        <xdr:cNvCxnSpPr/>
      </xdr:nvCxnSpPr>
      <xdr:spPr>
        <a:xfrm flipV="1">
          <a:off x="822080" y="66387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9" name="Straight Connector 8">
          <a:extLst>
            <a:ext uri="{FF2B5EF4-FFF2-40B4-BE49-F238E27FC236}">
              <a16:creationId xmlns:a16="http://schemas.microsoft.com/office/drawing/2014/main" id="{6883BADF-B1C8-423B-A453-8467199DAF09}"/>
            </a:ext>
          </a:extLst>
        </xdr:cNvPr>
        <xdr:cNvCxnSpPr/>
      </xdr:nvCxnSpPr>
      <xdr:spPr>
        <a:xfrm>
          <a:off x="4683125" y="66516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E66B4F95-42A6-4881-8584-64F5DAD34E27}"/>
            </a:ext>
          </a:extLst>
        </xdr:cNvPr>
        <xdr:cNvCxnSpPr/>
      </xdr:nvCxnSpPr>
      <xdr:spPr>
        <a:xfrm flipV="1">
          <a:off x="8867653" y="66230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66DA31DA-9FD1-49C8-8ECD-357FBE8E0B9E}"/>
            </a:ext>
          </a:extLst>
        </xdr:cNvPr>
        <xdr:cNvCxnSpPr/>
      </xdr:nvCxnSpPr>
      <xdr:spPr>
        <a:xfrm>
          <a:off x="851316" y="83152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9.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6" name="Picture 5" descr="image001">
          <a:extLst>
            <a:ext uri="{FF2B5EF4-FFF2-40B4-BE49-F238E27FC236}">
              <a16:creationId xmlns:a16="http://schemas.microsoft.com/office/drawing/2014/main" id="{DE1C368F-21E9-4A5F-B39A-C8D1FC497D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7" name="Straight Connector 6">
          <a:extLst>
            <a:ext uri="{FF2B5EF4-FFF2-40B4-BE49-F238E27FC236}">
              <a16:creationId xmlns:a16="http://schemas.microsoft.com/office/drawing/2014/main" id="{AB604122-331C-4F65-A4F1-BE3FA70BEEEA}"/>
            </a:ext>
          </a:extLst>
        </xdr:cNvPr>
        <xdr:cNvCxnSpPr/>
      </xdr:nvCxnSpPr>
      <xdr:spPr>
        <a:xfrm flipV="1">
          <a:off x="822080" y="66324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8" name="Straight Connector 7">
          <a:extLst>
            <a:ext uri="{FF2B5EF4-FFF2-40B4-BE49-F238E27FC236}">
              <a16:creationId xmlns:a16="http://schemas.microsoft.com/office/drawing/2014/main" id="{6F7BCCB4-2098-4B5A-A1A9-90DC119CFD68}"/>
            </a:ext>
          </a:extLst>
        </xdr:cNvPr>
        <xdr:cNvCxnSpPr/>
      </xdr:nvCxnSpPr>
      <xdr:spPr>
        <a:xfrm>
          <a:off x="4683125" y="66452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9" name="Straight Connector 8">
          <a:extLst>
            <a:ext uri="{FF2B5EF4-FFF2-40B4-BE49-F238E27FC236}">
              <a16:creationId xmlns:a16="http://schemas.microsoft.com/office/drawing/2014/main" id="{7A131C79-D68E-4E2B-9673-1B7B303557D8}"/>
            </a:ext>
          </a:extLst>
        </xdr:cNvPr>
        <xdr:cNvCxnSpPr/>
      </xdr:nvCxnSpPr>
      <xdr:spPr>
        <a:xfrm flipV="1">
          <a:off x="8867653" y="66167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80.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6" name="Picture 5" descr="image001">
          <a:extLst>
            <a:ext uri="{FF2B5EF4-FFF2-40B4-BE49-F238E27FC236}">
              <a16:creationId xmlns:a16="http://schemas.microsoft.com/office/drawing/2014/main" id="{310B3B27-D6AB-40E3-9140-3AE3BFB3EAC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31</xdr:row>
      <xdr:rowOff>187158</xdr:rowOff>
    </xdr:from>
    <xdr:to>
      <xdr:col>1</xdr:col>
      <xdr:colOff>1564105</xdr:colOff>
      <xdr:row>32</xdr:row>
      <xdr:rowOff>0</xdr:rowOff>
    </xdr:to>
    <xdr:cxnSp macro="">
      <xdr:nvCxnSpPr>
        <xdr:cNvPr id="7" name="Straight Connector 6">
          <a:extLst>
            <a:ext uri="{FF2B5EF4-FFF2-40B4-BE49-F238E27FC236}">
              <a16:creationId xmlns:a16="http://schemas.microsoft.com/office/drawing/2014/main" id="{1258CD56-1A5D-412C-83A2-6C8BE4E9D618}"/>
            </a:ext>
          </a:extLst>
        </xdr:cNvPr>
        <xdr:cNvCxnSpPr/>
      </xdr:nvCxnSpPr>
      <xdr:spPr>
        <a:xfrm flipV="1">
          <a:off x="822080" y="67149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32</xdr:row>
      <xdr:rowOff>9525</xdr:rowOff>
    </xdr:from>
    <xdr:to>
      <xdr:col>5</xdr:col>
      <xdr:colOff>820737</xdr:colOff>
      <xdr:row>32</xdr:row>
      <xdr:rowOff>9525</xdr:rowOff>
    </xdr:to>
    <xdr:cxnSp macro="">
      <xdr:nvCxnSpPr>
        <xdr:cNvPr id="8" name="Straight Connector 7">
          <a:extLst>
            <a:ext uri="{FF2B5EF4-FFF2-40B4-BE49-F238E27FC236}">
              <a16:creationId xmlns:a16="http://schemas.microsoft.com/office/drawing/2014/main" id="{CFF00D8F-7D8C-46CB-8EA0-B537C744D2C4}"/>
            </a:ext>
          </a:extLst>
        </xdr:cNvPr>
        <xdr:cNvCxnSpPr/>
      </xdr:nvCxnSpPr>
      <xdr:spPr>
        <a:xfrm>
          <a:off x="4683125" y="67278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9" name="Straight Connector 8">
          <a:extLst>
            <a:ext uri="{FF2B5EF4-FFF2-40B4-BE49-F238E27FC236}">
              <a16:creationId xmlns:a16="http://schemas.microsoft.com/office/drawing/2014/main" id="{A58EA5B0-3AEF-4499-A391-D2F66AB79C73}"/>
            </a:ext>
          </a:extLst>
        </xdr:cNvPr>
        <xdr:cNvCxnSpPr/>
      </xdr:nvCxnSpPr>
      <xdr:spPr>
        <a:xfrm flipV="1">
          <a:off x="8867653" y="66992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81.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5FCE276E-9161-44A9-946A-F5D87F5FCC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40</xdr:row>
      <xdr:rowOff>187158</xdr:rowOff>
    </xdr:from>
    <xdr:to>
      <xdr:col>1</xdr:col>
      <xdr:colOff>1564105</xdr:colOff>
      <xdr:row>41</xdr:row>
      <xdr:rowOff>0</xdr:rowOff>
    </xdr:to>
    <xdr:cxnSp macro="">
      <xdr:nvCxnSpPr>
        <xdr:cNvPr id="8" name="Straight Connector 7">
          <a:extLst>
            <a:ext uri="{FF2B5EF4-FFF2-40B4-BE49-F238E27FC236}">
              <a16:creationId xmlns:a16="http://schemas.microsoft.com/office/drawing/2014/main" id="{C688B341-7D3B-42F8-9F3F-EB449446702B}"/>
            </a:ext>
          </a:extLst>
        </xdr:cNvPr>
        <xdr:cNvCxnSpPr/>
      </xdr:nvCxnSpPr>
      <xdr:spPr>
        <a:xfrm flipV="1">
          <a:off x="822080" y="8258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41</xdr:row>
      <xdr:rowOff>9525</xdr:rowOff>
    </xdr:from>
    <xdr:to>
      <xdr:col>5</xdr:col>
      <xdr:colOff>820737</xdr:colOff>
      <xdr:row>41</xdr:row>
      <xdr:rowOff>9525</xdr:rowOff>
    </xdr:to>
    <xdr:cxnSp macro="">
      <xdr:nvCxnSpPr>
        <xdr:cNvPr id="9" name="Straight Connector 8">
          <a:extLst>
            <a:ext uri="{FF2B5EF4-FFF2-40B4-BE49-F238E27FC236}">
              <a16:creationId xmlns:a16="http://schemas.microsoft.com/office/drawing/2014/main" id="{CC2E3A66-1B52-4D1E-95EA-B96F1445391D}"/>
            </a:ext>
          </a:extLst>
        </xdr:cNvPr>
        <xdr:cNvCxnSpPr/>
      </xdr:nvCxnSpPr>
      <xdr:spPr>
        <a:xfrm>
          <a:off x="4683125" y="8270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40</xdr:row>
      <xdr:rowOff>171450</xdr:rowOff>
    </xdr:from>
    <xdr:to>
      <xdr:col>10</xdr:col>
      <xdr:colOff>1739900</xdr:colOff>
      <xdr:row>41</xdr:row>
      <xdr:rowOff>0</xdr:rowOff>
    </xdr:to>
    <xdr:cxnSp macro="">
      <xdr:nvCxnSpPr>
        <xdr:cNvPr id="10" name="Straight Connector 9">
          <a:extLst>
            <a:ext uri="{FF2B5EF4-FFF2-40B4-BE49-F238E27FC236}">
              <a16:creationId xmlns:a16="http://schemas.microsoft.com/office/drawing/2014/main" id="{DEC6313D-4922-4E79-9096-C665147EC1A1}"/>
            </a:ext>
          </a:extLst>
        </xdr:cNvPr>
        <xdr:cNvCxnSpPr/>
      </xdr:nvCxnSpPr>
      <xdr:spPr>
        <a:xfrm flipV="1">
          <a:off x="8867653" y="8242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50</xdr:row>
      <xdr:rowOff>3097</xdr:rowOff>
    </xdr:from>
    <xdr:to>
      <xdr:col>1</xdr:col>
      <xdr:colOff>1550900</xdr:colOff>
      <xdr:row>50</xdr:row>
      <xdr:rowOff>6195</xdr:rowOff>
    </xdr:to>
    <xdr:cxnSp macro="">
      <xdr:nvCxnSpPr>
        <xdr:cNvPr id="11" name="Straight Connector 10">
          <a:extLst>
            <a:ext uri="{FF2B5EF4-FFF2-40B4-BE49-F238E27FC236}">
              <a16:creationId xmlns:a16="http://schemas.microsoft.com/office/drawing/2014/main" id="{F2583A86-E0EE-4CA8-A07C-FFCA76DCD25F}"/>
            </a:ext>
          </a:extLst>
        </xdr:cNvPr>
        <xdr:cNvCxnSpPr/>
      </xdr:nvCxnSpPr>
      <xdr:spPr>
        <a:xfrm>
          <a:off x="851316" y="9934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2.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838F2A2B-74D9-4D89-8C9F-2E4F3BC92D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31</xdr:row>
      <xdr:rowOff>177800</xdr:rowOff>
    </xdr:from>
    <xdr:to>
      <xdr:col>1</xdr:col>
      <xdr:colOff>1035050</xdr:colOff>
      <xdr:row>32</xdr:row>
      <xdr:rowOff>0</xdr:rowOff>
    </xdr:to>
    <xdr:cxnSp macro="">
      <xdr:nvCxnSpPr>
        <xdr:cNvPr id="8" name="Straight Connector 7">
          <a:extLst>
            <a:ext uri="{FF2B5EF4-FFF2-40B4-BE49-F238E27FC236}">
              <a16:creationId xmlns:a16="http://schemas.microsoft.com/office/drawing/2014/main" id="{4B5168C6-3770-48CF-ACBF-E94E5C5D58AD}"/>
            </a:ext>
          </a:extLst>
        </xdr:cNvPr>
        <xdr:cNvCxnSpPr/>
      </xdr:nvCxnSpPr>
      <xdr:spPr>
        <a:xfrm flipV="1">
          <a:off x="412750" y="651510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32</xdr:row>
      <xdr:rowOff>0</xdr:rowOff>
    </xdr:from>
    <xdr:to>
      <xdr:col>5</xdr:col>
      <xdr:colOff>755650</xdr:colOff>
      <xdr:row>32</xdr:row>
      <xdr:rowOff>0</xdr:rowOff>
    </xdr:to>
    <xdr:cxnSp macro="">
      <xdr:nvCxnSpPr>
        <xdr:cNvPr id="9" name="Straight Connector 8">
          <a:extLst>
            <a:ext uri="{FF2B5EF4-FFF2-40B4-BE49-F238E27FC236}">
              <a16:creationId xmlns:a16="http://schemas.microsoft.com/office/drawing/2014/main" id="{472F13EC-9D50-40CD-9345-91C418BB28B6}"/>
            </a:ext>
          </a:extLst>
        </xdr:cNvPr>
        <xdr:cNvCxnSpPr/>
      </xdr:nvCxnSpPr>
      <xdr:spPr>
        <a:xfrm>
          <a:off x="4089400" y="65214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32</xdr:row>
      <xdr:rowOff>6350</xdr:rowOff>
    </xdr:from>
    <xdr:to>
      <xdr:col>11</xdr:col>
      <xdr:colOff>139700</xdr:colOff>
      <xdr:row>32</xdr:row>
      <xdr:rowOff>6350</xdr:rowOff>
    </xdr:to>
    <xdr:cxnSp macro="">
      <xdr:nvCxnSpPr>
        <xdr:cNvPr id="10" name="Straight Connector 9">
          <a:extLst>
            <a:ext uri="{FF2B5EF4-FFF2-40B4-BE49-F238E27FC236}">
              <a16:creationId xmlns:a16="http://schemas.microsoft.com/office/drawing/2014/main" id="{E00E90CF-852F-483D-909A-DA7D6890773A}"/>
            </a:ext>
          </a:extLst>
        </xdr:cNvPr>
        <xdr:cNvCxnSpPr/>
      </xdr:nvCxnSpPr>
      <xdr:spPr>
        <a:xfrm>
          <a:off x="9347200" y="65278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32</xdr:row>
      <xdr:rowOff>0</xdr:rowOff>
    </xdr:from>
    <xdr:to>
      <xdr:col>7</xdr:col>
      <xdr:colOff>775074</xdr:colOff>
      <xdr:row>32</xdr:row>
      <xdr:rowOff>3113</xdr:rowOff>
    </xdr:to>
    <xdr:cxnSp macro="">
      <xdr:nvCxnSpPr>
        <xdr:cNvPr id="11" name="Straight Connector 10">
          <a:extLst>
            <a:ext uri="{FF2B5EF4-FFF2-40B4-BE49-F238E27FC236}">
              <a16:creationId xmlns:a16="http://schemas.microsoft.com/office/drawing/2014/main" id="{119E58F3-D967-4A5F-A577-940C69CC1686}"/>
            </a:ext>
          </a:extLst>
        </xdr:cNvPr>
        <xdr:cNvCxnSpPr/>
      </xdr:nvCxnSpPr>
      <xdr:spPr>
        <a:xfrm>
          <a:off x="5876613" y="652145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83.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483E8BA2-DD5C-4093-BEC6-5C04985CF2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44</xdr:row>
      <xdr:rowOff>187158</xdr:rowOff>
    </xdr:from>
    <xdr:to>
      <xdr:col>1</xdr:col>
      <xdr:colOff>1564105</xdr:colOff>
      <xdr:row>45</xdr:row>
      <xdr:rowOff>0</xdr:rowOff>
    </xdr:to>
    <xdr:cxnSp macro="">
      <xdr:nvCxnSpPr>
        <xdr:cNvPr id="8" name="Straight Connector 7">
          <a:extLst>
            <a:ext uri="{FF2B5EF4-FFF2-40B4-BE49-F238E27FC236}">
              <a16:creationId xmlns:a16="http://schemas.microsoft.com/office/drawing/2014/main" id="{F2A2A0DB-F692-4D44-B9AD-192F5E5DAF24}"/>
            </a:ext>
          </a:extLst>
        </xdr:cNvPr>
        <xdr:cNvCxnSpPr/>
      </xdr:nvCxnSpPr>
      <xdr:spPr>
        <a:xfrm flipV="1">
          <a:off x="822080" y="8258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45</xdr:row>
      <xdr:rowOff>9525</xdr:rowOff>
    </xdr:from>
    <xdr:to>
      <xdr:col>5</xdr:col>
      <xdr:colOff>820737</xdr:colOff>
      <xdr:row>45</xdr:row>
      <xdr:rowOff>9525</xdr:rowOff>
    </xdr:to>
    <xdr:cxnSp macro="">
      <xdr:nvCxnSpPr>
        <xdr:cNvPr id="9" name="Straight Connector 8">
          <a:extLst>
            <a:ext uri="{FF2B5EF4-FFF2-40B4-BE49-F238E27FC236}">
              <a16:creationId xmlns:a16="http://schemas.microsoft.com/office/drawing/2014/main" id="{1458C444-6839-4703-A673-D36A2D3F3828}"/>
            </a:ext>
          </a:extLst>
        </xdr:cNvPr>
        <xdr:cNvCxnSpPr/>
      </xdr:nvCxnSpPr>
      <xdr:spPr>
        <a:xfrm>
          <a:off x="4683125" y="8270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44</xdr:row>
      <xdr:rowOff>171450</xdr:rowOff>
    </xdr:from>
    <xdr:to>
      <xdr:col>10</xdr:col>
      <xdr:colOff>1739900</xdr:colOff>
      <xdr:row>45</xdr:row>
      <xdr:rowOff>0</xdr:rowOff>
    </xdr:to>
    <xdr:cxnSp macro="">
      <xdr:nvCxnSpPr>
        <xdr:cNvPr id="10" name="Straight Connector 9">
          <a:extLst>
            <a:ext uri="{FF2B5EF4-FFF2-40B4-BE49-F238E27FC236}">
              <a16:creationId xmlns:a16="http://schemas.microsoft.com/office/drawing/2014/main" id="{3A45ED65-EA26-4AD0-AD1F-4C0051B305CD}"/>
            </a:ext>
          </a:extLst>
        </xdr:cNvPr>
        <xdr:cNvCxnSpPr/>
      </xdr:nvCxnSpPr>
      <xdr:spPr>
        <a:xfrm flipV="1">
          <a:off x="8867653" y="8242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54</xdr:row>
      <xdr:rowOff>3097</xdr:rowOff>
    </xdr:from>
    <xdr:to>
      <xdr:col>1</xdr:col>
      <xdr:colOff>1550900</xdr:colOff>
      <xdr:row>54</xdr:row>
      <xdr:rowOff>6195</xdr:rowOff>
    </xdr:to>
    <xdr:cxnSp macro="">
      <xdr:nvCxnSpPr>
        <xdr:cNvPr id="11" name="Straight Connector 10">
          <a:extLst>
            <a:ext uri="{FF2B5EF4-FFF2-40B4-BE49-F238E27FC236}">
              <a16:creationId xmlns:a16="http://schemas.microsoft.com/office/drawing/2014/main" id="{CD154451-CD28-4E66-952F-915E14850132}"/>
            </a:ext>
          </a:extLst>
        </xdr:cNvPr>
        <xdr:cNvCxnSpPr/>
      </xdr:nvCxnSpPr>
      <xdr:spPr>
        <a:xfrm>
          <a:off x="851316" y="9934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4.xml><?xml version="1.0" encoding="utf-8"?>
<xdr:wsDr xmlns:xdr="http://schemas.openxmlformats.org/drawingml/2006/spreadsheetDrawing" xmlns:a="http://schemas.openxmlformats.org/drawingml/2006/main">
  <xdr:oneCellAnchor>
    <xdr:from>
      <xdr:col>0</xdr:col>
      <xdr:colOff>19051</xdr:colOff>
      <xdr:row>0</xdr:row>
      <xdr:rowOff>47625</xdr:rowOff>
    </xdr:from>
    <xdr:ext cx="1289049" cy="409575"/>
    <xdr:pic>
      <xdr:nvPicPr>
        <xdr:cNvPr id="7" name="Picture 6" descr="image001">
          <a:extLst>
            <a:ext uri="{FF2B5EF4-FFF2-40B4-BE49-F238E27FC236}">
              <a16:creationId xmlns:a16="http://schemas.microsoft.com/office/drawing/2014/main" id="{872656E2-554F-492A-B0D6-9898C80515F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89049" cy="409575"/>
        </a:xfrm>
        <a:prstGeom prst="rect">
          <a:avLst/>
        </a:prstGeom>
        <a:noFill/>
        <a:ln>
          <a:noFill/>
        </a:ln>
      </xdr:spPr>
    </xdr:pic>
    <xdr:clientData/>
  </xdr:oneCellAnchor>
  <xdr:twoCellAnchor>
    <xdr:from>
      <xdr:col>1</xdr:col>
      <xdr:colOff>6350</xdr:colOff>
      <xdr:row>31</xdr:row>
      <xdr:rowOff>177800</xdr:rowOff>
    </xdr:from>
    <xdr:to>
      <xdr:col>1</xdr:col>
      <xdr:colOff>1035050</xdr:colOff>
      <xdr:row>32</xdr:row>
      <xdr:rowOff>0</xdr:rowOff>
    </xdr:to>
    <xdr:cxnSp macro="">
      <xdr:nvCxnSpPr>
        <xdr:cNvPr id="8" name="Straight Connector 7">
          <a:extLst>
            <a:ext uri="{FF2B5EF4-FFF2-40B4-BE49-F238E27FC236}">
              <a16:creationId xmlns:a16="http://schemas.microsoft.com/office/drawing/2014/main" id="{C906B1D5-8301-4CC1-A948-84848BD76D25}"/>
            </a:ext>
          </a:extLst>
        </xdr:cNvPr>
        <xdr:cNvCxnSpPr/>
      </xdr:nvCxnSpPr>
      <xdr:spPr>
        <a:xfrm flipV="1">
          <a:off x="412750" y="6648450"/>
          <a:ext cx="10287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32</xdr:row>
      <xdr:rowOff>0</xdr:rowOff>
    </xdr:from>
    <xdr:to>
      <xdr:col>5</xdr:col>
      <xdr:colOff>755650</xdr:colOff>
      <xdr:row>32</xdr:row>
      <xdr:rowOff>0</xdr:rowOff>
    </xdr:to>
    <xdr:cxnSp macro="">
      <xdr:nvCxnSpPr>
        <xdr:cNvPr id="9" name="Straight Connector 8">
          <a:extLst>
            <a:ext uri="{FF2B5EF4-FFF2-40B4-BE49-F238E27FC236}">
              <a16:creationId xmlns:a16="http://schemas.microsoft.com/office/drawing/2014/main" id="{464758EE-37A9-4131-B75D-040E7AE819EF}"/>
            </a:ext>
          </a:extLst>
        </xdr:cNvPr>
        <xdr:cNvCxnSpPr/>
      </xdr:nvCxnSpPr>
      <xdr:spPr>
        <a:xfrm>
          <a:off x="4089400" y="6654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32</xdr:row>
      <xdr:rowOff>6350</xdr:rowOff>
    </xdr:from>
    <xdr:to>
      <xdr:col>11</xdr:col>
      <xdr:colOff>139700</xdr:colOff>
      <xdr:row>32</xdr:row>
      <xdr:rowOff>6350</xdr:rowOff>
    </xdr:to>
    <xdr:cxnSp macro="">
      <xdr:nvCxnSpPr>
        <xdr:cNvPr id="10" name="Straight Connector 9">
          <a:extLst>
            <a:ext uri="{FF2B5EF4-FFF2-40B4-BE49-F238E27FC236}">
              <a16:creationId xmlns:a16="http://schemas.microsoft.com/office/drawing/2014/main" id="{80D735B2-F940-4C50-AD53-8EA87F015110}"/>
            </a:ext>
          </a:extLst>
        </xdr:cNvPr>
        <xdr:cNvCxnSpPr/>
      </xdr:nvCxnSpPr>
      <xdr:spPr>
        <a:xfrm>
          <a:off x="9347200" y="6661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333063</xdr:colOff>
      <xdr:row>32</xdr:row>
      <xdr:rowOff>0</xdr:rowOff>
    </xdr:from>
    <xdr:to>
      <xdr:col>7</xdr:col>
      <xdr:colOff>775074</xdr:colOff>
      <xdr:row>32</xdr:row>
      <xdr:rowOff>3113</xdr:rowOff>
    </xdr:to>
    <xdr:cxnSp macro="">
      <xdr:nvCxnSpPr>
        <xdr:cNvPr id="11" name="Straight Connector 10">
          <a:extLst>
            <a:ext uri="{FF2B5EF4-FFF2-40B4-BE49-F238E27FC236}">
              <a16:creationId xmlns:a16="http://schemas.microsoft.com/office/drawing/2014/main" id="{D1E2BA4B-C7C4-45D4-9EAD-C38D78124D12}"/>
            </a:ext>
          </a:extLst>
        </xdr:cNvPr>
        <xdr:cNvCxnSpPr/>
      </xdr:nvCxnSpPr>
      <xdr:spPr>
        <a:xfrm>
          <a:off x="5876613" y="6654800"/>
          <a:ext cx="1731061" cy="3113"/>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8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1EC2825A-297E-4F06-A55F-09B758231B9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42</xdr:row>
      <xdr:rowOff>187158</xdr:rowOff>
    </xdr:from>
    <xdr:to>
      <xdr:col>1</xdr:col>
      <xdr:colOff>1564105</xdr:colOff>
      <xdr:row>43</xdr:row>
      <xdr:rowOff>0</xdr:rowOff>
    </xdr:to>
    <xdr:cxnSp macro="">
      <xdr:nvCxnSpPr>
        <xdr:cNvPr id="8" name="Straight Connector 7">
          <a:extLst>
            <a:ext uri="{FF2B5EF4-FFF2-40B4-BE49-F238E27FC236}">
              <a16:creationId xmlns:a16="http://schemas.microsoft.com/office/drawing/2014/main" id="{FA6BAA30-EE77-47D0-A4ED-DCD8BA251CCA}"/>
            </a:ext>
          </a:extLst>
        </xdr:cNvPr>
        <xdr:cNvCxnSpPr/>
      </xdr:nvCxnSpPr>
      <xdr:spPr>
        <a:xfrm flipV="1">
          <a:off x="822080" y="89946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43</xdr:row>
      <xdr:rowOff>9525</xdr:rowOff>
    </xdr:from>
    <xdr:to>
      <xdr:col>5</xdr:col>
      <xdr:colOff>820737</xdr:colOff>
      <xdr:row>43</xdr:row>
      <xdr:rowOff>9525</xdr:rowOff>
    </xdr:to>
    <xdr:cxnSp macro="">
      <xdr:nvCxnSpPr>
        <xdr:cNvPr id="9" name="Straight Connector 8">
          <a:extLst>
            <a:ext uri="{FF2B5EF4-FFF2-40B4-BE49-F238E27FC236}">
              <a16:creationId xmlns:a16="http://schemas.microsoft.com/office/drawing/2014/main" id="{647BD52B-4B48-4F73-B06E-DE6CF1B776D6}"/>
            </a:ext>
          </a:extLst>
        </xdr:cNvPr>
        <xdr:cNvCxnSpPr/>
      </xdr:nvCxnSpPr>
      <xdr:spPr>
        <a:xfrm>
          <a:off x="4683125" y="90074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42</xdr:row>
      <xdr:rowOff>171450</xdr:rowOff>
    </xdr:from>
    <xdr:to>
      <xdr:col>10</xdr:col>
      <xdr:colOff>1739900</xdr:colOff>
      <xdr:row>43</xdr:row>
      <xdr:rowOff>0</xdr:rowOff>
    </xdr:to>
    <xdr:cxnSp macro="">
      <xdr:nvCxnSpPr>
        <xdr:cNvPr id="10" name="Straight Connector 9">
          <a:extLst>
            <a:ext uri="{FF2B5EF4-FFF2-40B4-BE49-F238E27FC236}">
              <a16:creationId xmlns:a16="http://schemas.microsoft.com/office/drawing/2014/main" id="{A7CA12F7-8091-4389-8745-32A03E57858F}"/>
            </a:ext>
          </a:extLst>
        </xdr:cNvPr>
        <xdr:cNvCxnSpPr/>
      </xdr:nvCxnSpPr>
      <xdr:spPr>
        <a:xfrm flipV="1">
          <a:off x="8867653" y="8978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52</xdr:row>
      <xdr:rowOff>3097</xdr:rowOff>
    </xdr:from>
    <xdr:to>
      <xdr:col>1</xdr:col>
      <xdr:colOff>1550900</xdr:colOff>
      <xdr:row>52</xdr:row>
      <xdr:rowOff>6195</xdr:rowOff>
    </xdr:to>
    <xdr:cxnSp macro="">
      <xdr:nvCxnSpPr>
        <xdr:cNvPr id="11" name="Straight Connector 10">
          <a:extLst>
            <a:ext uri="{FF2B5EF4-FFF2-40B4-BE49-F238E27FC236}">
              <a16:creationId xmlns:a16="http://schemas.microsoft.com/office/drawing/2014/main" id="{7EA863B1-B5FA-48C7-9C18-0DD0A1D623F6}"/>
            </a:ext>
          </a:extLst>
        </xdr:cNvPr>
        <xdr:cNvCxnSpPr/>
      </xdr:nvCxnSpPr>
      <xdr:spPr>
        <a:xfrm>
          <a:off x="851316" y="106710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6.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4AF1770F-8A4A-4BC8-AC97-C13124803B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30</xdr:row>
      <xdr:rowOff>6350</xdr:rowOff>
    </xdr:from>
    <xdr:to>
      <xdr:col>1</xdr:col>
      <xdr:colOff>1155700</xdr:colOff>
      <xdr:row>30</xdr:row>
      <xdr:rowOff>12700</xdr:rowOff>
    </xdr:to>
    <xdr:cxnSp macro="">
      <xdr:nvCxnSpPr>
        <xdr:cNvPr id="8" name="Straight Connector 7">
          <a:extLst>
            <a:ext uri="{FF2B5EF4-FFF2-40B4-BE49-F238E27FC236}">
              <a16:creationId xmlns:a16="http://schemas.microsoft.com/office/drawing/2014/main" id="{0BBFB7A4-0DCF-4A70-AA3C-0AFFB4D75413}"/>
            </a:ext>
          </a:extLst>
        </xdr:cNvPr>
        <xdr:cNvCxnSpPr/>
      </xdr:nvCxnSpPr>
      <xdr:spPr>
        <a:xfrm>
          <a:off x="457200" y="615315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3D72AC01-44B2-403C-A945-849FB893B3B5}"/>
            </a:ext>
          </a:extLst>
        </xdr:cNvPr>
        <xdr:cNvCxnSpPr/>
      </xdr:nvCxnSpPr>
      <xdr:spPr>
        <a:xfrm>
          <a:off x="4089400" y="66675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8C672B31-C4A9-4EC8-A8BF-D599828605DE}"/>
            </a:ext>
          </a:extLst>
        </xdr:cNvPr>
        <xdr:cNvCxnSpPr/>
      </xdr:nvCxnSpPr>
      <xdr:spPr>
        <a:xfrm>
          <a:off x="9347200" y="66738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30</xdr:row>
      <xdr:rowOff>0</xdr:rowOff>
    </xdr:from>
    <xdr:to>
      <xdr:col>7</xdr:col>
      <xdr:colOff>565150</xdr:colOff>
      <xdr:row>30</xdr:row>
      <xdr:rowOff>0</xdr:rowOff>
    </xdr:to>
    <xdr:cxnSp macro="">
      <xdr:nvCxnSpPr>
        <xdr:cNvPr id="11" name="Straight Connector 10">
          <a:extLst>
            <a:ext uri="{FF2B5EF4-FFF2-40B4-BE49-F238E27FC236}">
              <a16:creationId xmlns:a16="http://schemas.microsoft.com/office/drawing/2014/main" id="{796A589D-7530-4636-A75D-9B70E51B1D5E}"/>
            </a:ext>
          </a:extLst>
        </xdr:cNvPr>
        <xdr:cNvCxnSpPr/>
      </xdr:nvCxnSpPr>
      <xdr:spPr>
        <a:xfrm>
          <a:off x="6035363" y="614680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87.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22D8A583-8AC7-44B2-A0FD-B542812E47F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187158</xdr:rowOff>
    </xdr:from>
    <xdr:to>
      <xdr:col>1</xdr:col>
      <xdr:colOff>1564105</xdr:colOff>
      <xdr:row>20</xdr:row>
      <xdr:rowOff>0</xdr:rowOff>
    </xdr:to>
    <xdr:cxnSp macro="">
      <xdr:nvCxnSpPr>
        <xdr:cNvPr id="8" name="Straight Connector 7">
          <a:extLst>
            <a:ext uri="{FF2B5EF4-FFF2-40B4-BE49-F238E27FC236}">
              <a16:creationId xmlns:a16="http://schemas.microsoft.com/office/drawing/2014/main" id="{7B1D8E2F-4BBA-475A-9758-A10F9D484A9B}"/>
            </a:ext>
          </a:extLst>
        </xdr:cNvPr>
        <xdr:cNvCxnSpPr/>
      </xdr:nvCxnSpPr>
      <xdr:spPr>
        <a:xfrm flipV="1">
          <a:off x="822080" y="89946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5A36DD02-89A7-4802-9632-1AA3F9C05F5E}"/>
            </a:ext>
          </a:extLst>
        </xdr:cNvPr>
        <xdr:cNvCxnSpPr/>
      </xdr:nvCxnSpPr>
      <xdr:spPr>
        <a:xfrm>
          <a:off x="4683125" y="90074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6214AE0C-5555-4F2B-9AD3-E2DF0E2D3275}"/>
            </a:ext>
          </a:extLst>
        </xdr:cNvPr>
        <xdr:cNvCxnSpPr/>
      </xdr:nvCxnSpPr>
      <xdr:spPr>
        <a:xfrm flipV="1">
          <a:off x="8867653" y="8978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1847CE04-6535-433A-838E-4B8F51C260F0}"/>
            </a:ext>
          </a:extLst>
        </xdr:cNvPr>
        <xdr:cNvCxnSpPr/>
      </xdr:nvCxnSpPr>
      <xdr:spPr>
        <a:xfrm>
          <a:off x="851316" y="106710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8.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2535B187-42CB-437F-B3B2-25231C9651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32</xdr:row>
      <xdr:rowOff>187158</xdr:rowOff>
    </xdr:from>
    <xdr:to>
      <xdr:col>1</xdr:col>
      <xdr:colOff>1564105</xdr:colOff>
      <xdr:row>33</xdr:row>
      <xdr:rowOff>0</xdr:rowOff>
    </xdr:to>
    <xdr:cxnSp macro="">
      <xdr:nvCxnSpPr>
        <xdr:cNvPr id="8" name="Straight Connector 7">
          <a:extLst>
            <a:ext uri="{FF2B5EF4-FFF2-40B4-BE49-F238E27FC236}">
              <a16:creationId xmlns:a16="http://schemas.microsoft.com/office/drawing/2014/main" id="{4DA07C84-F65C-46A5-8E76-A646161F8628}"/>
            </a:ext>
          </a:extLst>
        </xdr:cNvPr>
        <xdr:cNvCxnSpPr/>
      </xdr:nvCxnSpPr>
      <xdr:spPr>
        <a:xfrm flipV="1">
          <a:off x="822080" y="44289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33</xdr:row>
      <xdr:rowOff>9525</xdr:rowOff>
    </xdr:from>
    <xdr:to>
      <xdr:col>5</xdr:col>
      <xdr:colOff>820737</xdr:colOff>
      <xdr:row>33</xdr:row>
      <xdr:rowOff>9525</xdr:rowOff>
    </xdr:to>
    <xdr:cxnSp macro="">
      <xdr:nvCxnSpPr>
        <xdr:cNvPr id="9" name="Straight Connector 8">
          <a:extLst>
            <a:ext uri="{FF2B5EF4-FFF2-40B4-BE49-F238E27FC236}">
              <a16:creationId xmlns:a16="http://schemas.microsoft.com/office/drawing/2014/main" id="{AC6284FB-A262-418D-AAB4-0CBD12AACAB8}"/>
            </a:ext>
          </a:extLst>
        </xdr:cNvPr>
        <xdr:cNvCxnSpPr/>
      </xdr:nvCxnSpPr>
      <xdr:spPr>
        <a:xfrm>
          <a:off x="4683125" y="44418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32</xdr:row>
      <xdr:rowOff>171450</xdr:rowOff>
    </xdr:from>
    <xdr:to>
      <xdr:col>10</xdr:col>
      <xdr:colOff>1739900</xdr:colOff>
      <xdr:row>33</xdr:row>
      <xdr:rowOff>0</xdr:rowOff>
    </xdr:to>
    <xdr:cxnSp macro="">
      <xdr:nvCxnSpPr>
        <xdr:cNvPr id="10" name="Straight Connector 9">
          <a:extLst>
            <a:ext uri="{FF2B5EF4-FFF2-40B4-BE49-F238E27FC236}">
              <a16:creationId xmlns:a16="http://schemas.microsoft.com/office/drawing/2014/main" id="{D3943CA1-6B8A-4A21-9701-21242B928614}"/>
            </a:ext>
          </a:extLst>
        </xdr:cNvPr>
        <xdr:cNvCxnSpPr/>
      </xdr:nvCxnSpPr>
      <xdr:spPr>
        <a:xfrm flipV="1">
          <a:off x="8950203" y="44132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42</xdr:row>
      <xdr:rowOff>3097</xdr:rowOff>
    </xdr:from>
    <xdr:to>
      <xdr:col>1</xdr:col>
      <xdr:colOff>1550900</xdr:colOff>
      <xdr:row>42</xdr:row>
      <xdr:rowOff>6195</xdr:rowOff>
    </xdr:to>
    <xdr:cxnSp macro="">
      <xdr:nvCxnSpPr>
        <xdr:cNvPr id="11" name="Straight Connector 10">
          <a:extLst>
            <a:ext uri="{FF2B5EF4-FFF2-40B4-BE49-F238E27FC236}">
              <a16:creationId xmlns:a16="http://schemas.microsoft.com/office/drawing/2014/main" id="{6C07CE6F-8E92-47B6-B5F8-98A895D912E4}"/>
            </a:ext>
          </a:extLst>
        </xdr:cNvPr>
        <xdr:cNvCxnSpPr/>
      </xdr:nvCxnSpPr>
      <xdr:spPr>
        <a:xfrm>
          <a:off x="851316" y="61054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9.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BD45DBDF-DEED-411B-ABC4-15FF27093F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34</xdr:row>
      <xdr:rowOff>187158</xdr:rowOff>
    </xdr:from>
    <xdr:to>
      <xdr:col>1</xdr:col>
      <xdr:colOff>1564105</xdr:colOff>
      <xdr:row>35</xdr:row>
      <xdr:rowOff>0</xdr:rowOff>
    </xdr:to>
    <xdr:cxnSp macro="">
      <xdr:nvCxnSpPr>
        <xdr:cNvPr id="8" name="Straight Connector 7">
          <a:extLst>
            <a:ext uri="{FF2B5EF4-FFF2-40B4-BE49-F238E27FC236}">
              <a16:creationId xmlns:a16="http://schemas.microsoft.com/office/drawing/2014/main" id="{9E89F398-60C0-49C2-B347-FD892686BA07}"/>
            </a:ext>
          </a:extLst>
        </xdr:cNvPr>
        <xdr:cNvCxnSpPr/>
      </xdr:nvCxnSpPr>
      <xdr:spPr>
        <a:xfrm flipV="1">
          <a:off x="822080" y="863900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35</xdr:row>
      <xdr:rowOff>9525</xdr:rowOff>
    </xdr:from>
    <xdr:to>
      <xdr:col>5</xdr:col>
      <xdr:colOff>820737</xdr:colOff>
      <xdr:row>35</xdr:row>
      <xdr:rowOff>9525</xdr:rowOff>
    </xdr:to>
    <xdr:cxnSp macro="">
      <xdr:nvCxnSpPr>
        <xdr:cNvPr id="9" name="Straight Connector 8">
          <a:extLst>
            <a:ext uri="{FF2B5EF4-FFF2-40B4-BE49-F238E27FC236}">
              <a16:creationId xmlns:a16="http://schemas.microsoft.com/office/drawing/2014/main" id="{8FBC7A42-5A4D-465D-B29D-ECA27D631D02}"/>
            </a:ext>
          </a:extLst>
        </xdr:cNvPr>
        <xdr:cNvCxnSpPr/>
      </xdr:nvCxnSpPr>
      <xdr:spPr>
        <a:xfrm>
          <a:off x="4683125" y="8651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34</xdr:row>
      <xdr:rowOff>171450</xdr:rowOff>
    </xdr:from>
    <xdr:to>
      <xdr:col>10</xdr:col>
      <xdr:colOff>1739900</xdr:colOff>
      <xdr:row>35</xdr:row>
      <xdr:rowOff>0</xdr:rowOff>
    </xdr:to>
    <xdr:cxnSp macro="">
      <xdr:nvCxnSpPr>
        <xdr:cNvPr id="10" name="Straight Connector 9">
          <a:extLst>
            <a:ext uri="{FF2B5EF4-FFF2-40B4-BE49-F238E27FC236}">
              <a16:creationId xmlns:a16="http://schemas.microsoft.com/office/drawing/2014/main" id="{E6F74C1F-4286-4A9A-8B77-AD12EFBD1C3B}"/>
            </a:ext>
          </a:extLst>
        </xdr:cNvPr>
        <xdr:cNvCxnSpPr/>
      </xdr:nvCxnSpPr>
      <xdr:spPr>
        <a:xfrm flipV="1">
          <a:off x="8867653" y="8623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44</xdr:row>
      <xdr:rowOff>3097</xdr:rowOff>
    </xdr:from>
    <xdr:to>
      <xdr:col>1</xdr:col>
      <xdr:colOff>1550900</xdr:colOff>
      <xdr:row>44</xdr:row>
      <xdr:rowOff>6195</xdr:rowOff>
    </xdr:to>
    <xdr:cxnSp macro="">
      <xdr:nvCxnSpPr>
        <xdr:cNvPr id="11" name="Straight Connector 10">
          <a:extLst>
            <a:ext uri="{FF2B5EF4-FFF2-40B4-BE49-F238E27FC236}">
              <a16:creationId xmlns:a16="http://schemas.microsoft.com/office/drawing/2014/main" id="{204C6718-B225-40CD-8E8F-6476B0A5FC99}"/>
            </a:ext>
          </a:extLst>
        </xdr:cNvPr>
        <xdr:cNvCxnSpPr/>
      </xdr:nvCxnSpPr>
      <xdr:spPr>
        <a:xfrm>
          <a:off x="851316" y="10315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0.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E38306A2-F60F-428C-9500-77D36D17A0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32</xdr:row>
      <xdr:rowOff>187158</xdr:rowOff>
    </xdr:from>
    <xdr:to>
      <xdr:col>1</xdr:col>
      <xdr:colOff>1564105</xdr:colOff>
      <xdr:row>33</xdr:row>
      <xdr:rowOff>0</xdr:rowOff>
    </xdr:to>
    <xdr:cxnSp macro="">
      <xdr:nvCxnSpPr>
        <xdr:cNvPr id="8" name="Straight Connector 7">
          <a:extLst>
            <a:ext uri="{FF2B5EF4-FFF2-40B4-BE49-F238E27FC236}">
              <a16:creationId xmlns:a16="http://schemas.microsoft.com/office/drawing/2014/main" id="{BE922DD2-73B4-4A98-AA7D-FABAE456ADBB}"/>
            </a:ext>
          </a:extLst>
        </xdr:cNvPr>
        <xdr:cNvCxnSpPr/>
      </xdr:nvCxnSpPr>
      <xdr:spPr>
        <a:xfrm flipV="1">
          <a:off x="822080" y="7222958"/>
          <a:ext cx="1142075" cy="334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33</xdr:row>
      <xdr:rowOff>9525</xdr:rowOff>
    </xdr:from>
    <xdr:to>
      <xdr:col>5</xdr:col>
      <xdr:colOff>820737</xdr:colOff>
      <xdr:row>33</xdr:row>
      <xdr:rowOff>9525</xdr:rowOff>
    </xdr:to>
    <xdr:cxnSp macro="">
      <xdr:nvCxnSpPr>
        <xdr:cNvPr id="9" name="Straight Connector 8">
          <a:extLst>
            <a:ext uri="{FF2B5EF4-FFF2-40B4-BE49-F238E27FC236}">
              <a16:creationId xmlns:a16="http://schemas.microsoft.com/office/drawing/2014/main" id="{EFAD23ED-9B25-48D5-8182-60F9041603AC}"/>
            </a:ext>
          </a:extLst>
        </xdr:cNvPr>
        <xdr:cNvCxnSpPr/>
      </xdr:nvCxnSpPr>
      <xdr:spPr>
        <a:xfrm>
          <a:off x="4683125" y="723582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32</xdr:row>
      <xdr:rowOff>171450</xdr:rowOff>
    </xdr:from>
    <xdr:to>
      <xdr:col>10</xdr:col>
      <xdr:colOff>1739900</xdr:colOff>
      <xdr:row>33</xdr:row>
      <xdr:rowOff>0</xdr:rowOff>
    </xdr:to>
    <xdr:cxnSp macro="">
      <xdr:nvCxnSpPr>
        <xdr:cNvPr id="10" name="Straight Connector 9">
          <a:extLst>
            <a:ext uri="{FF2B5EF4-FFF2-40B4-BE49-F238E27FC236}">
              <a16:creationId xmlns:a16="http://schemas.microsoft.com/office/drawing/2014/main" id="{EDAE5AF4-6A80-45DF-B096-962F59516D53}"/>
            </a:ext>
          </a:extLst>
        </xdr:cNvPr>
        <xdr:cNvCxnSpPr/>
      </xdr:nvCxnSpPr>
      <xdr:spPr>
        <a:xfrm flipV="1">
          <a:off x="8867653" y="72072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42</xdr:row>
      <xdr:rowOff>3097</xdr:rowOff>
    </xdr:from>
    <xdr:to>
      <xdr:col>1</xdr:col>
      <xdr:colOff>1550900</xdr:colOff>
      <xdr:row>42</xdr:row>
      <xdr:rowOff>6195</xdr:rowOff>
    </xdr:to>
    <xdr:cxnSp macro="">
      <xdr:nvCxnSpPr>
        <xdr:cNvPr id="11" name="Straight Connector 10">
          <a:extLst>
            <a:ext uri="{FF2B5EF4-FFF2-40B4-BE49-F238E27FC236}">
              <a16:creationId xmlns:a16="http://schemas.microsoft.com/office/drawing/2014/main" id="{28295218-A628-40EA-9BEB-815DE0AAA843}"/>
            </a:ext>
          </a:extLst>
        </xdr:cNvPr>
        <xdr:cNvCxnSpPr/>
      </xdr:nvCxnSpPr>
      <xdr:spPr>
        <a:xfrm>
          <a:off x="851316" y="88994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1.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56B6C063-6A21-4165-92A9-C176C323E6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42</xdr:row>
      <xdr:rowOff>187517</xdr:rowOff>
    </xdr:from>
    <xdr:to>
      <xdr:col>1</xdr:col>
      <xdr:colOff>1538490</xdr:colOff>
      <xdr:row>43</xdr:row>
      <xdr:rowOff>1</xdr:rowOff>
    </xdr:to>
    <xdr:cxnSp macro="">
      <xdr:nvCxnSpPr>
        <xdr:cNvPr id="8" name="Straight Connector 7">
          <a:extLst>
            <a:ext uri="{FF2B5EF4-FFF2-40B4-BE49-F238E27FC236}">
              <a16:creationId xmlns:a16="http://schemas.microsoft.com/office/drawing/2014/main" id="{7D17CF27-0647-4B14-932B-DBBC45061197}"/>
            </a:ext>
          </a:extLst>
        </xdr:cNvPr>
        <xdr:cNvCxnSpPr/>
      </xdr:nvCxnSpPr>
      <xdr:spPr>
        <a:xfrm flipV="1">
          <a:off x="822634" y="8591678"/>
          <a:ext cx="1116460" cy="426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43</xdr:row>
      <xdr:rowOff>9525</xdr:rowOff>
    </xdr:from>
    <xdr:to>
      <xdr:col>5</xdr:col>
      <xdr:colOff>820737</xdr:colOff>
      <xdr:row>43</xdr:row>
      <xdr:rowOff>9525</xdr:rowOff>
    </xdr:to>
    <xdr:cxnSp macro="">
      <xdr:nvCxnSpPr>
        <xdr:cNvPr id="9" name="Straight Connector 8">
          <a:extLst>
            <a:ext uri="{FF2B5EF4-FFF2-40B4-BE49-F238E27FC236}">
              <a16:creationId xmlns:a16="http://schemas.microsoft.com/office/drawing/2014/main" id="{A75CB47B-B221-49C4-8FFD-8D8318BC92C7}"/>
            </a:ext>
          </a:extLst>
        </xdr:cNvPr>
        <xdr:cNvCxnSpPr/>
      </xdr:nvCxnSpPr>
      <xdr:spPr>
        <a:xfrm>
          <a:off x="4683125" y="86518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42</xdr:row>
      <xdr:rowOff>171450</xdr:rowOff>
    </xdr:from>
    <xdr:to>
      <xdr:col>10</xdr:col>
      <xdr:colOff>1739900</xdr:colOff>
      <xdr:row>43</xdr:row>
      <xdr:rowOff>0</xdr:rowOff>
    </xdr:to>
    <xdr:cxnSp macro="">
      <xdr:nvCxnSpPr>
        <xdr:cNvPr id="10" name="Straight Connector 9">
          <a:extLst>
            <a:ext uri="{FF2B5EF4-FFF2-40B4-BE49-F238E27FC236}">
              <a16:creationId xmlns:a16="http://schemas.microsoft.com/office/drawing/2014/main" id="{1EE977B1-7F8C-4449-8624-AFB6E57B8972}"/>
            </a:ext>
          </a:extLst>
        </xdr:cNvPr>
        <xdr:cNvCxnSpPr/>
      </xdr:nvCxnSpPr>
      <xdr:spPr>
        <a:xfrm flipV="1">
          <a:off x="8867653" y="86233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52</xdr:row>
      <xdr:rowOff>3097</xdr:rowOff>
    </xdr:from>
    <xdr:to>
      <xdr:col>1</xdr:col>
      <xdr:colOff>1550900</xdr:colOff>
      <xdr:row>52</xdr:row>
      <xdr:rowOff>6195</xdr:rowOff>
    </xdr:to>
    <xdr:cxnSp macro="">
      <xdr:nvCxnSpPr>
        <xdr:cNvPr id="11" name="Straight Connector 10">
          <a:extLst>
            <a:ext uri="{FF2B5EF4-FFF2-40B4-BE49-F238E27FC236}">
              <a16:creationId xmlns:a16="http://schemas.microsoft.com/office/drawing/2014/main" id="{E40F9CB8-1871-44CF-B135-16B248F5264F}"/>
            </a:ext>
          </a:extLst>
        </xdr:cNvPr>
        <xdr:cNvCxnSpPr/>
      </xdr:nvCxnSpPr>
      <xdr:spPr>
        <a:xfrm>
          <a:off x="851316" y="103154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2.xml><?xml version="1.0" encoding="utf-8"?>
<xdr:wsDr xmlns:xdr="http://schemas.openxmlformats.org/drawingml/2006/spreadsheetDrawing" xmlns:a="http://schemas.openxmlformats.org/drawingml/2006/main">
  <xdr:oneCellAnchor>
    <xdr:from>
      <xdr:col>0</xdr:col>
      <xdr:colOff>19051</xdr:colOff>
      <xdr:row>0</xdr:row>
      <xdr:rowOff>47625</xdr:rowOff>
    </xdr:from>
    <xdr:ext cx="1295399" cy="447675"/>
    <xdr:pic>
      <xdr:nvPicPr>
        <xdr:cNvPr id="7" name="Picture 6" descr="image001">
          <a:extLst>
            <a:ext uri="{FF2B5EF4-FFF2-40B4-BE49-F238E27FC236}">
              <a16:creationId xmlns:a16="http://schemas.microsoft.com/office/drawing/2014/main" id="{BE3C56DD-808E-47EE-84BE-219124FA3A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95399" cy="447675"/>
        </a:xfrm>
        <a:prstGeom prst="rect">
          <a:avLst/>
        </a:prstGeom>
        <a:noFill/>
        <a:ln>
          <a:noFill/>
        </a:ln>
      </xdr:spPr>
    </xdr:pic>
    <xdr:clientData/>
  </xdr:oneCellAnchor>
  <xdr:twoCellAnchor>
    <xdr:from>
      <xdr:col>1</xdr:col>
      <xdr:colOff>50800</xdr:colOff>
      <xdr:row>30</xdr:row>
      <xdr:rowOff>6350</xdr:rowOff>
    </xdr:from>
    <xdr:to>
      <xdr:col>1</xdr:col>
      <xdr:colOff>1155700</xdr:colOff>
      <xdr:row>30</xdr:row>
      <xdr:rowOff>12700</xdr:rowOff>
    </xdr:to>
    <xdr:cxnSp macro="">
      <xdr:nvCxnSpPr>
        <xdr:cNvPr id="8" name="Straight Connector 7">
          <a:extLst>
            <a:ext uri="{FF2B5EF4-FFF2-40B4-BE49-F238E27FC236}">
              <a16:creationId xmlns:a16="http://schemas.microsoft.com/office/drawing/2014/main" id="{B1426873-0662-4080-A6BA-E57A1AB2956E}"/>
            </a:ext>
          </a:extLst>
        </xdr:cNvPr>
        <xdr:cNvCxnSpPr/>
      </xdr:nvCxnSpPr>
      <xdr:spPr>
        <a:xfrm>
          <a:off x="457200" y="615315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88F8B9CA-25AA-4567-AC02-6DCD81DEB38E}"/>
            </a:ext>
          </a:extLst>
        </xdr:cNvPr>
        <xdr:cNvCxnSpPr/>
      </xdr:nvCxnSpPr>
      <xdr:spPr>
        <a:xfrm>
          <a:off x="4089400" y="6146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2574A295-41B0-489B-8634-2243D65819B3}"/>
            </a:ext>
          </a:extLst>
        </xdr:cNvPr>
        <xdr:cNvCxnSpPr/>
      </xdr:nvCxnSpPr>
      <xdr:spPr>
        <a:xfrm>
          <a:off x="9347200" y="6153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30</xdr:row>
      <xdr:rowOff>0</xdr:rowOff>
    </xdr:from>
    <xdr:to>
      <xdr:col>7</xdr:col>
      <xdr:colOff>565150</xdr:colOff>
      <xdr:row>30</xdr:row>
      <xdr:rowOff>0</xdr:rowOff>
    </xdr:to>
    <xdr:cxnSp macro="">
      <xdr:nvCxnSpPr>
        <xdr:cNvPr id="11" name="Straight Connector 10">
          <a:extLst>
            <a:ext uri="{FF2B5EF4-FFF2-40B4-BE49-F238E27FC236}">
              <a16:creationId xmlns:a16="http://schemas.microsoft.com/office/drawing/2014/main" id="{C3C4AD82-D0FB-4D39-A6F2-73E640254BBC}"/>
            </a:ext>
          </a:extLst>
        </xdr:cNvPr>
        <xdr:cNvCxnSpPr/>
      </xdr:nvCxnSpPr>
      <xdr:spPr>
        <a:xfrm>
          <a:off x="6035363" y="614680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93.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00AB778A-1DCF-4E84-AC50-CD4E4F877E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187517</xdr:rowOff>
    </xdr:from>
    <xdr:to>
      <xdr:col>1</xdr:col>
      <xdr:colOff>1538490</xdr:colOff>
      <xdr:row>20</xdr:row>
      <xdr:rowOff>1</xdr:rowOff>
    </xdr:to>
    <xdr:cxnSp macro="">
      <xdr:nvCxnSpPr>
        <xdr:cNvPr id="8" name="Straight Connector 7">
          <a:extLst>
            <a:ext uri="{FF2B5EF4-FFF2-40B4-BE49-F238E27FC236}">
              <a16:creationId xmlns:a16="http://schemas.microsoft.com/office/drawing/2014/main" id="{ED004F36-1440-4A40-8A4E-3818EA45EFBB}"/>
            </a:ext>
          </a:extLst>
        </xdr:cNvPr>
        <xdr:cNvCxnSpPr/>
      </xdr:nvCxnSpPr>
      <xdr:spPr>
        <a:xfrm flipV="1">
          <a:off x="822080" y="862666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7D07D8EC-50F6-4CA0-86CC-293641BEFE1C}"/>
            </a:ext>
          </a:extLst>
        </xdr:cNvPr>
        <xdr:cNvCxnSpPr/>
      </xdr:nvCxnSpPr>
      <xdr:spPr>
        <a:xfrm>
          <a:off x="4683125" y="86391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8A44D596-C97F-4658-B8EA-996223ADA8C7}"/>
            </a:ext>
          </a:extLst>
        </xdr:cNvPr>
        <xdr:cNvCxnSpPr/>
      </xdr:nvCxnSpPr>
      <xdr:spPr>
        <a:xfrm flipV="1">
          <a:off x="9007353" y="86106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ACD130D5-8ACA-4ED1-9EF5-7167DB3E1E49}"/>
            </a:ext>
          </a:extLst>
        </xdr:cNvPr>
        <xdr:cNvCxnSpPr/>
      </xdr:nvCxnSpPr>
      <xdr:spPr>
        <a:xfrm>
          <a:off x="851316" y="103027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4.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49392072-5535-4943-AA3F-3B48838700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187517</xdr:rowOff>
    </xdr:from>
    <xdr:to>
      <xdr:col>1</xdr:col>
      <xdr:colOff>1538490</xdr:colOff>
      <xdr:row>20</xdr:row>
      <xdr:rowOff>1</xdr:rowOff>
    </xdr:to>
    <xdr:cxnSp macro="">
      <xdr:nvCxnSpPr>
        <xdr:cNvPr id="8" name="Straight Connector 7">
          <a:extLst>
            <a:ext uri="{FF2B5EF4-FFF2-40B4-BE49-F238E27FC236}">
              <a16:creationId xmlns:a16="http://schemas.microsoft.com/office/drawing/2014/main" id="{37AD08A3-F644-4806-9167-46190F58EE01}"/>
            </a:ext>
          </a:extLst>
        </xdr:cNvPr>
        <xdr:cNvCxnSpPr/>
      </xdr:nvCxnSpPr>
      <xdr:spPr>
        <a:xfrm flipV="1">
          <a:off x="822080" y="442296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AFDE9065-FCDC-4A47-B356-D6921DD02610}"/>
            </a:ext>
          </a:extLst>
        </xdr:cNvPr>
        <xdr:cNvCxnSpPr/>
      </xdr:nvCxnSpPr>
      <xdr:spPr>
        <a:xfrm>
          <a:off x="4683125" y="44354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B38935CB-BB0E-47AD-9793-6414C5A3A11E}"/>
            </a:ext>
          </a:extLst>
        </xdr:cNvPr>
        <xdr:cNvCxnSpPr/>
      </xdr:nvCxnSpPr>
      <xdr:spPr>
        <a:xfrm flipV="1">
          <a:off x="9007353" y="4406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867AB013-1CD6-4D1B-BB68-B7B7574CB515}"/>
            </a:ext>
          </a:extLst>
        </xdr:cNvPr>
        <xdr:cNvCxnSpPr/>
      </xdr:nvCxnSpPr>
      <xdr:spPr>
        <a:xfrm>
          <a:off x="851316" y="60990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5.xml><?xml version="1.0" encoding="utf-8"?>
<xdr:wsDr xmlns:xdr="http://schemas.openxmlformats.org/drawingml/2006/spreadsheetDrawing" xmlns:a="http://schemas.openxmlformats.org/drawingml/2006/main">
  <xdr:oneCellAnchor>
    <xdr:from>
      <xdr:col>0</xdr:col>
      <xdr:colOff>19051</xdr:colOff>
      <xdr:row>0</xdr:row>
      <xdr:rowOff>47625</xdr:rowOff>
    </xdr:from>
    <xdr:ext cx="977899" cy="333375"/>
    <xdr:pic>
      <xdr:nvPicPr>
        <xdr:cNvPr id="7" name="Picture 6" descr="image001">
          <a:extLst>
            <a:ext uri="{FF2B5EF4-FFF2-40B4-BE49-F238E27FC236}">
              <a16:creationId xmlns:a16="http://schemas.microsoft.com/office/drawing/2014/main" id="{E59AB839-187B-478A-AAAA-9C74C47E4A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977899" cy="333375"/>
        </a:xfrm>
        <a:prstGeom prst="rect">
          <a:avLst/>
        </a:prstGeom>
        <a:noFill/>
        <a:ln>
          <a:noFill/>
        </a:ln>
      </xdr:spPr>
    </xdr:pic>
    <xdr:clientData/>
  </xdr:oneCellAnchor>
  <xdr:twoCellAnchor>
    <xdr:from>
      <xdr:col>1</xdr:col>
      <xdr:colOff>422030</xdr:colOff>
      <xdr:row>19</xdr:row>
      <xdr:rowOff>187517</xdr:rowOff>
    </xdr:from>
    <xdr:to>
      <xdr:col>1</xdr:col>
      <xdr:colOff>1538490</xdr:colOff>
      <xdr:row>20</xdr:row>
      <xdr:rowOff>1</xdr:rowOff>
    </xdr:to>
    <xdr:cxnSp macro="">
      <xdr:nvCxnSpPr>
        <xdr:cNvPr id="8" name="Straight Connector 7">
          <a:extLst>
            <a:ext uri="{FF2B5EF4-FFF2-40B4-BE49-F238E27FC236}">
              <a16:creationId xmlns:a16="http://schemas.microsoft.com/office/drawing/2014/main" id="{7544E624-2E93-441D-B11C-8D31794E0906}"/>
            </a:ext>
          </a:extLst>
        </xdr:cNvPr>
        <xdr:cNvCxnSpPr/>
      </xdr:nvCxnSpPr>
      <xdr:spPr>
        <a:xfrm flipV="1">
          <a:off x="822080" y="448646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20</xdr:row>
      <xdr:rowOff>9525</xdr:rowOff>
    </xdr:from>
    <xdr:to>
      <xdr:col>5</xdr:col>
      <xdr:colOff>820737</xdr:colOff>
      <xdr:row>20</xdr:row>
      <xdr:rowOff>9525</xdr:rowOff>
    </xdr:to>
    <xdr:cxnSp macro="">
      <xdr:nvCxnSpPr>
        <xdr:cNvPr id="9" name="Straight Connector 8">
          <a:extLst>
            <a:ext uri="{FF2B5EF4-FFF2-40B4-BE49-F238E27FC236}">
              <a16:creationId xmlns:a16="http://schemas.microsoft.com/office/drawing/2014/main" id="{758E9C21-FA4C-4D31-9B4A-7C5E8B475753}"/>
            </a:ext>
          </a:extLst>
        </xdr:cNvPr>
        <xdr:cNvCxnSpPr/>
      </xdr:nvCxnSpPr>
      <xdr:spPr>
        <a:xfrm>
          <a:off x="4683125" y="44989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19</xdr:row>
      <xdr:rowOff>171450</xdr:rowOff>
    </xdr:from>
    <xdr:to>
      <xdr:col>10</xdr:col>
      <xdr:colOff>1739900</xdr:colOff>
      <xdr:row>20</xdr:row>
      <xdr:rowOff>0</xdr:rowOff>
    </xdr:to>
    <xdr:cxnSp macro="">
      <xdr:nvCxnSpPr>
        <xdr:cNvPr id="10" name="Straight Connector 9">
          <a:extLst>
            <a:ext uri="{FF2B5EF4-FFF2-40B4-BE49-F238E27FC236}">
              <a16:creationId xmlns:a16="http://schemas.microsoft.com/office/drawing/2014/main" id="{B4131FE8-CEE8-4472-9ABE-C8AC214E669D}"/>
            </a:ext>
          </a:extLst>
        </xdr:cNvPr>
        <xdr:cNvCxnSpPr/>
      </xdr:nvCxnSpPr>
      <xdr:spPr>
        <a:xfrm flipV="1">
          <a:off x="9007353" y="44704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29</xdr:row>
      <xdr:rowOff>3097</xdr:rowOff>
    </xdr:from>
    <xdr:to>
      <xdr:col>1</xdr:col>
      <xdr:colOff>1550900</xdr:colOff>
      <xdr:row>29</xdr:row>
      <xdr:rowOff>6195</xdr:rowOff>
    </xdr:to>
    <xdr:cxnSp macro="">
      <xdr:nvCxnSpPr>
        <xdr:cNvPr id="11" name="Straight Connector 10">
          <a:extLst>
            <a:ext uri="{FF2B5EF4-FFF2-40B4-BE49-F238E27FC236}">
              <a16:creationId xmlns:a16="http://schemas.microsoft.com/office/drawing/2014/main" id="{3D5F983A-E9E4-44F9-9847-9C75CF7D22AE}"/>
            </a:ext>
          </a:extLst>
        </xdr:cNvPr>
        <xdr:cNvCxnSpPr/>
      </xdr:nvCxnSpPr>
      <xdr:spPr>
        <a:xfrm>
          <a:off x="851316" y="61625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6.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152E06AF-30B1-4587-81B1-E5BACA76BA3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45</xdr:row>
      <xdr:rowOff>187517</xdr:rowOff>
    </xdr:from>
    <xdr:to>
      <xdr:col>1</xdr:col>
      <xdr:colOff>1538490</xdr:colOff>
      <xdr:row>46</xdr:row>
      <xdr:rowOff>1</xdr:rowOff>
    </xdr:to>
    <xdr:cxnSp macro="">
      <xdr:nvCxnSpPr>
        <xdr:cNvPr id="8" name="Straight Connector 7">
          <a:extLst>
            <a:ext uri="{FF2B5EF4-FFF2-40B4-BE49-F238E27FC236}">
              <a16:creationId xmlns:a16="http://schemas.microsoft.com/office/drawing/2014/main" id="{0CB081BF-C596-4079-A018-5F9A534BECFC}"/>
            </a:ext>
          </a:extLst>
        </xdr:cNvPr>
        <xdr:cNvCxnSpPr/>
      </xdr:nvCxnSpPr>
      <xdr:spPr>
        <a:xfrm flipV="1">
          <a:off x="822080" y="862666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523875</xdr:colOff>
      <xdr:row>46</xdr:row>
      <xdr:rowOff>9525</xdr:rowOff>
    </xdr:from>
    <xdr:to>
      <xdr:col>5</xdr:col>
      <xdr:colOff>820737</xdr:colOff>
      <xdr:row>46</xdr:row>
      <xdr:rowOff>9525</xdr:rowOff>
    </xdr:to>
    <xdr:cxnSp macro="">
      <xdr:nvCxnSpPr>
        <xdr:cNvPr id="9" name="Straight Connector 8">
          <a:extLst>
            <a:ext uri="{FF2B5EF4-FFF2-40B4-BE49-F238E27FC236}">
              <a16:creationId xmlns:a16="http://schemas.microsoft.com/office/drawing/2014/main" id="{41B76FAC-6FD6-46DF-AD31-22407365BF4F}"/>
            </a:ext>
          </a:extLst>
        </xdr:cNvPr>
        <xdr:cNvCxnSpPr/>
      </xdr:nvCxnSpPr>
      <xdr:spPr>
        <a:xfrm>
          <a:off x="4683125" y="8639175"/>
          <a:ext cx="82391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45</xdr:row>
      <xdr:rowOff>171450</xdr:rowOff>
    </xdr:from>
    <xdr:to>
      <xdr:col>10</xdr:col>
      <xdr:colOff>1739900</xdr:colOff>
      <xdr:row>46</xdr:row>
      <xdr:rowOff>0</xdr:rowOff>
    </xdr:to>
    <xdr:cxnSp macro="">
      <xdr:nvCxnSpPr>
        <xdr:cNvPr id="10" name="Straight Connector 9">
          <a:extLst>
            <a:ext uri="{FF2B5EF4-FFF2-40B4-BE49-F238E27FC236}">
              <a16:creationId xmlns:a16="http://schemas.microsoft.com/office/drawing/2014/main" id="{07FD4C48-1925-4C01-849A-F0E2949832B6}"/>
            </a:ext>
          </a:extLst>
        </xdr:cNvPr>
        <xdr:cNvCxnSpPr/>
      </xdr:nvCxnSpPr>
      <xdr:spPr>
        <a:xfrm flipV="1">
          <a:off x="9007353" y="86106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55</xdr:row>
      <xdr:rowOff>3097</xdr:rowOff>
    </xdr:from>
    <xdr:to>
      <xdr:col>1</xdr:col>
      <xdr:colOff>1550900</xdr:colOff>
      <xdr:row>55</xdr:row>
      <xdr:rowOff>6195</xdr:rowOff>
    </xdr:to>
    <xdr:cxnSp macro="">
      <xdr:nvCxnSpPr>
        <xdr:cNvPr id="11" name="Straight Connector 10">
          <a:extLst>
            <a:ext uri="{FF2B5EF4-FFF2-40B4-BE49-F238E27FC236}">
              <a16:creationId xmlns:a16="http://schemas.microsoft.com/office/drawing/2014/main" id="{B9C842EF-445C-4388-A49B-EC99F8D95C9F}"/>
            </a:ext>
          </a:extLst>
        </xdr:cNvPr>
        <xdr:cNvCxnSpPr/>
      </xdr:nvCxnSpPr>
      <xdr:spPr>
        <a:xfrm>
          <a:off x="851316" y="1030279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7.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6177F374-493B-4455-8202-094ECB42D2D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31</xdr:row>
      <xdr:rowOff>6350</xdr:rowOff>
    </xdr:from>
    <xdr:to>
      <xdr:col>1</xdr:col>
      <xdr:colOff>1155700</xdr:colOff>
      <xdr:row>31</xdr:row>
      <xdr:rowOff>12700</xdr:rowOff>
    </xdr:to>
    <xdr:cxnSp macro="">
      <xdr:nvCxnSpPr>
        <xdr:cNvPr id="8" name="Straight Connector 7">
          <a:extLst>
            <a:ext uri="{FF2B5EF4-FFF2-40B4-BE49-F238E27FC236}">
              <a16:creationId xmlns:a16="http://schemas.microsoft.com/office/drawing/2014/main" id="{AE836889-5835-4661-8104-8ED0B97D372C}"/>
            </a:ext>
          </a:extLst>
        </xdr:cNvPr>
        <xdr:cNvCxnSpPr/>
      </xdr:nvCxnSpPr>
      <xdr:spPr>
        <a:xfrm>
          <a:off x="457200" y="615315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B180A64F-0AF6-42A0-B71D-1FFBFDF5B4E9}"/>
            </a:ext>
          </a:extLst>
        </xdr:cNvPr>
        <xdr:cNvCxnSpPr/>
      </xdr:nvCxnSpPr>
      <xdr:spPr>
        <a:xfrm>
          <a:off x="4089400" y="61468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CA0AB928-7B00-4344-8C11-91EC1475A8AB}"/>
            </a:ext>
          </a:extLst>
        </xdr:cNvPr>
        <xdr:cNvCxnSpPr/>
      </xdr:nvCxnSpPr>
      <xdr:spPr>
        <a:xfrm>
          <a:off x="9347200" y="61531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31</xdr:row>
      <xdr:rowOff>0</xdr:rowOff>
    </xdr:from>
    <xdr:to>
      <xdr:col>7</xdr:col>
      <xdr:colOff>565150</xdr:colOff>
      <xdr:row>31</xdr:row>
      <xdr:rowOff>0</xdr:rowOff>
    </xdr:to>
    <xdr:cxnSp macro="">
      <xdr:nvCxnSpPr>
        <xdr:cNvPr id="11" name="Straight Connector 10">
          <a:extLst>
            <a:ext uri="{FF2B5EF4-FFF2-40B4-BE49-F238E27FC236}">
              <a16:creationId xmlns:a16="http://schemas.microsoft.com/office/drawing/2014/main" id="{B3749DA8-8D81-4C61-9802-3011CC271F2C}"/>
            </a:ext>
          </a:extLst>
        </xdr:cNvPr>
        <xdr:cNvCxnSpPr/>
      </xdr:nvCxnSpPr>
      <xdr:spPr>
        <a:xfrm>
          <a:off x="6035363" y="614680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98.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16BDC1D5-9F03-4846-AD79-57E526834C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36</xdr:row>
      <xdr:rowOff>6350</xdr:rowOff>
    </xdr:from>
    <xdr:to>
      <xdr:col>1</xdr:col>
      <xdr:colOff>1155700</xdr:colOff>
      <xdr:row>36</xdr:row>
      <xdr:rowOff>12700</xdr:rowOff>
    </xdr:to>
    <xdr:cxnSp macro="">
      <xdr:nvCxnSpPr>
        <xdr:cNvPr id="8" name="Straight Connector 7">
          <a:extLst>
            <a:ext uri="{FF2B5EF4-FFF2-40B4-BE49-F238E27FC236}">
              <a16:creationId xmlns:a16="http://schemas.microsoft.com/office/drawing/2014/main" id="{B4470FD0-FDA6-47F6-93DD-A1ED10C37FC7}"/>
            </a:ext>
          </a:extLst>
        </xdr:cNvPr>
        <xdr:cNvCxnSpPr/>
      </xdr:nvCxnSpPr>
      <xdr:spPr>
        <a:xfrm>
          <a:off x="457200" y="654050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36</xdr:row>
      <xdr:rowOff>0</xdr:rowOff>
    </xdr:from>
    <xdr:to>
      <xdr:col>5</xdr:col>
      <xdr:colOff>755650</xdr:colOff>
      <xdr:row>36</xdr:row>
      <xdr:rowOff>0</xdr:rowOff>
    </xdr:to>
    <xdr:cxnSp macro="">
      <xdr:nvCxnSpPr>
        <xdr:cNvPr id="9" name="Straight Connector 8">
          <a:extLst>
            <a:ext uri="{FF2B5EF4-FFF2-40B4-BE49-F238E27FC236}">
              <a16:creationId xmlns:a16="http://schemas.microsoft.com/office/drawing/2014/main" id="{71963FA7-E054-4C84-B37C-EE4BD7569C1D}"/>
            </a:ext>
          </a:extLst>
        </xdr:cNvPr>
        <xdr:cNvCxnSpPr/>
      </xdr:nvCxnSpPr>
      <xdr:spPr>
        <a:xfrm>
          <a:off x="4089400" y="65341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36</xdr:row>
      <xdr:rowOff>6350</xdr:rowOff>
    </xdr:from>
    <xdr:to>
      <xdr:col>11</xdr:col>
      <xdr:colOff>139700</xdr:colOff>
      <xdr:row>36</xdr:row>
      <xdr:rowOff>6350</xdr:rowOff>
    </xdr:to>
    <xdr:cxnSp macro="">
      <xdr:nvCxnSpPr>
        <xdr:cNvPr id="10" name="Straight Connector 9">
          <a:extLst>
            <a:ext uri="{FF2B5EF4-FFF2-40B4-BE49-F238E27FC236}">
              <a16:creationId xmlns:a16="http://schemas.microsoft.com/office/drawing/2014/main" id="{C1CF2ED7-5401-490C-A909-817578947DF1}"/>
            </a:ext>
          </a:extLst>
        </xdr:cNvPr>
        <xdr:cNvCxnSpPr/>
      </xdr:nvCxnSpPr>
      <xdr:spPr>
        <a:xfrm>
          <a:off x="9347200" y="65405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36</xdr:row>
      <xdr:rowOff>0</xdr:rowOff>
    </xdr:from>
    <xdr:to>
      <xdr:col>7</xdr:col>
      <xdr:colOff>565150</xdr:colOff>
      <xdr:row>36</xdr:row>
      <xdr:rowOff>0</xdr:rowOff>
    </xdr:to>
    <xdr:cxnSp macro="">
      <xdr:nvCxnSpPr>
        <xdr:cNvPr id="11" name="Straight Connector 10">
          <a:extLst>
            <a:ext uri="{FF2B5EF4-FFF2-40B4-BE49-F238E27FC236}">
              <a16:creationId xmlns:a16="http://schemas.microsoft.com/office/drawing/2014/main" id="{72FD8342-BC36-463E-B7CB-9DCCC4C59F2A}"/>
            </a:ext>
          </a:extLst>
        </xdr:cNvPr>
        <xdr:cNvCxnSpPr/>
      </xdr:nvCxnSpPr>
      <xdr:spPr>
        <a:xfrm>
          <a:off x="6035363" y="653415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99.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E36F87D4-780C-41F4-A181-A2A0A48348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42</xdr:row>
      <xdr:rowOff>187517</xdr:rowOff>
    </xdr:from>
    <xdr:to>
      <xdr:col>1</xdr:col>
      <xdr:colOff>1538490</xdr:colOff>
      <xdr:row>43</xdr:row>
      <xdr:rowOff>1</xdr:rowOff>
    </xdr:to>
    <xdr:cxnSp macro="">
      <xdr:nvCxnSpPr>
        <xdr:cNvPr id="8" name="Straight Connector 7">
          <a:extLst>
            <a:ext uri="{FF2B5EF4-FFF2-40B4-BE49-F238E27FC236}">
              <a16:creationId xmlns:a16="http://schemas.microsoft.com/office/drawing/2014/main" id="{F11454C8-2382-4785-B3DA-E865994DBA52}"/>
            </a:ext>
          </a:extLst>
        </xdr:cNvPr>
        <xdr:cNvCxnSpPr/>
      </xdr:nvCxnSpPr>
      <xdr:spPr>
        <a:xfrm flipV="1">
          <a:off x="822080" y="76424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43</xdr:row>
      <xdr:rowOff>6350</xdr:rowOff>
    </xdr:from>
    <xdr:to>
      <xdr:col>5</xdr:col>
      <xdr:colOff>935037</xdr:colOff>
      <xdr:row>43</xdr:row>
      <xdr:rowOff>9525</xdr:rowOff>
    </xdr:to>
    <xdr:cxnSp macro="">
      <xdr:nvCxnSpPr>
        <xdr:cNvPr id="9" name="Straight Connector 8">
          <a:extLst>
            <a:ext uri="{FF2B5EF4-FFF2-40B4-BE49-F238E27FC236}">
              <a16:creationId xmlns:a16="http://schemas.microsoft.com/office/drawing/2014/main" id="{BA300D72-EDFE-4A04-BE3C-DBB0656AF4AD}"/>
            </a:ext>
          </a:extLst>
        </xdr:cNvPr>
        <xdr:cNvCxnSpPr/>
      </xdr:nvCxnSpPr>
      <xdr:spPr>
        <a:xfrm>
          <a:off x="4464050" y="78295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42</xdr:row>
      <xdr:rowOff>171450</xdr:rowOff>
    </xdr:from>
    <xdr:to>
      <xdr:col>10</xdr:col>
      <xdr:colOff>1739900</xdr:colOff>
      <xdr:row>43</xdr:row>
      <xdr:rowOff>0</xdr:rowOff>
    </xdr:to>
    <xdr:cxnSp macro="">
      <xdr:nvCxnSpPr>
        <xdr:cNvPr id="10" name="Straight Connector 9">
          <a:extLst>
            <a:ext uri="{FF2B5EF4-FFF2-40B4-BE49-F238E27FC236}">
              <a16:creationId xmlns:a16="http://schemas.microsoft.com/office/drawing/2014/main" id="{4D3175BC-AC26-400E-B058-D186CA354208}"/>
            </a:ext>
          </a:extLst>
        </xdr:cNvPr>
        <xdr:cNvCxnSpPr/>
      </xdr:nvCxnSpPr>
      <xdr:spPr>
        <a:xfrm flipV="1">
          <a:off x="9007353" y="76263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52</xdr:row>
      <xdr:rowOff>3097</xdr:rowOff>
    </xdr:from>
    <xdr:to>
      <xdr:col>1</xdr:col>
      <xdr:colOff>1550900</xdr:colOff>
      <xdr:row>52</xdr:row>
      <xdr:rowOff>6195</xdr:rowOff>
    </xdr:to>
    <xdr:cxnSp macro="">
      <xdr:nvCxnSpPr>
        <xdr:cNvPr id="11" name="Straight Connector 10">
          <a:extLst>
            <a:ext uri="{FF2B5EF4-FFF2-40B4-BE49-F238E27FC236}">
              <a16:creationId xmlns:a16="http://schemas.microsoft.com/office/drawing/2014/main" id="{B3794F11-F8BA-4657-8FF0-13098AF3479D}"/>
            </a:ext>
          </a:extLst>
        </xdr:cNvPr>
        <xdr:cNvCxnSpPr/>
      </xdr:nvCxnSpPr>
      <xdr:spPr>
        <a:xfrm>
          <a:off x="851316" y="93185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0.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D92A4148-9980-4EAF-99A0-5D564F9D85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27</xdr:row>
      <xdr:rowOff>187517</xdr:rowOff>
    </xdr:from>
    <xdr:to>
      <xdr:col>1</xdr:col>
      <xdr:colOff>1538490</xdr:colOff>
      <xdr:row>28</xdr:row>
      <xdr:rowOff>1</xdr:rowOff>
    </xdr:to>
    <xdr:cxnSp macro="">
      <xdr:nvCxnSpPr>
        <xdr:cNvPr id="8" name="Straight Connector 7">
          <a:extLst>
            <a:ext uri="{FF2B5EF4-FFF2-40B4-BE49-F238E27FC236}">
              <a16:creationId xmlns:a16="http://schemas.microsoft.com/office/drawing/2014/main" id="{E9EF9E1D-57FD-47EB-8171-7996B42B15EF}"/>
            </a:ext>
          </a:extLst>
        </xdr:cNvPr>
        <xdr:cNvCxnSpPr/>
      </xdr:nvCxnSpPr>
      <xdr:spPr>
        <a:xfrm flipV="1">
          <a:off x="822080" y="85568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28</xdr:row>
      <xdr:rowOff>6350</xdr:rowOff>
    </xdr:from>
    <xdr:to>
      <xdr:col>5</xdr:col>
      <xdr:colOff>935037</xdr:colOff>
      <xdr:row>28</xdr:row>
      <xdr:rowOff>9525</xdr:rowOff>
    </xdr:to>
    <xdr:cxnSp macro="">
      <xdr:nvCxnSpPr>
        <xdr:cNvPr id="9" name="Straight Connector 8">
          <a:extLst>
            <a:ext uri="{FF2B5EF4-FFF2-40B4-BE49-F238E27FC236}">
              <a16:creationId xmlns:a16="http://schemas.microsoft.com/office/drawing/2014/main" id="{5E8C13EA-46DE-45C6-809F-A9AB0D6EA9EE}"/>
            </a:ext>
          </a:extLst>
        </xdr:cNvPr>
        <xdr:cNvCxnSpPr/>
      </xdr:nvCxnSpPr>
      <xdr:spPr>
        <a:xfrm>
          <a:off x="4464050" y="85661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27</xdr:row>
      <xdr:rowOff>171450</xdr:rowOff>
    </xdr:from>
    <xdr:to>
      <xdr:col>10</xdr:col>
      <xdr:colOff>1739900</xdr:colOff>
      <xdr:row>28</xdr:row>
      <xdr:rowOff>0</xdr:rowOff>
    </xdr:to>
    <xdr:cxnSp macro="">
      <xdr:nvCxnSpPr>
        <xdr:cNvPr id="10" name="Straight Connector 9">
          <a:extLst>
            <a:ext uri="{FF2B5EF4-FFF2-40B4-BE49-F238E27FC236}">
              <a16:creationId xmlns:a16="http://schemas.microsoft.com/office/drawing/2014/main" id="{74EDA2D0-8B33-4768-B9AA-D2D843BCDD01}"/>
            </a:ext>
          </a:extLst>
        </xdr:cNvPr>
        <xdr:cNvCxnSpPr/>
      </xdr:nvCxnSpPr>
      <xdr:spPr>
        <a:xfrm flipV="1">
          <a:off x="9007353" y="85407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37</xdr:row>
      <xdr:rowOff>3097</xdr:rowOff>
    </xdr:from>
    <xdr:to>
      <xdr:col>1</xdr:col>
      <xdr:colOff>1550900</xdr:colOff>
      <xdr:row>37</xdr:row>
      <xdr:rowOff>6195</xdr:rowOff>
    </xdr:to>
    <xdr:cxnSp macro="">
      <xdr:nvCxnSpPr>
        <xdr:cNvPr id="11" name="Straight Connector 10">
          <a:extLst>
            <a:ext uri="{FF2B5EF4-FFF2-40B4-BE49-F238E27FC236}">
              <a16:creationId xmlns:a16="http://schemas.microsoft.com/office/drawing/2014/main" id="{8D35E27A-D37C-40D6-AA68-7C60E474778E}"/>
            </a:ext>
          </a:extLst>
        </xdr:cNvPr>
        <xdr:cNvCxnSpPr/>
      </xdr:nvCxnSpPr>
      <xdr:spPr>
        <a:xfrm>
          <a:off x="851316" y="102329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1.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627A42BC-0E36-4627-AE04-B50BC297CEB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30</xdr:row>
      <xdr:rowOff>6350</xdr:rowOff>
    </xdr:from>
    <xdr:to>
      <xdr:col>1</xdr:col>
      <xdr:colOff>1155700</xdr:colOff>
      <xdr:row>30</xdr:row>
      <xdr:rowOff>12700</xdr:rowOff>
    </xdr:to>
    <xdr:cxnSp macro="">
      <xdr:nvCxnSpPr>
        <xdr:cNvPr id="8" name="Straight Connector 7">
          <a:extLst>
            <a:ext uri="{FF2B5EF4-FFF2-40B4-BE49-F238E27FC236}">
              <a16:creationId xmlns:a16="http://schemas.microsoft.com/office/drawing/2014/main" id="{174C3CC2-1E86-475D-AA73-AF1B3943D4F5}"/>
            </a:ext>
          </a:extLst>
        </xdr:cNvPr>
        <xdr:cNvCxnSpPr/>
      </xdr:nvCxnSpPr>
      <xdr:spPr>
        <a:xfrm>
          <a:off x="457200" y="654050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30</xdr:row>
      <xdr:rowOff>0</xdr:rowOff>
    </xdr:from>
    <xdr:to>
      <xdr:col>5</xdr:col>
      <xdr:colOff>755650</xdr:colOff>
      <xdr:row>30</xdr:row>
      <xdr:rowOff>0</xdr:rowOff>
    </xdr:to>
    <xdr:cxnSp macro="">
      <xdr:nvCxnSpPr>
        <xdr:cNvPr id="9" name="Straight Connector 8">
          <a:extLst>
            <a:ext uri="{FF2B5EF4-FFF2-40B4-BE49-F238E27FC236}">
              <a16:creationId xmlns:a16="http://schemas.microsoft.com/office/drawing/2014/main" id="{A5684C25-2055-4BA9-9F18-993F79808110}"/>
            </a:ext>
          </a:extLst>
        </xdr:cNvPr>
        <xdr:cNvCxnSpPr/>
      </xdr:nvCxnSpPr>
      <xdr:spPr>
        <a:xfrm>
          <a:off x="4089400" y="65341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30</xdr:row>
      <xdr:rowOff>6350</xdr:rowOff>
    </xdr:from>
    <xdr:to>
      <xdr:col>11</xdr:col>
      <xdr:colOff>139700</xdr:colOff>
      <xdr:row>30</xdr:row>
      <xdr:rowOff>6350</xdr:rowOff>
    </xdr:to>
    <xdr:cxnSp macro="">
      <xdr:nvCxnSpPr>
        <xdr:cNvPr id="10" name="Straight Connector 9">
          <a:extLst>
            <a:ext uri="{FF2B5EF4-FFF2-40B4-BE49-F238E27FC236}">
              <a16:creationId xmlns:a16="http://schemas.microsoft.com/office/drawing/2014/main" id="{52CBE086-4315-4601-8F4E-EE327C200E82}"/>
            </a:ext>
          </a:extLst>
        </xdr:cNvPr>
        <xdr:cNvCxnSpPr/>
      </xdr:nvCxnSpPr>
      <xdr:spPr>
        <a:xfrm>
          <a:off x="9347200" y="65405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30</xdr:row>
      <xdr:rowOff>0</xdr:rowOff>
    </xdr:from>
    <xdr:to>
      <xdr:col>7</xdr:col>
      <xdr:colOff>565150</xdr:colOff>
      <xdr:row>30</xdr:row>
      <xdr:rowOff>0</xdr:rowOff>
    </xdr:to>
    <xdr:cxnSp macro="">
      <xdr:nvCxnSpPr>
        <xdr:cNvPr id="11" name="Straight Connector 10">
          <a:extLst>
            <a:ext uri="{FF2B5EF4-FFF2-40B4-BE49-F238E27FC236}">
              <a16:creationId xmlns:a16="http://schemas.microsoft.com/office/drawing/2014/main" id="{D8D9BFE2-8967-4067-9271-FBC95305D328}"/>
            </a:ext>
          </a:extLst>
        </xdr:cNvPr>
        <xdr:cNvCxnSpPr/>
      </xdr:nvCxnSpPr>
      <xdr:spPr>
        <a:xfrm>
          <a:off x="6035363" y="653415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102.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E01691D9-D655-42F3-9009-BB7AA31961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29</xdr:row>
      <xdr:rowOff>187517</xdr:rowOff>
    </xdr:from>
    <xdr:to>
      <xdr:col>1</xdr:col>
      <xdr:colOff>1538490</xdr:colOff>
      <xdr:row>30</xdr:row>
      <xdr:rowOff>1</xdr:rowOff>
    </xdr:to>
    <xdr:cxnSp macro="">
      <xdr:nvCxnSpPr>
        <xdr:cNvPr id="8" name="Straight Connector 7">
          <a:extLst>
            <a:ext uri="{FF2B5EF4-FFF2-40B4-BE49-F238E27FC236}">
              <a16:creationId xmlns:a16="http://schemas.microsoft.com/office/drawing/2014/main" id="{C927B813-8A86-4AE1-AEE5-5F1E5A6EC661}"/>
            </a:ext>
          </a:extLst>
        </xdr:cNvPr>
        <xdr:cNvCxnSpPr/>
      </xdr:nvCxnSpPr>
      <xdr:spPr>
        <a:xfrm flipV="1">
          <a:off x="822080" y="85568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30</xdr:row>
      <xdr:rowOff>6350</xdr:rowOff>
    </xdr:from>
    <xdr:to>
      <xdr:col>5</xdr:col>
      <xdr:colOff>935037</xdr:colOff>
      <xdr:row>30</xdr:row>
      <xdr:rowOff>9525</xdr:rowOff>
    </xdr:to>
    <xdr:cxnSp macro="">
      <xdr:nvCxnSpPr>
        <xdr:cNvPr id="9" name="Straight Connector 8">
          <a:extLst>
            <a:ext uri="{FF2B5EF4-FFF2-40B4-BE49-F238E27FC236}">
              <a16:creationId xmlns:a16="http://schemas.microsoft.com/office/drawing/2014/main" id="{5226C469-7F40-443E-996A-6FC89B753388}"/>
            </a:ext>
          </a:extLst>
        </xdr:cNvPr>
        <xdr:cNvCxnSpPr/>
      </xdr:nvCxnSpPr>
      <xdr:spPr>
        <a:xfrm>
          <a:off x="4464050" y="85661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29</xdr:row>
      <xdr:rowOff>171450</xdr:rowOff>
    </xdr:from>
    <xdr:to>
      <xdr:col>10</xdr:col>
      <xdr:colOff>1739900</xdr:colOff>
      <xdr:row>30</xdr:row>
      <xdr:rowOff>0</xdr:rowOff>
    </xdr:to>
    <xdr:cxnSp macro="">
      <xdr:nvCxnSpPr>
        <xdr:cNvPr id="10" name="Straight Connector 9">
          <a:extLst>
            <a:ext uri="{FF2B5EF4-FFF2-40B4-BE49-F238E27FC236}">
              <a16:creationId xmlns:a16="http://schemas.microsoft.com/office/drawing/2014/main" id="{91D7A624-AAFA-42F2-B165-EFB19CA6F639}"/>
            </a:ext>
          </a:extLst>
        </xdr:cNvPr>
        <xdr:cNvCxnSpPr/>
      </xdr:nvCxnSpPr>
      <xdr:spPr>
        <a:xfrm flipV="1">
          <a:off x="9007353" y="85407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39</xdr:row>
      <xdr:rowOff>3097</xdr:rowOff>
    </xdr:from>
    <xdr:to>
      <xdr:col>1</xdr:col>
      <xdr:colOff>1550900</xdr:colOff>
      <xdr:row>39</xdr:row>
      <xdr:rowOff>6195</xdr:rowOff>
    </xdr:to>
    <xdr:cxnSp macro="">
      <xdr:nvCxnSpPr>
        <xdr:cNvPr id="11" name="Straight Connector 10">
          <a:extLst>
            <a:ext uri="{FF2B5EF4-FFF2-40B4-BE49-F238E27FC236}">
              <a16:creationId xmlns:a16="http://schemas.microsoft.com/office/drawing/2014/main" id="{EBAF9899-F454-4AD4-80EB-D28C9B47E2DD}"/>
            </a:ext>
          </a:extLst>
        </xdr:cNvPr>
        <xdr:cNvCxnSpPr/>
      </xdr:nvCxnSpPr>
      <xdr:spPr>
        <a:xfrm>
          <a:off x="851316" y="102329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3.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F7B3EAA3-123B-467B-80A3-B4A5DFDF405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36</xdr:row>
      <xdr:rowOff>6350</xdr:rowOff>
    </xdr:from>
    <xdr:to>
      <xdr:col>1</xdr:col>
      <xdr:colOff>1155700</xdr:colOff>
      <xdr:row>36</xdr:row>
      <xdr:rowOff>12700</xdr:rowOff>
    </xdr:to>
    <xdr:cxnSp macro="">
      <xdr:nvCxnSpPr>
        <xdr:cNvPr id="8" name="Straight Connector 7">
          <a:extLst>
            <a:ext uri="{FF2B5EF4-FFF2-40B4-BE49-F238E27FC236}">
              <a16:creationId xmlns:a16="http://schemas.microsoft.com/office/drawing/2014/main" id="{1710F895-020D-4C2E-94E7-B96F4F1DC65E}"/>
            </a:ext>
          </a:extLst>
        </xdr:cNvPr>
        <xdr:cNvCxnSpPr/>
      </xdr:nvCxnSpPr>
      <xdr:spPr>
        <a:xfrm>
          <a:off x="457200" y="744220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36</xdr:row>
      <xdr:rowOff>0</xdr:rowOff>
    </xdr:from>
    <xdr:to>
      <xdr:col>5</xdr:col>
      <xdr:colOff>755650</xdr:colOff>
      <xdr:row>36</xdr:row>
      <xdr:rowOff>0</xdr:rowOff>
    </xdr:to>
    <xdr:cxnSp macro="">
      <xdr:nvCxnSpPr>
        <xdr:cNvPr id="9" name="Straight Connector 8">
          <a:extLst>
            <a:ext uri="{FF2B5EF4-FFF2-40B4-BE49-F238E27FC236}">
              <a16:creationId xmlns:a16="http://schemas.microsoft.com/office/drawing/2014/main" id="{E9983F1F-CD30-440F-B790-6551ACD62AB2}"/>
            </a:ext>
          </a:extLst>
        </xdr:cNvPr>
        <xdr:cNvCxnSpPr/>
      </xdr:nvCxnSpPr>
      <xdr:spPr>
        <a:xfrm>
          <a:off x="4089400" y="74358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36</xdr:row>
      <xdr:rowOff>6350</xdr:rowOff>
    </xdr:from>
    <xdr:to>
      <xdr:col>11</xdr:col>
      <xdr:colOff>139700</xdr:colOff>
      <xdr:row>36</xdr:row>
      <xdr:rowOff>6350</xdr:rowOff>
    </xdr:to>
    <xdr:cxnSp macro="">
      <xdr:nvCxnSpPr>
        <xdr:cNvPr id="10" name="Straight Connector 9">
          <a:extLst>
            <a:ext uri="{FF2B5EF4-FFF2-40B4-BE49-F238E27FC236}">
              <a16:creationId xmlns:a16="http://schemas.microsoft.com/office/drawing/2014/main" id="{5DA07A5A-B351-4AD3-B70A-95FDCFB8345D}"/>
            </a:ext>
          </a:extLst>
        </xdr:cNvPr>
        <xdr:cNvCxnSpPr/>
      </xdr:nvCxnSpPr>
      <xdr:spPr>
        <a:xfrm>
          <a:off x="9347200" y="74422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36</xdr:row>
      <xdr:rowOff>0</xdr:rowOff>
    </xdr:from>
    <xdr:to>
      <xdr:col>7</xdr:col>
      <xdr:colOff>565150</xdr:colOff>
      <xdr:row>36</xdr:row>
      <xdr:rowOff>0</xdr:rowOff>
    </xdr:to>
    <xdr:cxnSp macro="">
      <xdr:nvCxnSpPr>
        <xdr:cNvPr id="11" name="Straight Connector 10">
          <a:extLst>
            <a:ext uri="{FF2B5EF4-FFF2-40B4-BE49-F238E27FC236}">
              <a16:creationId xmlns:a16="http://schemas.microsoft.com/office/drawing/2014/main" id="{7CA2C21F-DCA3-4FC9-93E8-0158EA7AD7CC}"/>
            </a:ext>
          </a:extLst>
        </xdr:cNvPr>
        <xdr:cNvCxnSpPr/>
      </xdr:nvCxnSpPr>
      <xdr:spPr>
        <a:xfrm>
          <a:off x="6035363" y="743585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104.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9D73D09E-6E1C-4D9E-A74E-FCBCCB9C50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36</xdr:row>
      <xdr:rowOff>187517</xdr:rowOff>
    </xdr:from>
    <xdr:to>
      <xdr:col>1</xdr:col>
      <xdr:colOff>1538490</xdr:colOff>
      <xdr:row>37</xdr:row>
      <xdr:rowOff>1</xdr:rowOff>
    </xdr:to>
    <xdr:cxnSp macro="">
      <xdr:nvCxnSpPr>
        <xdr:cNvPr id="8" name="Straight Connector 7">
          <a:extLst>
            <a:ext uri="{FF2B5EF4-FFF2-40B4-BE49-F238E27FC236}">
              <a16:creationId xmlns:a16="http://schemas.microsoft.com/office/drawing/2014/main" id="{8B7356A2-40B6-4BD3-AF5C-9C1A6ADF0C65}"/>
            </a:ext>
          </a:extLst>
        </xdr:cNvPr>
        <xdr:cNvCxnSpPr/>
      </xdr:nvCxnSpPr>
      <xdr:spPr>
        <a:xfrm flipV="1">
          <a:off x="822080" y="85568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37</xdr:row>
      <xdr:rowOff>6350</xdr:rowOff>
    </xdr:from>
    <xdr:to>
      <xdr:col>5</xdr:col>
      <xdr:colOff>935037</xdr:colOff>
      <xdr:row>37</xdr:row>
      <xdr:rowOff>9525</xdr:rowOff>
    </xdr:to>
    <xdr:cxnSp macro="">
      <xdr:nvCxnSpPr>
        <xdr:cNvPr id="9" name="Straight Connector 8">
          <a:extLst>
            <a:ext uri="{FF2B5EF4-FFF2-40B4-BE49-F238E27FC236}">
              <a16:creationId xmlns:a16="http://schemas.microsoft.com/office/drawing/2014/main" id="{924BFC28-0746-4F54-B232-FCAC58123CC2}"/>
            </a:ext>
          </a:extLst>
        </xdr:cNvPr>
        <xdr:cNvCxnSpPr/>
      </xdr:nvCxnSpPr>
      <xdr:spPr>
        <a:xfrm>
          <a:off x="4464050" y="85661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36</xdr:row>
      <xdr:rowOff>171450</xdr:rowOff>
    </xdr:from>
    <xdr:to>
      <xdr:col>10</xdr:col>
      <xdr:colOff>1739900</xdr:colOff>
      <xdr:row>37</xdr:row>
      <xdr:rowOff>0</xdr:rowOff>
    </xdr:to>
    <xdr:cxnSp macro="">
      <xdr:nvCxnSpPr>
        <xdr:cNvPr id="10" name="Straight Connector 9">
          <a:extLst>
            <a:ext uri="{FF2B5EF4-FFF2-40B4-BE49-F238E27FC236}">
              <a16:creationId xmlns:a16="http://schemas.microsoft.com/office/drawing/2014/main" id="{4C7012BC-D698-4F7F-9EF2-EE82F317CE31}"/>
            </a:ext>
          </a:extLst>
        </xdr:cNvPr>
        <xdr:cNvCxnSpPr/>
      </xdr:nvCxnSpPr>
      <xdr:spPr>
        <a:xfrm flipV="1">
          <a:off x="9007353" y="85407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46</xdr:row>
      <xdr:rowOff>3097</xdr:rowOff>
    </xdr:from>
    <xdr:to>
      <xdr:col>1</xdr:col>
      <xdr:colOff>1550900</xdr:colOff>
      <xdr:row>46</xdr:row>
      <xdr:rowOff>6195</xdr:rowOff>
    </xdr:to>
    <xdr:cxnSp macro="">
      <xdr:nvCxnSpPr>
        <xdr:cNvPr id="11" name="Straight Connector 10">
          <a:extLst>
            <a:ext uri="{FF2B5EF4-FFF2-40B4-BE49-F238E27FC236}">
              <a16:creationId xmlns:a16="http://schemas.microsoft.com/office/drawing/2014/main" id="{44705EEA-AEA3-4D2C-B912-FFC27E1A1911}"/>
            </a:ext>
          </a:extLst>
        </xdr:cNvPr>
        <xdr:cNvCxnSpPr/>
      </xdr:nvCxnSpPr>
      <xdr:spPr>
        <a:xfrm>
          <a:off x="851316" y="102329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5.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2ECB1361-13D6-4418-99B5-54B639C1425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31</xdr:row>
      <xdr:rowOff>6350</xdr:rowOff>
    </xdr:from>
    <xdr:to>
      <xdr:col>1</xdr:col>
      <xdr:colOff>1155700</xdr:colOff>
      <xdr:row>31</xdr:row>
      <xdr:rowOff>12700</xdr:rowOff>
    </xdr:to>
    <xdr:cxnSp macro="">
      <xdr:nvCxnSpPr>
        <xdr:cNvPr id="8" name="Straight Connector 7">
          <a:extLst>
            <a:ext uri="{FF2B5EF4-FFF2-40B4-BE49-F238E27FC236}">
              <a16:creationId xmlns:a16="http://schemas.microsoft.com/office/drawing/2014/main" id="{1097FEA6-6558-4418-8C32-60D4EA64C6B4}"/>
            </a:ext>
          </a:extLst>
        </xdr:cNvPr>
        <xdr:cNvCxnSpPr/>
      </xdr:nvCxnSpPr>
      <xdr:spPr>
        <a:xfrm>
          <a:off x="457200" y="628650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4259FCD1-4C9F-40C7-B7BE-BD310BBBF94D}"/>
            </a:ext>
          </a:extLst>
        </xdr:cNvPr>
        <xdr:cNvCxnSpPr/>
      </xdr:nvCxnSpPr>
      <xdr:spPr>
        <a:xfrm>
          <a:off x="4089400" y="62801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367A4278-2C32-45A8-B14F-C2D9FA3DCB0D}"/>
            </a:ext>
          </a:extLst>
        </xdr:cNvPr>
        <xdr:cNvCxnSpPr/>
      </xdr:nvCxnSpPr>
      <xdr:spPr>
        <a:xfrm>
          <a:off x="9347200" y="62865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31</xdr:row>
      <xdr:rowOff>0</xdr:rowOff>
    </xdr:from>
    <xdr:to>
      <xdr:col>7</xdr:col>
      <xdr:colOff>565150</xdr:colOff>
      <xdr:row>31</xdr:row>
      <xdr:rowOff>0</xdr:rowOff>
    </xdr:to>
    <xdr:cxnSp macro="">
      <xdr:nvCxnSpPr>
        <xdr:cNvPr id="11" name="Straight Connector 10">
          <a:extLst>
            <a:ext uri="{FF2B5EF4-FFF2-40B4-BE49-F238E27FC236}">
              <a16:creationId xmlns:a16="http://schemas.microsoft.com/office/drawing/2014/main" id="{E4098DB2-5B51-4B46-BDF1-0A04C77945C6}"/>
            </a:ext>
          </a:extLst>
        </xdr:cNvPr>
        <xdr:cNvCxnSpPr/>
      </xdr:nvCxnSpPr>
      <xdr:spPr>
        <a:xfrm>
          <a:off x="6035363" y="628015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106.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497E3E4D-EC07-428E-9C82-280CAFBE678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38</xdr:row>
      <xdr:rowOff>6350</xdr:rowOff>
    </xdr:from>
    <xdr:to>
      <xdr:col>1</xdr:col>
      <xdr:colOff>1155700</xdr:colOff>
      <xdr:row>38</xdr:row>
      <xdr:rowOff>12700</xdr:rowOff>
    </xdr:to>
    <xdr:cxnSp macro="">
      <xdr:nvCxnSpPr>
        <xdr:cNvPr id="8" name="Straight Connector 7">
          <a:extLst>
            <a:ext uri="{FF2B5EF4-FFF2-40B4-BE49-F238E27FC236}">
              <a16:creationId xmlns:a16="http://schemas.microsoft.com/office/drawing/2014/main" id="{289EC843-6DA9-4E78-9597-CA21FAA1EAF2}"/>
            </a:ext>
          </a:extLst>
        </xdr:cNvPr>
        <xdr:cNvCxnSpPr/>
      </xdr:nvCxnSpPr>
      <xdr:spPr>
        <a:xfrm>
          <a:off x="457200" y="725805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38</xdr:row>
      <xdr:rowOff>0</xdr:rowOff>
    </xdr:from>
    <xdr:to>
      <xdr:col>5</xdr:col>
      <xdr:colOff>755650</xdr:colOff>
      <xdr:row>38</xdr:row>
      <xdr:rowOff>0</xdr:rowOff>
    </xdr:to>
    <xdr:cxnSp macro="">
      <xdr:nvCxnSpPr>
        <xdr:cNvPr id="9" name="Straight Connector 8">
          <a:extLst>
            <a:ext uri="{FF2B5EF4-FFF2-40B4-BE49-F238E27FC236}">
              <a16:creationId xmlns:a16="http://schemas.microsoft.com/office/drawing/2014/main" id="{625326A8-E0AA-4337-BB89-0F196DFDA917}"/>
            </a:ext>
          </a:extLst>
        </xdr:cNvPr>
        <xdr:cNvCxnSpPr/>
      </xdr:nvCxnSpPr>
      <xdr:spPr>
        <a:xfrm>
          <a:off x="4089400" y="72517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38</xdr:row>
      <xdr:rowOff>6350</xdr:rowOff>
    </xdr:from>
    <xdr:to>
      <xdr:col>11</xdr:col>
      <xdr:colOff>139700</xdr:colOff>
      <xdr:row>38</xdr:row>
      <xdr:rowOff>6350</xdr:rowOff>
    </xdr:to>
    <xdr:cxnSp macro="">
      <xdr:nvCxnSpPr>
        <xdr:cNvPr id="10" name="Straight Connector 9">
          <a:extLst>
            <a:ext uri="{FF2B5EF4-FFF2-40B4-BE49-F238E27FC236}">
              <a16:creationId xmlns:a16="http://schemas.microsoft.com/office/drawing/2014/main" id="{165B06E6-EDA5-4649-9A1A-7F47E068979E}"/>
            </a:ext>
          </a:extLst>
        </xdr:cNvPr>
        <xdr:cNvCxnSpPr/>
      </xdr:nvCxnSpPr>
      <xdr:spPr>
        <a:xfrm>
          <a:off x="9347200" y="72580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38</xdr:row>
      <xdr:rowOff>0</xdr:rowOff>
    </xdr:from>
    <xdr:to>
      <xdr:col>7</xdr:col>
      <xdr:colOff>565150</xdr:colOff>
      <xdr:row>38</xdr:row>
      <xdr:rowOff>0</xdr:rowOff>
    </xdr:to>
    <xdr:cxnSp macro="">
      <xdr:nvCxnSpPr>
        <xdr:cNvPr id="11" name="Straight Connector 10">
          <a:extLst>
            <a:ext uri="{FF2B5EF4-FFF2-40B4-BE49-F238E27FC236}">
              <a16:creationId xmlns:a16="http://schemas.microsoft.com/office/drawing/2014/main" id="{842B011E-E0DF-4685-9B17-C0CACAC190A6}"/>
            </a:ext>
          </a:extLst>
        </xdr:cNvPr>
        <xdr:cNvCxnSpPr/>
      </xdr:nvCxnSpPr>
      <xdr:spPr>
        <a:xfrm>
          <a:off x="6035363" y="725170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107.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3329F0E0-F1D4-41C7-8E02-31A0FE0E093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31</xdr:row>
      <xdr:rowOff>187517</xdr:rowOff>
    </xdr:from>
    <xdr:to>
      <xdr:col>1</xdr:col>
      <xdr:colOff>1538490</xdr:colOff>
      <xdr:row>32</xdr:row>
      <xdr:rowOff>1</xdr:rowOff>
    </xdr:to>
    <xdr:cxnSp macro="">
      <xdr:nvCxnSpPr>
        <xdr:cNvPr id="8" name="Straight Connector 7">
          <a:extLst>
            <a:ext uri="{FF2B5EF4-FFF2-40B4-BE49-F238E27FC236}">
              <a16:creationId xmlns:a16="http://schemas.microsoft.com/office/drawing/2014/main" id="{86CB9782-ABD9-4B64-99B9-395D75075376}"/>
            </a:ext>
          </a:extLst>
        </xdr:cNvPr>
        <xdr:cNvCxnSpPr/>
      </xdr:nvCxnSpPr>
      <xdr:spPr>
        <a:xfrm flipV="1">
          <a:off x="822080" y="76170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32</xdr:row>
      <xdr:rowOff>6350</xdr:rowOff>
    </xdr:from>
    <xdr:to>
      <xdr:col>5</xdr:col>
      <xdr:colOff>935037</xdr:colOff>
      <xdr:row>32</xdr:row>
      <xdr:rowOff>9525</xdr:rowOff>
    </xdr:to>
    <xdr:cxnSp macro="">
      <xdr:nvCxnSpPr>
        <xdr:cNvPr id="9" name="Straight Connector 8">
          <a:extLst>
            <a:ext uri="{FF2B5EF4-FFF2-40B4-BE49-F238E27FC236}">
              <a16:creationId xmlns:a16="http://schemas.microsoft.com/office/drawing/2014/main" id="{C78E4F2A-A3A8-4978-BCED-E741877B6A91}"/>
            </a:ext>
          </a:extLst>
        </xdr:cNvPr>
        <xdr:cNvCxnSpPr/>
      </xdr:nvCxnSpPr>
      <xdr:spPr>
        <a:xfrm>
          <a:off x="4464050" y="76263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4BFFA105-86AC-4001-97A1-CDCAE18CC1BB}"/>
            </a:ext>
          </a:extLst>
        </xdr:cNvPr>
        <xdr:cNvCxnSpPr/>
      </xdr:nvCxnSpPr>
      <xdr:spPr>
        <a:xfrm flipV="1">
          <a:off x="9007353" y="7600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F3E61153-CF47-401D-9EB0-DF7DFB325ECB}"/>
            </a:ext>
          </a:extLst>
        </xdr:cNvPr>
        <xdr:cNvCxnSpPr/>
      </xdr:nvCxnSpPr>
      <xdr:spPr>
        <a:xfrm>
          <a:off x="851316" y="9293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8.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139F5C93-941C-4B32-97CB-922B3AFB6A0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31</xdr:row>
      <xdr:rowOff>187517</xdr:rowOff>
    </xdr:from>
    <xdr:to>
      <xdr:col>1</xdr:col>
      <xdr:colOff>1538490</xdr:colOff>
      <xdr:row>32</xdr:row>
      <xdr:rowOff>1</xdr:rowOff>
    </xdr:to>
    <xdr:cxnSp macro="">
      <xdr:nvCxnSpPr>
        <xdr:cNvPr id="8" name="Straight Connector 7">
          <a:extLst>
            <a:ext uri="{FF2B5EF4-FFF2-40B4-BE49-F238E27FC236}">
              <a16:creationId xmlns:a16="http://schemas.microsoft.com/office/drawing/2014/main" id="{A049197E-ECCF-48A4-B6F2-7144A5ECC342}"/>
            </a:ext>
          </a:extLst>
        </xdr:cNvPr>
        <xdr:cNvCxnSpPr/>
      </xdr:nvCxnSpPr>
      <xdr:spPr>
        <a:xfrm flipV="1">
          <a:off x="822080" y="76170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32</xdr:row>
      <xdr:rowOff>6350</xdr:rowOff>
    </xdr:from>
    <xdr:to>
      <xdr:col>5</xdr:col>
      <xdr:colOff>935037</xdr:colOff>
      <xdr:row>32</xdr:row>
      <xdr:rowOff>9525</xdr:rowOff>
    </xdr:to>
    <xdr:cxnSp macro="">
      <xdr:nvCxnSpPr>
        <xdr:cNvPr id="9" name="Straight Connector 8">
          <a:extLst>
            <a:ext uri="{FF2B5EF4-FFF2-40B4-BE49-F238E27FC236}">
              <a16:creationId xmlns:a16="http://schemas.microsoft.com/office/drawing/2014/main" id="{B6C1AC5A-FFA7-49A6-9EB5-6A315AEA6F31}"/>
            </a:ext>
          </a:extLst>
        </xdr:cNvPr>
        <xdr:cNvCxnSpPr/>
      </xdr:nvCxnSpPr>
      <xdr:spPr>
        <a:xfrm>
          <a:off x="4464050" y="76263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31</xdr:row>
      <xdr:rowOff>171450</xdr:rowOff>
    </xdr:from>
    <xdr:to>
      <xdr:col>10</xdr:col>
      <xdr:colOff>1739900</xdr:colOff>
      <xdr:row>32</xdr:row>
      <xdr:rowOff>0</xdr:rowOff>
    </xdr:to>
    <xdr:cxnSp macro="">
      <xdr:nvCxnSpPr>
        <xdr:cNvPr id="10" name="Straight Connector 9">
          <a:extLst>
            <a:ext uri="{FF2B5EF4-FFF2-40B4-BE49-F238E27FC236}">
              <a16:creationId xmlns:a16="http://schemas.microsoft.com/office/drawing/2014/main" id="{305D003D-7CEA-4AB0-B9AF-2A5DE568895B}"/>
            </a:ext>
          </a:extLst>
        </xdr:cNvPr>
        <xdr:cNvCxnSpPr/>
      </xdr:nvCxnSpPr>
      <xdr:spPr>
        <a:xfrm flipV="1">
          <a:off x="9007353" y="7600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41</xdr:row>
      <xdr:rowOff>3097</xdr:rowOff>
    </xdr:from>
    <xdr:to>
      <xdr:col>1</xdr:col>
      <xdr:colOff>1550900</xdr:colOff>
      <xdr:row>41</xdr:row>
      <xdr:rowOff>6195</xdr:rowOff>
    </xdr:to>
    <xdr:cxnSp macro="">
      <xdr:nvCxnSpPr>
        <xdr:cNvPr id="11" name="Straight Connector 10">
          <a:extLst>
            <a:ext uri="{FF2B5EF4-FFF2-40B4-BE49-F238E27FC236}">
              <a16:creationId xmlns:a16="http://schemas.microsoft.com/office/drawing/2014/main" id="{F6CE9157-E5EA-4295-B7A1-BDAC6B7EB862}"/>
            </a:ext>
          </a:extLst>
        </xdr:cNvPr>
        <xdr:cNvCxnSpPr/>
      </xdr:nvCxnSpPr>
      <xdr:spPr>
        <a:xfrm>
          <a:off x="851316" y="9293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9.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96272769-66C0-400B-BC3D-8FCA58722C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32</xdr:row>
      <xdr:rowOff>187517</xdr:rowOff>
    </xdr:from>
    <xdr:to>
      <xdr:col>1</xdr:col>
      <xdr:colOff>1538490</xdr:colOff>
      <xdr:row>33</xdr:row>
      <xdr:rowOff>1</xdr:rowOff>
    </xdr:to>
    <xdr:cxnSp macro="">
      <xdr:nvCxnSpPr>
        <xdr:cNvPr id="8" name="Straight Connector 7">
          <a:extLst>
            <a:ext uri="{FF2B5EF4-FFF2-40B4-BE49-F238E27FC236}">
              <a16:creationId xmlns:a16="http://schemas.microsoft.com/office/drawing/2014/main" id="{6A843632-01EF-4B89-AEE3-4075E4C8986B}"/>
            </a:ext>
          </a:extLst>
        </xdr:cNvPr>
        <xdr:cNvCxnSpPr/>
      </xdr:nvCxnSpPr>
      <xdr:spPr>
        <a:xfrm flipV="1">
          <a:off x="822080" y="76170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33</xdr:row>
      <xdr:rowOff>6350</xdr:rowOff>
    </xdr:from>
    <xdr:to>
      <xdr:col>5</xdr:col>
      <xdr:colOff>935037</xdr:colOff>
      <xdr:row>33</xdr:row>
      <xdr:rowOff>9525</xdr:rowOff>
    </xdr:to>
    <xdr:cxnSp macro="">
      <xdr:nvCxnSpPr>
        <xdr:cNvPr id="9" name="Straight Connector 8">
          <a:extLst>
            <a:ext uri="{FF2B5EF4-FFF2-40B4-BE49-F238E27FC236}">
              <a16:creationId xmlns:a16="http://schemas.microsoft.com/office/drawing/2014/main" id="{1B884885-4AB6-4B9A-8D31-31C56190250D}"/>
            </a:ext>
          </a:extLst>
        </xdr:cNvPr>
        <xdr:cNvCxnSpPr/>
      </xdr:nvCxnSpPr>
      <xdr:spPr>
        <a:xfrm>
          <a:off x="4464050" y="76263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32</xdr:row>
      <xdr:rowOff>171450</xdr:rowOff>
    </xdr:from>
    <xdr:to>
      <xdr:col>10</xdr:col>
      <xdr:colOff>1739900</xdr:colOff>
      <xdr:row>33</xdr:row>
      <xdr:rowOff>0</xdr:rowOff>
    </xdr:to>
    <xdr:cxnSp macro="">
      <xdr:nvCxnSpPr>
        <xdr:cNvPr id="10" name="Straight Connector 9">
          <a:extLst>
            <a:ext uri="{FF2B5EF4-FFF2-40B4-BE49-F238E27FC236}">
              <a16:creationId xmlns:a16="http://schemas.microsoft.com/office/drawing/2014/main" id="{58E15901-B4D2-4F86-8848-C71E0C24F4BD}"/>
            </a:ext>
          </a:extLst>
        </xdr:cNvPr>
        <xdr:cNvCxnSpPr/>
      </xdr:nvCxnSpPr>
      <xdr:spPr>
        <a:xfrm flipV="1">
          <a:off x="9007353" y="7600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42</xdr:row>
      <xdr:rowOff>3097</xdr:rowOff>
    </xdr:from>
    <xdr:to>
      <xdr:col>1</xdr:col>
      <xdr:colOff>1550900</xdr:colOff>
      <xdr:row>42</xdr:row>
      <xdr:rowOff>6195</xdr:rowOff>
    </xdr:to>
    <xdr:cxnSp macro="">
      <xdr:nvCxnSpPr>
        <xdr:cNvPr id="11" name="Straight Connector 10">
          <a:extLst>
            <a:ext uri="{FF2B5EF4-FFF2-40B4-BE49-F238E27FC236}">
              <a16:creationId xmlns:a16="http://schemas.microsoft.com/office/drawing/2014/main" id="{11E19E34-BECD-4C4A-B647-95D232EE4C81}"/>
            </a:ext>
          </a:extLst>
        </xdr:cNvPr>
        <xdr:cNvCxnSpPr/>
      </xdr:nvCxnSpPr>
      <xdr:spPr>
        <a:xfrm>
          <a:off x="851316" y="9293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0.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F004D0F6-7471-4B21-96D6-E363164698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43</xdr:row>
      <xdr:rowOff>187517</xdr:rowOff>
    </xdr:from>
    <xdr:to>
      <xdr:col>1</xdr:col>
      <xdr:colOff>1538490</xdr:colOff>
      <xdr:row>44</xdr:row>
      <xdr:rowOff>1</xdr:rowOff>
    </xdr:to>
    <xdr:cxnSp macro="">
      <xdr:nvCxnSpPr>
        <xdr:cNvPr id="8" name="Straight Connector 7">
          <a:extLst>
            <a:ext uri="{FF2B5EF4-FFF2-40B4-BE49-F238E27FC236}">
              <a16:creationId xmlns:a16="http://schemas.microsoft.com/office/drawing/2014/main" id="{E7E5D626-9DC8-41AD-B08F-E08453529DED}"/>
            </a:ext>
          </a:extLst>
        </xdr:cNvPr>
        <xdr:cNvCxnSpPr/>
      </xdr:nvCxnSpPr>
      <xdr:spPr>
        <a:xfrm flipV="1">
          <a:off x="822080" y="761701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44</xdr:row>
      <xdr:rowOff>6350</xdr:rowOff>
    </xdr:from>
    <xdr:to>
      <xdr:col>5</xdr:col>
      <xdr:colOff>935037</xdr:colOff>
      <xdr:row>44</xdr:row>
      <xdr:rowOff>9525</xdr:rowOff>
    </xdr:to>
    <xdr:cxnSp macro="">
      <xdr:nvCxnSpPr>
        <xdr:cNvPr id="9" name="Straight Connector 8">
          <a:extLst>
            <a:ext uri="{FF2B5EF4-FFF2-40B4-BE49-F238E27FC236}">
              <a16:creationId xmlns:a16="http://schemas.microsoft.com/office/drawing/2014/main" id="{81DB9037-07D8-4DEE-AF51-3FAC7D0186D3}"/>
            </a:ext>
          </a:extLst>
        </xdr:cNvPr>
        <xdr:cNvCxnSpPr/>
      </xdr:nvCxnSpPr>
      <xdr:spPr>
        <a:xfrm>
          <a:off x="4464050" y="762635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43</xdr:row>
      <xdr:rowOff>171450</xdr:rowOff>
    </xdr:from>
    <xdr:to>
      <xdr:col>10</xdr:col>
      <xdr:colOff>1739900</xdr:colOff>
      <xdr:row>44</xdr:row>
      <xdr:rowOff>0</xdr:rowOff>
    </xdr:to>
    <xdr:cxnSp macro="">
      <xdr:nvCxnSpPr>
        <xdr:cNvPr id="10" name="Straight Connector 9">
          <a:extLst>
            <a:ext uri="{FF2B5EF4-FFF2-40B4-BE49-F238E27FC236}">
              <a16:creationId xmlns:a16="http://schemas.microsoft.com/office/drawing/2014/main" id="{4E8062AA-B925-47F2-884B-7D1165EDCB50}"/>
            </a:ext>
          </a:extLst>
        </xdr:cNvPr>
        <xdr:cNvCxnSpPr/>
      </xdr:nvCxnSpPr>
      <xdr:spPr>
        <a:xfrm flipV="1">
          <a:off x="9007353" y="760095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53</xdr:row>
      <xdr:rowOff>3097</xdr:rowOff>
    </xdr:from>
    <xdr:to>
      <xdr:col>1</xdr:col>
      <xdr:colOff>1550900</xdr:colOff>
      <xdr:row>53</xdr:row>
      <xdr:rowOff>6195</xdr:rowOff>
    </xdr:to>
    <xdr:cxnSp macro="">
      <xdr:nvCxnSpPr>
        <xdr:cNvPr id="11" name="Straight Connector 10">
          <a:extLst>
            <a:ext uri="{FF2B5EF4-FFF2-40B4-BE49-F238E27FC236}">
              <a16:creationId xmlns:a16="http://schemas.microsoft.com/office/drawing/2014/main" id="{7F0B3CC1-1B5A-4647-8E4C-EDDE1D6418EB}"/>
            </a:ext>
          </a:extLst>
        </xdr:cNvPr>
        <xdr:cNvCxnSpPr/>
      </xdr:nvCxnSpPr>
      <xdr:spPr>
        <a:xfrm>
          <a:off x="851316" y="92931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1.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F1210BD1-3DE2-47D8-AB0C-F855F3F656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31</xdr:row>
      <xdr:rowOff>6350</xdr:rowOff>
    </xdr:from>
    <xdr:to>
      <xdr:col>1</xdr:col>
      <xdr:colOff>1155700</xdr:colOff>
      <xdr:row>31</xdr:row>
      <xdr:rowOff>12700</xdr:rowOff>
    </xdr:to>
    <xdr:cxnSp macro="">
      <xdr:nvCxnSpPr>
        <xdr:cNvPr id="8" name="Straight Connector 7">
          <a:extLst>
            <a:ext uri="{FF2B5EF4-FFF2-40B4-BE49-F238E27FC236}">
              <a16:creationId xmlns:a16="http://schemas.microsoft.com/office/drawing/2014/main" id="{BB2CF80C-F3EA-4BEA-A213-2A573112F1E9}"/>
            </a:ext>
          </a:extLst>
        </xdr:cNvPr>
        <xdr:cNvCxnSpPr/>
      </xdr:nvCxnSpPr>
      <xdr:spPr>
        <a:xfrm>
          <a:off x="457200" y="649605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31</xdr:row>
      <xdr:rowOff>0</xdr:rowOff>
    </xdr:from>
    <xdr:to>
      <xdr:col>5</xdr:col>
      <xdr:colOff>755650</xdr:colOff>
      <xdr:row>31</xdr:row>
      <xdr:rowOff>0</xdr:rowOff>
    </xdr:to>
    <xdr:cxnSp macro="">
      <xdr:nvCxnSpPr>
        <xdr:cNvPr id="9" name="Straight Connector 8">
          <a:extLst>
            <a:ext uri="{FF2B5EF4-FFF2-40B4-BE49-F238E27FC236}">
              <a16:creationId xmlns:a16="http://schemas.microsoft.com/office/drawing/2014/main" id="{2FB102F8-6A42-4110-8F65-036CBF7FA96E}"/>
            </a:ext>
          </a:extLst>
        </xdr:cNvPr>
        <xdr:cNvCxnSpPr/>
      </xdr:nvCxnSpPr>
      <xdr:spPr>
        <a:xfrm>
          <a:off x="4089400" y="648970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31</xdr:row>
      <xdr:rowOff>6350</xdr:rowOff>
    </xdr:from>
    <xdr:to>
      <xdr:col>11</xdr:col>
      <xdr:colOff>139700</xdr:colOff>
      <xdr:row>31</xdr:row>
      <xdr:rowOff>6350</xdr:rowOff>
    </xdr:to>
    <xdr:cxnSp macro="">
      <xdr:nvCxnSpPr>
        <xdr:cNvPr id="10" name="Straight Connector 9">
          <a:extLst>
            <a:ext uri="{FF2B5EF4-FFF2-40B4-BE49-F238E27FC236}">
              <a16:creationId xmlns:a16="http://schemas.microsoft.com/office/drawing/2014/main" id="{2A4A1EF3-3504-4B24-9348-5DE530D0BD82}"/>
            </a:ext>
          </a:extLst>
        </xdr:cNvPr>
        <xdr:cNvCxnSpPr/>
      </xdr:nvCxnSpPr>
      <xdr:spPr>
        <a:xfrm>
          <a:off x="9347200" y="649605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31</xdr:row>
      <xdr:rowOff>0</xdr:rowOff>
    </xdr:from>
    <xdr:to>
      <xdr:col>7</xdr:col>
      <xdr:colOff>565150</xdr:colOff>
      <xdr:row>31</xdr:row>
      <xdr:rowOff>0</xdr:rowOff>
    </xdr:to>
    <xdr:cxnSp macro="">
      <xdr:nvCxnSpPr>
        <xdr:cNvPr id="11" name="Straight Connector 10">
          <a:extLst>
            <a:ext uri="{FF2B5EF4-FFF2-40B4-BE49-F238E27FC236}">
              <a16:creationId xmlns:a16="http://schemas.microsoft.com/office/drawing/2014/main" id="{7F71D706-1C0D-4683-9CD2-405D6A66FBC1}"/>
            </a:ext>
          </a:extLst>
        </xdr:cNvPr>
        <xdr:cNvCxnSpPr/>
      </xdr:nvCxnSpPr>
      <xdr:spPr>
        <a:xfrm>
          <a:off x="6035363" y="648970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drawings/drawing112.xml><?xml version="1.0" encoding="utf-8"?>
<xdr:wsDr xmlns:xdr="http://schemas.openxmlformats.org/drawingml/2006/spreadsheetDrawing" xmlns:a="http://schemas.openxmlformats.org/drawingml/2006/main">
  <xdr:oneCellAnchor>
    <xdr:from>
      <xdr:col>0</xdr:col>
      <xdr:colOff>19051</xdr:colOff>
      <xdr:row>0</xdr:row>
      <xdr:rowOff>47625</xdr:rowOff>
    </xdr:from>
    <xdr:ext cx="1174749" cy="403225"/>
    <xdr:pic>
      <xdr:nvPicPr>
        <xdr:cNvPr id="7" name="Picture 6" descr="image001">
          <a:extLst>
            <a:ext uri="{FF2B5EF4-FFF2-40B4-BE49-F238E27FC236}">
              <a16:creationId xmlns:a16="http://schemas.microsoft.com/office/drawing/2014/main" id="{A2F32B52-3F1D-4962-B946-3E855D02102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174749" cy="403225"/>
        </a:xfrm>
        <a:prstGeom prst="rect">
          <a:avLst/>
        </a:prstGeom>
        <a:noFill/>
        <a:ln>
          <a:noFill/>
        </a:ln>
      </xdr:spPr>
    </xdr:pic>
    <xdr:clientData/>
  </xdr:oneCellAnchor>
  <xdr:twoCellAnchor>
    <xdr:from>
      <xdr:col>1</xdr:col>
      <xdr:colOff>422030</xdr:colOff>
      <xdr:row>32</xdr:row>
      <xdr:rowOff>187517</xdr:rowOff>
    </xdr:from>
    <xdr:to>
      <xdr:col>1</xdr:col>
      <xdr:colOff>1538490</xdr:colOff>
      <xdr:row>33</xdr:row>
      <xdr:rowOff>1</xdr:rowOff>
    </xdr:to>
    <xdr:cxnSp macro="">
      <xdr:nvCxnSpPr>
        <xdr:cNvPr id="8" name="Straight Connector 7">
          <a:extLst>
            <a:ext uri="{FF2B5EF4-FFF2-40B4-BE49-F238E27FC236}">
              <a16:creationId xmlns:a16="http://schemas.microsoft.com/office/drawing/2014/main" id="{D4C9785D-3048-4EE2-8C29-EB4FFA3F49D9}"/>
            </a:ext>
          </a:extLst>
        </xdr:cNvPr>
        <xdr:cNvCxnSpPr/>
      </xdr:nvCxnSpPr>
      <xdr:spPr>
        <a:xfrm flipV="1">
          <a:off x="822080" y="6835967"/>
          <a:ext cx="1116460" cy="298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133350</xdr:colOff>
      <xdr:row>33</xdr:row>
      <xdr:rowOff>6350</xdr:rowOff>
    </xdr:from>
    <xdr:to>
      <xdr:col>5</xdr:col>
      <xdr:colOff>935037</xdr:colOff>
      <xdr:row>33</xdr:row>
      <xdr:rowOff>9525</xdr:rowOff>
    </xdr:to>
    <xdr:cxnSp macro="">
      <xdr:nvCxnSpPr>
        <xdr:cNvPr id="9" name="Straight Connector 8">
          <a:extLst>
            <a:ext uri="{FF2B5EF4-FFF2-40B4-BE49-F238E27FC236}">
              <a16:creationId xmlns:a16="http://schemas.microsoft.com/office/drawing/2014/main" id="{B1DE54EC-5D8F-4562-AE41-512E636135C5}"/>
            </a:ext>
          </a:extLst>
        </xdr:cNvPr>
        <xdr:cNvCxnSpPr/>
      </xdr:nvCxnSpPr>
      <xdr:spPr>
        <a:xfrm>
          <a:off x="4464050" y="6845300"/>
          <a:ext cx="1157287" cy="31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41153</xdr:colOff>
      <xdr:row>32</xdr:row>
      <xdr:rowOff>171450</xdr:rowOff>
    </xdr:from>
    <xdr:to>
      <xdr:col>10</xdr:col>
      <xdr:colOff>1739900</xdr:colOff>
      <xdr:row>33</xdr:row>
      <xdr:rowOff>0</xdr:rowOff>
    </xdr:to>
    <xdr:cxnSp macro="">
      <xdr:nvCxnSpPr>
        <xdr:cNvPr id="10" name="Straight Connector 9">
          <a:extLst>
            <a:ext uri="{FF2B5EF4-FFF2-40B4-BE49-F238E27FC236}">
              <a16:creationId xmlns:a16="http://schemas.microsoft.com/office/drawing/2014/main" id="{B90825DB-4C5E-4FAA-8411-07B5E8A7C086}"/>
            </a:ext>
          </a:extLst>
        </xdr:cNvPr>
        <xdr:cNvCxnSpPr/>
      </xdr:nvCxnSpPr>
      <xdr:spPr>
        <a:xfrm flipV="1">
          <a:off x="9007353" y="6819900"/>
          <a:ext cx="1698747"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451266</xdr:colOff>
      <xdr:row>42</xdr:row>
      <xdr:rowOff>3097</xdr:rowOff>
    </xdr:from>
    <xdr:to>
      <xdr:col>1</xdr:col>
      <xdr:colOff>1550900</xdr:colOff>
      <xdr:row>42</xdr:row>
      <xdr:rowOff>6195</xdr:rowOff>
    </xdr:to>
    <xdr:cxnSp macro="">
      <xdr:nvCxnSpPr>
        <xdr:cNvPr id="11" name="Straight Connector 10">
          <a:extLst>
            <a:ext uri="{FF2B5EF4-FFF2-40B4-BE49-F238E27FC236}">
              <a16:creationId xmlns:a16="http://schemas.microsoft.com/office/drawing/2014/main" id="{C0B1D7C5-FB04-4848-9F2E-4CCD109E053A}"/>
            </a:ext>
          </a:extLst>
        </xdr:cNvPr>
        <xdr:cNvCxnSpPr/>
      </xdr:nvCxnSpPr>
      <xdr:spPr>
        <a:xfrm>
          <a:off x="851316" y="8505747"/>
          <a:ext cx="1099634" cy="3098"/>
        </a:xfrm>
        <a:prstGeom prst="line">
          <a:avLst/>
        </a:prstGeom>
        <a:ln>
          <a:solidFill>
            <a:schemeClr val="tx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3.xml><?xml version="1.0" encoding="utf-8"?>
<xdr:wsDr xmlns:xdr="http://schemas.openxmlformats.org/drawingml/2006/spreadsheetDrawing" xmlns:a="http://schemas.openxmlformats.org/drawingml/2006/main">
  <xdr:oneCellAnchor>
    <xdr:from>
      <xdr:col>0</xdr:col>
      <xdr:colOff>19051</xdr:colOff>
      <xdr:row>0</xdr:row>
      <xdr:rowOff>47625</xdr:rowOff>
    </xdr:from>
    <xdr:ext cx="1231899" cy="409575"/>
    <xdr:pic>
      <xdr:nvPicPr>
        <xdr:cNvPr id="7" name="Picture 6" descr="image001">
          <a:extLst>
            <a:ext uri="{FF2B5EF4-FFF2-40B4-BE49-F238E27FC236}">
              <a16:creationId xmlns:a16="http://schemas.microsoft.com/office/drawing/2014/main" id="{95988B32-37BA-4185-82B6-21C713CE02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47625"/>
          <a:ext cx="1231899" cy="409575"/>
        </a:xfrm>
        <a:prstGeom prst="rect">
          <a:avLst/>
        </a:prstGeom>
        <a:noFill/>
        <a:ln>
          <a:noFill/>
        </a:ln>
      </xdr:spPr>
    </xdr:pic>
    <xdr:clientData/>
  </xdr:oneCellAnchor>
  <xdr:twoCellAnchor>
    <xdr:from>
      <xdr:col>1</xdr:col>
      <xdr:colOff>50800</xdr:colOff>
      <xdr:row>27</xdr:row>
      <xdr:rowOff>6350</xdr:rowOff>
    </xdr:from>
    <xdr:to>
      <xdr:col>1</xdr:col>
      <xdr:colOff>1155700</xdr:colOff>
      <xdr:row>27</xdr:row>
      <xdr:rowOff>12700</xdr:rowOff>
    </xdr:to>
    <xdr:cxnSp macro="">
      <xdr:nvCxnSpPr>
        <xdr:cNvPr id="8" name="Straight Connector 7">
          <a:extLst>
            <a:ext uri="{FF2B5EF4-FFF2-40B4-BE49-F238E27FC236}">
              <a16:creationId xmlns:a16="http://schemas.microsoft.com/office/drawing/2014/main" id="{FF56275A-A93F-4099-A0D2-45E7E18612CB}"/>
            </a:ext>
          </a:extLst>
        </xdr:cNvPr>
        <xdr:cNvCxnSpPr/>
      </xdr:nvCxnSpPr>
      <xdr:spPr>
        <a:xfrm>
          <a:off x="457200" y="6375400"/>
          <a:ext cx="110490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292100</xdr:colOff>
      <xdr:row>27</xdr:row>
      <xdr:rowOff>0</xdr:rowOff>
    </xdr:from>
    <xdr:to>
      <xdr:col>5</xdr:col>
      <xdr:colOff>755650</xdr:colOff>
      <xdr:row>27</xdr:row>
      <xdr:rowOff>0</xdr:rowOff>
    </xdr:to>
    <xdr:cxnSp macro="">
      <xdr:nvCxnSpPr>
        <xdr:cNvPr id="9" name="Straight Connector 8">
          <a:extLst>
            <a:ext uri="{FF2B5EF4-FFF2-40B4-BE49-F238E27FC236}">
              <a16:creationId xmlns:a16="http://schemas.microsoft.com/office/drawing/2014/main" id="{0E4E477C-3C38-4C02-80AA-A526D493EBA1}"/>
            </a:ext>
          </a:extLst>
        </xdr:cNvPr>
        <xdr:cNvCxnSpPr/>
      </xdr:nvCxnSpPr>
      <xdr:spPr>
        <a:xfrm>
          <a:off x="4089400" y="6369050"/>
          <a:ext cx="1130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717550</xdr:colOff>
      <xdr:row>27</xdr:row>
      <xdr:rowOff>6350</xdr:rowOff>
    </xdr:from>
    <xdr:to>
      <xdr:col>11</xdr:col>
      <xdr:colOff>139700</xdr:colOff>
      <xdr:row>27</xdr:row>
      <xdr:rowOff>6350</xdr:rowOff>
    </xdr:to>
    <xdr:cxnSp macro="">
      <xdr:nvCxnSpPr>
        <xdr:cNvPr id="10" name="Straight Connector 9">
          <a:extLst>
            <a:ext uri="{FF2B5EF4-FFF2-40B4-BE49-F238E27FC236}">
              <a16:creationId xmlns:a16="http://schemas.microsoft.com/office/drawing/2014/main" id="{458E1164-8FCC-448B-94EA-4C730ACE023A}"/>
            </a:ext>
          </a:extLst>
        </xdr:cNvPr>
        <xdr:cNvCxnSpPr/>
      </xdr:nvCxnSpPr>
      <xdr:spPr>
        <a:xfrm>
          <a:off x="9347200" y="6375400"/>
          <a:ext cx="13208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491813</xdr:colOff>
      <xdr:row>27</xdr:row>
      <xdr:rowOff>0</xdr:rowOff>
    </xdr:from>
    <xdr:to>
      <xdr:col>7</xdr:col>
      <xdr:colOff>565150</xdr:colOff>
      <xdr:row>27</xdr:row>
      <xdr:rowOff>0</xdr:rowOff>
    </xdr:to>
    <xdr:cxnSp macro="">
      <xdr:nvCxnSpPr>
        <xdr:cNvPr id="11" name="Straight Connector 10">
          <a:extLst>
            <a:ext uri="{FF2B5EF4-FFF2-40B4-BE49-F238E27FC236}">
              <a16:creationId xmlns:a16="http://schemas.microsoft.com/office/drawing/2014/main" id="{ADE801BF-D2BA-498D-A0EA-FC9CAFFD6ED1}"/>
            </a:ext>
          </a:extLst>
        </xdr:cNvPr>
        <xdr:cNvCxnSpPr/>
      </xdr:nvCxnSpPr>
      <xdr:spPr>
        <a:xfrm>
          <a:off x="6035363" y="6369050"/>
          <a:ext cx="1362387" cy="0"/>
        </a:xfrm>
        <a:prstGeom prst="line">
          <a:avLst/>
        </a:prstGeom>
        <a:ln>
          <a:solidFill>
            <a:schemeClr val="tx1"/>
          </a:solidFill>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4721-86CB-4D29-B1B5-5ECB25E57911}">
  <sheetPr codeName="Sheet1">
    <tabColor theme="0"/>
    <pageSetUpPr fitToPage="1"/>
  </sheetPr>
  <dimension ref="A1:M279"/>
  <sheetViews>
    <sheetView topLeftCell="A13" zoomScale="90" zoomScaleNormal="90" workbookViewId="0">
      <selection activeCell="D40" sqref="D39:D40"/>
    </sheetView>
  </sheetViews>
  <sheetFormatPr defaultRowHeight="14.5" x14ac:dyDescent="0.35"/>
  <cols>
    <col min="1" max="1" width="9.26953125" customWidth="1"/>
    <col min="2" max="2" width="17.26953125" customWidth="1"/>
    <col min="3" max="3" width="13.26953125" customWidth="1"/>
    <col min="4" max="4" width="9.1796875" customWidth="1"/>
    <col min="5" max="5" width="9.54296875" customWidth="1"/>
    <col min="6" max="6" width="15.453125" customWidth="1"/>
    <col min="7" max="7" width="18.453125" customWidth="1"/>
    <col min="8" max="8" width="13.7265625" customWidth="1"/>
    <col min="9" max="9" width="18.7265625" bestFit="1" customWidth="1"/>
    <col min="10" max="10" width="13.54296875" customWidth="1"/>
    <col min="11" max="11" width="14" customWidth="1"/>
    <col min="12" max="12" width="11.1796875" customWidth="1"/>
    <col min="13" max="13" width="28.54296875" customWidth="1"/>
  </cols>
  <sheetData>
    <row r="1" spans="1:13" ht="48.7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107</v>
      </c>
      <c r="D3" s="403"/>
      <c r="E3" s="403"/>
      <c r="F3" s="403"/>
      <c r="G3" s="403"/>
      <c r="H3" s="403"/>
      <c r="I3" s="403"/>
      <c r="J3" s="403"/>
      <c r="K3" s="403"/>
      <c r="L3" s="403"/>
      <c r="M3" s="385"/>
    </row>
    <row r="4" spans="1:13" x14ac:dyDescent="0.35">
      <c r="A4" s="384" t="s">
        <v>4</v>
      </c>
      <c r="B4" s="385"/>
      <c r="C4" s="393" t="s">
        <v>106</v>
      </c>
      <c r="D4" s="394"/>
      <c r="E4" s="394"/>
      <c r="F4" s="394"/>
      <c r="G4" s="394"/>
      <c r="H4" s="394"/>
      <c r="I4" s="394"/>
      <c r="J4" s="394"/>
      <c r="K4" s="394"/>
      <c r="L4" s="394"/>
      <c r="M4" s="395"/>
    </row>
    <row r="5" spans="1:13" x14ac:dyDescent="0.35">
      <c r="A5" s="384" t="s">
        <v>5</v>
      </c>
      <c r="B5" s="385"/>
      <c r="C5" s="387">
        <v>45281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H25</f>
        <v>148000</v>
      </c>
      <c r="D8" s="397"/>
      <c r="E8" s="397"/>
      <c r="F8" s="397"/>
      <c r="G8" s="397"/>
      <c r="H8" s="397"/>
      <c r="I8" s="397"/>
      <c r="J8" s="397"/>
      <c r="K8" s="397"/>
      <c r="L8" s="397"/>
      <c r="M8" s="398"/>
    </row>
    <row r="9" spans="1:13" ht="3.75" customHeight="1"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6.25" customHeight="1" x14ac:dyDescent="0.35">
      <c r="A11" s="1" t="s">
        <v>10</v>
      </c>
      <c r="B11" s="2" t="s">
        <v>11</v>
      </c>
      <c r="C11" s="2" t="s">
        <v>12</v>
      </c>
      <c r="D11" s="2" t="s">
        <v>13</v>
      </c>
      <c r="E11" s="2" t="s">
        <v>14</v>
      </c>
      <c r="F11" s="3" t="s">
        <v>15</v>
      </c>
      <c r="G11" s="3" t="s">
        <v>16</v>
      </c>
      <c r="H11" s="3" t="s">
        <v>17</v>
      </c>
      <c r="I11" s="3" t="s">
        <v>111</v>
      </c>
      <c r="J11" s="3" t="s">
        <v>18</v>
      </c>
      <c r="K11" s="3" t="s">
        <v>19</v>
      </c>
      <c r="L11" s="3" t="s">
        <v>20</v>
      </c>
      <c r="M11" s="4" t="s">
        <v>21</v>
      </c>
    </row>
    <row r="12" spans="1:13" ht="36.75" customHeight="1" x14ac:dyDescent="0.35">
      <c r="A12" s="5">
        <v>2</v>
      </c>
      <c r="B12" s="19" t="s">
        <v>62</v>
      </c>
      <c r="C12" s="20" t="s">
        <v>49</v>
      </c>
      <c r="D12" s="21" t="s">
        <v>63</v>
      </c>
      <c r="E12" s="22" t="s">
        <v>64</v>
      </c>
      <c r="F12" s="5" t="s">
        <v>25</v>
      </c>
      <c r="G12" s="21" t="s">
        <v>65</v>
      </c>
      <c r="H12" s="9">
        <v>30000</v>
      </c>
      <c r="I12" s="10">
        <v>35021</v>
      </c>
      <c r="J12" s="10">
        <v>49654</v>
      </c>
      <c r="K12" s="11">
        <v>45267</v>
      </c>
      <c r="L12" s="9">
        <v>40000</v>
      </c>
      <c r="M12" s="17" t="s">
        <v>98</v>
      </c>
    </row>
    <row r="13" spans="1:13" ht="36.75" customHeight="1" x14ac:dyDescent="0.35">
      <c r="A13" s="5">
        <v>3</v>
      </c>
      <c r="B13" s="16" t="s">
        <v>48</v>
      </c>
      <c r="C13" s="7" t="s">
        <v>49</v>
      </c>
      <c r="D13" s="8" t="s">
        <v>50</v>
      </c>
      <c r="E13" s="5" t="s">
        <v>24</v>
      </c>
      <c r="F13" s="5" t="s">
        <v>25</v>
      </c>
      <c r="G13" s="8" t="s">
        <v>51</v>
      </c>
      <c r="H13" s="9">
        <v>5000</v>
      </c>
      <c r="I13" s="10">
        <v>4378</v>
      </c>
      <c r="J13" s="10">
        <v>6662</v>
      </c>
      <c r="K13" s="11">
        <v>45266</v>
      </c>
      <c r="L13" s="9">
        <v>8000</v>
      </c>
      <c r="M13" s="17" t="s">
        <v>100</v>
      </c>
    </row>
    <row r="14" spans="1:13" ht="36.75" customHeight="1" x14ac:dyDescent="0.35">
      <c r="A14" s="5">
        <v>4</v>
      </c>
      <c r="B14" s="16" t="s">
        <v>53</v>
      </c>
      <c r="C14" s="7" t="s">
        <v>49</v>
      </c>
      <c r="D14" s="8" t="s">
        <v>54</v>
      </c>
      <c r="E14" s="5" t="s">
        <v>24</v>
      </c>
      <c r="F14" s="5" t="s">
        <v>25</v>
      </c>
      <c r="G14" s="8" t="s">
        <v>55</v>
      </c>
      <c r="H14" s="9">
        <v>3000</v>
      </c>
      <c r="I14" s="10">
        <v>14618</v>
      </c>
      <c r="J14" s="10">
        <v>18118</v>
      </c>
      <c r="K14" s="11">
        <v>45264</v>
      </c>
      <c r="L14" s="9">
        <v>13000</v>
      </c>
      <c r="M14" s="17" t="s">
        <v>99</v>
      </c>
    </row>
    <row r="15" spans="1:13" ht="36.75" customHeight="1" x14ac:dyDescent="0.35">
      <c r="A15" s="5">
        <v>5</v>
      </c>
      <c r="B15" s="16" t="s">
        <v>56</v>
      </c>
      <c r="C15" s="7" t="s">
        <v>49</v>
      </c>
      <c r="D15" s="8" t="s">
        <v>57</v>
      </c>
      <c r="E15" s="5" t="s">
        <v>24</v>
      </c>
      <c r="F15" s="5" t="s">
        <v>25</v>
      </c>
      <c r="G15" s="8" t="s">
        <v>58</v>
      </c>
      <c r="H15" s="9">
        <v>5000</v>
      </c>
      <c r="I15" s="10">
        <v>13450</v>
      </c>
      <c r="J15" s="10">
        <v>16810</v>
      </c>
      <c r="K15" s="11">
        <v>45263</v>
      </c>
      <c r="L15" s="9">
        <v>10000</v>
      </c>
      <c r="M15" s="17" t="s">
        <v>101</v>
      </c>
    </row>
    <row r="16" spans="1:13" ht="36.75" customHeight="1" x14ac:dyDescent="0.35">
      <c r="A16" s="5">
        <v>6</v>
      </c>
      <c r="B16" s="16" t="s">
        <v>59</v>
      </c>
      <c r="C16" s="7" t="s">
        <v>49</v>
      </c>
      <c r="D16" s="8" t="s">
        <v>60</v>
      </c>
      <c r="E16" s="5" t="s">
        <v>24</v>
      </c>
      <c r="F16" s="5" t="s">
        <v>25</v>
      </c>
      <c r="G16" s="8" t="s">
        <v>61</v>
      </c>
      <c r="H16" s="9">
        <v>3000</v>
      </c>
      <c r="I16" s="10">
        <v>16109</v>
      </c>
      <c r="J16" s="10">
        <v>18989</v>
      </c>
      <c r="K16" s="11">
        <v>45263</v>
      </c>
      <c r="L16" s="9">
        <v>15000</v>
      </c>
      <c r="M16" s="17" t="s">
        <v>52</v>
      </c>
    </row>
    <row r="17" spans="1:13" ht="36.75" customHeight="1" x14ac:dyDescent="0.35">
      <c r="A17" s="5">
        <v>7</v>
      </c>
      <c r="B17" s="16" t="s">
        <v>46</v>
      </c>
      <c r="C17" s="7" t="s">
        <v>23</v>
      </c>
      <c r="D17" s="5" t="s">
        <v>47</v>
      </c>
      <c r="E17" s="5" t="s">
        <v>24</v>
      </c>
      <c r="F17" s="5" t="s">
        <v>25</v>
      </c>
      <c r="G17" s="44" t="s">
        <v>102</v>
      </c>
      <c r="H17" s="9">
        <v>3000</v>
      </c>
      <c r="I17" s="10">
        <v>11603</v>
      </c>
      <c r="J17" s="10">
        <v>14303</v>
      </c>
      <c r="K17" s="11">
        <v>45264</v>
      </c>
      <c r="L17" s="9">
        <v>10000</v>
      </c>
      <c r="M17" s="17" t="s">
        <v>103</v>
      </c>
    </row>
    <row r="18" spans="1:13" ht="22" customHeight="1" x14ac:dyDescent="0.35">
      <c r="A18" s="5">
        <v>8</v>
      </c>
      <c r="B18" s="6" t="s">
        <v>26</v>
      </c>
      <c r="C18" s="7" t="s">
        <v>23</v>
      </c>
      <c r="D18" s="8" t="s">
        <v>27</v>
      </c>
      <c r="E18" s="5" t="s">
        <v>24</v>
      </c>
      <c r="F18" s="5" t="s">
        <v>25</v>
      </c>
      <c r="G18" s="13" t="s">
        <v>28</v>
      </c>
      <c r="H18" s="9">
        <v>5000</v>
      </c>
      <c r="I18" s="10">
        <v>7721</v>
      </c>
      <c r="J18" s="10">
        <v>8971</v>
      </c>
      <c r="K18" s="11">
        <v>45280</v>
      </c>
      <c r="L18" s="9">
        <v>5000</v>
      </c>
      <c r="M18" s="12" t="s">
        <v>29</v>
      </c>
    </row>
    <row r="19" spans="1:13" s="18" customFormat="1" ht="28" customHeight="1" x14ac:dyDescent="0.35">
      <c r="A19" s="5">
        <v>9</v>
      </c>
      <c r="B19" s="16" t="s">
        <v>30</v>
      </c>
      <c r="C19" s="7" t="s">
        <v>23</v>
      </c>
      <c r="D19" s="5" t="s">
        <v>31</v>
      </c>
      <c r="E19" s="5" t="s">
        <v>32</v>
      </c>
      <c r="F19" s="5" t="s">
        <v>25</v>
      </c>
      <c r="G19" s="5" t="s">
        <v>33</v>
      </c>
      <c r="H19" s="9">
        <v>45000</v>
      </c>
      <c r="I19" s="10">
        <v>45045</v>
      </c>
      <c r="J19" s="10">
        <v>74099</v>
      </c>
      <c r="K19" s="11">
        <v>45280</v>
      </c>
      <c r="L19" s="9">
        <v>50000</v>
      </c>
      <c r="M19" s="17" t="s">
        <v>104</v>
      </c>
    </row>
    <row r="20" spans="1:13" s="18" customFormat="1" ht="24" customHeight="1" x14ac:dyDescent="0.35">
      <c r="A20" s="5">
        <v>10</v>
      </c>
      <c r="B20" s="16" t="s">
        <v>22</v>
      </c>
      <c r="C20" s="7" t="s">
        <v>23</v>
      </c>
      <c r="D20" s="5">
        <v>591</v>
      </c>
      <c r="E20" s="5" t="s">
        <v>24</v>
      </c>
      <c r="F20" s="5" t="s">
        <v>25</v>
      </c>
      <c r="G20" s="44" t="s">
        <v>105</v>
      </c>
      <c r="H20" s="9">
        <v>10000</v>
      </c>
      <c r="I20" s="10">
        <v>41523</v>
      </c>
      <c r="J20" s="10">
        <v>52723</v>
      </c>
      <c r="K20" s="11">
        <v>45268</v>
      </c>
      <c r="L20" s="9">
        <v>20000</v>
      </c>
      <c r="M20" s="17" t="s">
        <v>96</v>
      </c>
    </row>
    <row r="21" spans="1:13" ht="22" customHeight="1" x14ac:dyDescent="0.35">
      <c r="A21" s="5">
        <v>11</v>
      </c>
      <c r="B21" s="6" t="s">
        <v>34</v>
      </c>
      <c r="C21" s="14" t="s">
        <v>23</v>
      </c>
      <c r="D21" s="15">
        <v>1149</v>
      </c>
      <c r="E21" s="15" t="s">
        <v>24</v>
      </c>
      <c r="F21" s="15" t="s">
        <v>25</v>
      </c>
      <c r="G21" s="13" t="s">
        <v>35</v>
      </c>
      <c r="H21" s="9">
        <v>0</v>
      </c>
      <c r="I21" s="10">
        <v>15133</v>
      </c>
      <c r="J21" s="10">
        <v>18533</v>
      </c>
      <c r="K21" s="11">
        <v>45265</v>
      </c>
      <c r="L21" s="9">
        <v>8000</v>
      </c>
      <c r="M21" s="12" t="s">
        <v>52</v>
      </c>
    </row>
    <row r="22" spans="1:13" ht="20.25" customHeight="1" x14ac:dyDescent="0.35">
      <c r="A22" s="5">
        <v>12</v>
      </c>
      <c r="B22" s="6" t="s">
        <v>36</v>
      </c>
      <c r="C22" s="14" t="s">
        <v>23</v>
      </c>
      <c r="D22" s="15">
        <v>1311</v>
      </c>
      <c r="E22" s="5" t="s">
        <v>24</v>
      </c>
      <c r="F22" s="15" t="s">
        <v>25</v>
      </c>
      <c r="G22" s="13" t="s">
        <v>37</v>
      </c>
      <c r="H22" s="9">
        <v>4000</v>
      </c>
      <c r="I22" s="10">
        <v>11109</v>
      </c>
      <c r="J22" s="10">
        <v>14609</v>
      </c>
      <c r="K22" s="11">
        <v>45280</v>
      </c>
      <c r="L22" s="9">
        <v>4000</v>
      </c>
      <c r="M22" s="12" t="s">
        <v>29</v>
      </c>
    </row>
    <row r="23" spans="1:13" ht="22" customHeight="1" x14ac:dyDescent="0.35">
      <c r="A23" s="5">
        <v>13</v>
      </c>
      <c r="B23" s="6" t="s">
        <v>38</v>
      </c>
      <c r="C23" s="7" t="s">
        <v>23</v>
      </c>
      <c r="D23" s="8" t="s">
        <v>39</v>
      </c>
      <c r="E23" s="5" t="s">
        <v>24</v>
      </c>
      <c r="F23" s="5" t="s">
        <v>25</v>
      </c>
      <c r="G23" s="8" t="s">
        <v>40</v>
      </c>
      <c r="H23" s="9">
        <v>5000</v>
      </c>
      <c r="I23" s="10">
        <v>7372</v>
      </c>
      <c r="J23" s="10">
        <v>10872</v>
      </c>
      <c r="K23" s="11">
        <v>45280</v>
      </c>
      <c r="L23" s="9">
        <v>5000</v>
      </c>
      <c r="M23" s="12" t="s">
        <v>29</v>
      </c>
    </row>
    <row r="24" spans="1:13" ht="22" customHeight="1" x14ac:dyDescent="0.35">
      <c r="A24" s="5">
        <v>14</v>
      </c>
      <c r="B24" s="6" t="s">
        <v>41</v>
      </c>
      <c r="C24" s="7" t="s">
        <v>42</v>
      </c>
      <c r="D24" s="8" t="s">
        <v>43</v>
      </c>
      <c r="E24" s="5" t="s">
        <v>24</v>
      </c>
      <c r="F24" s="5" t="s">
        <v>44</v>
      </c>
      <c r="G24" s="5">
        <v>24024723</v>
      </c>
      <c r="H24" s="9">
        <v>30000</v>
      </c>
      <c r="I24" s="42">
        <v>25629</v>
      </c>
      <c r="J24" s="42" t="s">
        <v>97</v>
      </c>
      <c r="K24" s="11">
        <v>45280</v>
      </c>
      <c r="L24" s="9">
        <v>30000</v>
      </c>
      <c r="M24" s="12" t="s">
        <v>45</v>
      </c>
    </row>
    <row r="25" spans="1:13" ht="18" customHeight="1" x14ac:dyDescent="0.35">
      <c r="A25" s="386" t="s">
        <v>8</v>
      </c>
      <c r="B25" s="386"/>
      <c r="C25" s="386"/>
      <c r="D25" s="386"/>
      <c r="E25" s="386"/>
      <c r="F25" s="386"/>
      <c r="G25" s="386"/>
      <c r="H25" s="23">
        <f>SUM(H12:H24)</f>
        <v>148000</v>
      </c>
      <c r="I25" s="24"/>
      <c r="J25" s="25"/>
      <c r="K25" s="43"/>
      <c r="L25" s="26"/>
      <c r="M25" s="26"/>
    </row>
    <row r="26" spans="1:13" x14ac:dyDescent="0.35">
      <c r="A26" s="26"/>
      <c r="B26" s="26"/>
      <c r="C26" s="26"/>
      <c r="D26" s="26"/>
      <c r="E26" s="26"/>
      <c r="F26" s="26"/>
      <c r="G26" s="26"/>
      <c r="H26" s="26"/>
      <c r="I26" s="26"/>
      <c r="J26" s="26"/>
      <c r="K26" s="26"/>
      <c r="L26" s="26"/>
      <c r="M26" s="26"/>
    </row>
    <row r="27" spans="1:13" x14ac:dyDescent="0.35">
      <c r="A27" s="26"/>
      <c r="B27" s="26" t="s">
        <v>108</v>
      </c>
      <c r="C27" s="26"/>
      <c r="D27" s="26"/>
      <c r="E27" s="26"/>
      <c r="F27" s="26"/>
      <c r="G27" s="26"/>
      <c r="H27" s="26"/>
      <c r="I27" s="26"/>
      <c r="J27" s="26"/>
      <c r="K27" s="26"/>
      <c r="L27" s="26"/>
      <c r="M27" s="26"/>
    </row>
    <row r="28" spans="1:13" ht="77" customHeight="1" x14ac:dyDescent="0.35">
      <c r="A28" s="407" t="s">
        <v>66</v>
      </c>
      <c r="B28" s="407"/>
      <c r="C28" s="27"/>
      <c r="D28" s="26"/>
      <c r="E28" s="407" t="s">
        <v>67</v>
      </c>
      <c r="F28" s="407"/>
      <c r="G28" s="408" t="s">
        <v>68</v>
      </c>
      <c r="H28" s="408"/>
      <c r="I28" s="28"/>
      <c r="J28" s="28"/>
      <c r="K28" s="28"/>
      <c r="L28" s="29"/>
      <c r="M28" s="29"/>
    </row>
    <row r="29" spans="1:13" x14ac:dyDescent="0.35">
      <c r="A29" s="409" t="s">
        <v>69</v>
      </c>
      <c r="B29" s="409"/>
      <c r="C29" s="30" t="s">
        <v>113</v>
      </c>
      <c r="D29" s="30"/>
      <c r="E29" s="410" t="s">
        <v>70</v>
      </c>
      <c r="F29" s="410"/>
      <c r="G29" s="410" t="s">
        <v>71</v>
      </c>
      <c r="H29" s="410"/>
      <c r="I29" s="29"/>
      <c r="J29" s="29"/>
      <c r="K29" s="29" t="s">
        <v>72</v>
      </c>
      <c r="L29" s="31"/>
      <c r="M29" s="31"/>
    </row>
    <row r="30" spans="1:13" x14ac:dyDescent="0.35">
      <c r="A30" s="413" t="s">
        <v>92</v>
      </c>
      <c r="B30" s="413"/>
      <c r="C30" s="32" t="s">
        <v>7</v>
      </c>
      <c r="D30" s="32"/>
      <c r="E30" s="414" t="s">
        <v>73</v>
      </c>
      <c r="F30" s="414"/>
      <c r="G30" s="414" t="s">
        <v>74</v>
      </c>
      <c r="H30" s="414"/>
      <c r="I30" s="31"/>
      <c r="J30" s="31"/>
      <c r="K30" s="31" t="s">
        <v>75</v>
      </c>
      <c r="L30" s="33"/>
      <c r="M30" s="33"/>
    </row>
    <row r="31" spans="1:13" x14ac:dyDescent="0.35">
      <c r="A31" s="411" t="s">
        <v>94</v>
      </c>
      <c r="B31" s="411"/>
      <c r="C31" s="34" t="s">
        <v>77</v>
      </c>
      <c r="D31" s="34"/>
      <c r="E31" s="414" t="s">
        <v>78</v>
      </c>
      <c r="F31" s="414"/>
      <c r="G31" s="412" t="s">
        <v>79</v>
      </c>
      <c r="H31" s="412"/>
      <c r="I31" s="33"/>
      <c r="J31" s="33"/>
      <c r="K31" s="33" t="s">
        <v>80</v>
      </c>
      <c r="L31" s="34"/>
      <c r="M31" s="34"/>
    </row>
    <row r="32" spans="1:13" x14ac:dyDescent="0.35">
      <c r="A32" s="411" t="s">
        <v>76</v>
      </c>
      <c r="B32" s="411"/>
      <c r="C32" s="34" t="s">
        <v>81</v>
      </c>
      <c r="D32" s="34"/>
      <c r="E32" s="412" t="s">
        <v>76</v>
      </c>
      <c r="F32" s="412"/>
      <c r="G32" s="412" t="s">
        <v>76</v>
      </c>
      <c r="H32" s="412"/>
      <c r="I32" s="33"/>
      <c r="J32" s="33"/>
      <c r="K32" s="33"/>
    </row>
    <row r="35" spans="1:2" ht="21" customHeight="1" x14ac:dyDescent="0.35"/>
    <row r="36" spans="1:2" ht="18.75" customHeight="1" x14ac:dyDescent="0.35">
      <c r="A36" s="380" t="s">
        <v>114</v>
      </c>
      <c r="B36" s="380"/>
    </row>
    <row r="37" spans="1:2" x14ac:dyDescent="0.35">
      <c r="A37" s="381" t="s">
        <v>115</v>
      </c>
      <c r="B37" s="381"/>
    </row>
    <row r="38" spans="1:2" ht="18.75" hidden="1" customHeight="1" x14ac:dyDescent="0.35">
      <c r="A38" s="47"/>
      <c r="B38" s="46"/>
    </row>
    <row r="39" spans="1:2" x14ac:dyDescent="0.35">
      <c r="A39" s="382" t="s">
        <v>116</v>
      </c>
      <c r="B39" s="383"/>
    </row>
    <row r="40" spans="1:2" ht="27" customHeight="1" x14ac:dyDescent="0.35">
      <c r="A40" s="382" t="s">
        <v>117</v>
      </c>
      <c r="B40" s="382"/>
    </row>
    <row r="279" spans="13:13" x14ac:dyDescent="0.35">
      <c r="M279" s="30" t="s">
        <v>82</v>
      </c>
    </row>
  </sheetData>
  <mergeCells count="38">
    <mergeCell ref="A32:B32"/>
    <mergeCell ref="E32:F32"/>
    <mergeCell ref="G32:H32"/>
    <mergeCell ref="A30:B30"/>
    <mergeCell ref="E30:F30"/>
    <mergeCell ref="G30:H30"/>
    <mergeCell ref="A31:B31"/>
    <mergeCell ref="E31:F31"/>
    <mergeCell ref="G31:H31"/>
    <mergeCell ref="A10:M10"/>
    <mergeCell ref="A28:B28"/>
    <mergeCell ref="E28:F28"/>
    <mergeCell ref="G28:H28"/>
    <mergeCell ref="A29:B29"/>
    <mergeCell ref="E29:F29"/>
    <mergeCell ref="G29:H29"/>
    <mergeCell ref="C4:M4"/>
    <mergeCell ref="A1:M1"/>
    <mergeCell ref="A2:B2"/>
    <mergeCell ref="C2:M2"/>
    <mergeCell ref="A3:B3"/>
    <mergeCell ref="C3:M3"/>
    <mergeCell ref="A36:B36"/>
    <mergeCell ref="A37:B37"/>
    <mergeCell ref="A39:B39"/>
    <mergeCell ref="A40:B40"/>
    <mergeCell ref="A4:B4"/>
    <mergeCell ref="A25:G25"/>
    <mergeCell ref="A5:B5"/>
    <mergeCell ref="C5:M5"/>
    <mergeCell ref="A6:B6"/>
    <mergeCell ref="C6:M6"/>
    <mergeCell ref="A7:B7"/>
    <mergeCell ref="C7:M7"/>
    <mergeCell ref="A8:B8"/>
    <mergeCell ref="C8:M8"/>
    <mergeCell ref="A9:B9"/>
    <mergeCell ref="C9:M9"/>
  </mergeCells>
  <printOptions horizontalCentered="1"/>
  <pageMargins left="0.25" right="0.25" top="0.75" bottom="0.75" header="0.3" footer="0.3"/>
  <pageSetup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2DC1-2BE1-45D0-8F68-AD3FB1D6D2BF}">
  <sheetPr codeName="Sheet2">
    <tabColor theme="0"/>
  </sheetPr>
  <dimension ref="A1:N28"/>
  <sheetViews>
    <sheetView topLeftCell="A6" zoomScale="90" zoomScaleNormal="90" workbookViewId="0">
      <selection activeCell="E18" sqref="E18:F18"/>
    </sheetView>
  </sheetViews>
  <sheetFormatPr defaultRowHeight="14.5" x14ac:dyDescent="0.35"/>
  <cols>
    <col min="1" max="1" width="7.26953125" customWidth="1"/>
    <col min="2" max="2" width="17.26953125" customWidth="1"/>
    <col min="3" max="3" width="19.81640625"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 min="14" max="14" width="12.453125" bestFit="1" customWidth="1"/>
  </cols>
  <sheetData>
    <row r="1" spans="1:14" ht="48.75" customHeight="1" x14ac:dyDescent="0.35">
      <c r="A1" s="402" t="s">
        <v>0</v>
      </c>
      <c r="B1" s="402"/>
      <c r="C1" s="402"/>
      <c r="D1" s="402"/>
      <c r="E1" s="402"/>
      <c r="F1" s="402"/>
      <c r="G1" s="402"/>
      <c r="H1" s="402"/>
      <c r="I1" s="402"/>
      <c r="J1" s="402"/>
      <c r="K1" s="402"/>
      <c r="L1" s="402"/>
      <c r="M1" s="402"/>
    </row>
    <row r="2" spans="1:14" x14ac:dyDescent="0.35">
      <c r="A2" s="384" t="s">
        <v>1</v>
      </c>
      <c r="B2" s="385"/>
      <c r="C2" s="393" t="s">
        <v>83</v>
      </c>
      <c r="D2" s="394"/>
      <c r="E2" s="394"/>
      <c r="F2" s="394"/>
      <c r="G2" s="394"/>
      <c r="H2" s="394"/>
      <c r="I2" s="394"/>
      <c r="J2" s="394"/>
      <c r="K2" s="394"/>
      <c r="L2" s="394"/>
      <c r="M2" s="395"/>
    </row>
    <row r="3" spans="1:14" x14ac:dyDescent="0.35">
      <c r="A3" s="384" t="s">
        <v>3</v>
      </c>
      <c r="B3" s="385"/>
      <c r="C3" s="384" t="s">
        <v>107</v>
      </c>
      <c r="D3" s="403"/>
      <c r="E3" s="403"/>
      <c r="F3" s="403"/>
      <c r="G3" s="403"/>
      <c r="H3" s="403"/>
      <c r="I3" s="403"/>
      <c r="J3" s="403"/>
      <c r="K3" s="403"/>
      <c r="L3" s="403"/>
      <c r="M3" s="385"/>
    </row>
    <row r="4" spans="1:14" x14ac:dyDescent="0.35">
      <c r="A4" s="384" t="s">
        <v>4</v>
      </c>
      <c r="B4" s="385"/>
      <c r="C4" s="393" t="s">
        <v>109</v>
      </c>
      <c r="D4" s="394"/>
      <c r="E4" s="394"/>
      <c r="F4" s="394"/>
      <c r="G4" s="394"/>
      <c r="H4" s="394"/>
      <c r="I4" s="394"/>
      <c r="J4" s="394"/>
      <c r="K4" s="394"/>
      <c r="L4" s="394"/>
      <c r="M4" s="395"/>
    </row>
    <row r="5" spans="1:14" x14ac:dyDescent="0.35">
      <c r="A5" s="384" t="s">
        <v>5</v>
      </c>
      <c r="B5" s="385"/>
      <c r="C5" s="387">
        <v>45281</v>
      </c>
      <c r="D5" s="388"/>
      <c r="E5" s="388"/>
      <c r="F5" s="388"/>
      <c r="G5" s="388"/>
      <c r="H5" s="388"/>
      <c r="I5" s="388"/>
      <c r="J5" s="388"/>
      <c r="K5" s="388"/>
      <c r="L5" s="388"/>
      <c r="M5" s="389"/>
    </row>
    <row r="6" spans="1:14" x14ac:dyDescent="0.35">
      <c r="A6" s="384" t="s">
        <v>6</v>
      </c>
      <c r="B6" s="385"/>
      <c r="C6" s="390">
        <v>1703</v>
      </c>
      <c r="D6" s="391"/>
      <c r="E6" s="391"/>
      <c r="F6" s="391"/>
      <c r="G6" s="391"/>
      <c r="H6" s="391"/>
      <c r="I6" s="391"/>
      <c r="J6" s="391"/>
      <c r="K6" s="391"/>
      <c r="L6" s="391"/>
      <c r="M6" s="392"/>
    </row>
    <row r="7" spans="1:14" x14ac:dyDescent="0.35">
      <c r="A7" s="384" t="s">
        <v>7</v>
      </c>
      <c r="B7" s="385"/>
      <c r="C7" s="393" t="s">
        <v>92</v>
      </c>
      <c r="D7" s="394"/>
      <c r="E7" s="394"/>
      <c r="F7" s="394"/>
      <c r="G7" s="394"/>
      <c r="H7" s="394"/>
      <c r="I7" s="394"/>
      <c r="J7" s="394"/>
      <c r="K7" s="394"/>
      <c r="L7" s="394"/>
      <c r="M7" s="395"/>
    </row>
    <row r="8" spans="1:14" x14ac:dyDescent="0.35">
      <c r="A8" s="384" t="s">
        <v>8</v>
      </c>
      <c r="B8" s="385"/>
      <c r="C8" s="396">
        <f>H15</f>
        <v>160000</v>
      </c>
      <c r="D8" s="397"/>
      <c r="E8" s="397"/>
      <c r="F8" s="397"/>
      <c r="G8" s="397"/>
      <c r="H8" s="397"/>
      <c r="I8" s="397"/>
      <c r="J8" s="397"/>
      <c r="K8" s="397"/>
      <c r="L8" s="397"/>
      <c r="M8" s="398"/>
    </row>
    <row r="9" spans="1:14" ht="3.75" customHeight="1" x14ac:dyDescent="0.35">
      <c r="A9" s="384"/>
      <c r="B9" s="385"/>
      <c r="C9" s="399"/>
      <c r="D9" s="400"/>
      <c r="E9" s="400"/>
      <c r="F9" s="400"/>
      <c r="G9" s="400"/>
      <c r="H9" s="400"/>
      <c r="I9" s="400"/>
      <c r="J9" s="400"/>
      <c r="K9" s="400"/>
      <c r="L9" s="400"/>
      <c r="M9" s="401"/>
    </row>
    <row r="10" spans="1:14" x14ac:dyDescent="0.35">
      <c r="A10" s="404" t="s">
        <v>9</v>
      </c>
      <c r="B10" s="405"/>
      <c r="C10" s="405"/>
      <c r="D10" s="405"/>
      <c r="E10" s="405"/>
      <c r="F10" s="405"/>
      <c r="G10" s="405"/>
      <c r="H10" s="405"/>
      <c r="I10" s="405"/>
      <c r="J10" s="405"/>
      <c r="K10" s="405"/>
      <c r="L10" s="405"/>
      <c r="M10" s="406"/>
    </row>
    <row r="11" spans="1:14" ht="52.5" customHeight="1" x14ac:dyDescent="0.35">
      <c r="A11" s="1" t="s">
        <v>10</v>
      </c>
      <c r="B11" s="2" t="s">
        <v>11</v>
      </c>
      <c r="C11" s="2" t="s">
        <v>12</v>
      </c>
      <c r="D11" s="2" t="s">
        <v>13</v>
      </c>
      <c r="E11" s="2" t="s">
        <v>14</v>
      </c>
      <c r="F11" s="3" t="s">
        <v>15</v>
      </c>
      <c r="G11" s="3" t="s">
        <v>16</v>
      </c>
      <c r="H11" s="3" t="s">
        <v>17</v>
      </c>
      <c r="I11" s="3" t="s">
        <v>111</v>
      </c>
      <c r="J11" s="3" t="s">
        <v>18</v>
      </c>
      <c r="K11" s="3" t="s">
        <v>19</v>
      </c>
      <c r="L11" s="3" t="s">
        <v>20</v>
      </c>
      <c r="M11" s="3" t="s">
        <v>84</v>
      </c>
    </row>
    <row r="12" spans="1:14" ht="25" customHeight="1" x14ac:dyDescent="0.35">
      <c r="A12" s="5">
        <v>1</v>
      </c>
      <c r="B12" s="14" t="s">
        <v>85</v>
      </c>
      <c r="C12" s="7" t="s">
        <v>86</v>
      </c>
      <c r="D12" s="8" t="s">
        <v>87</v>
      </c>
      <c r="E12" s="5" t="s">
        <v>24</v>
      </c>
      <c r="F12" s="5" t="s">
        <v>44</v>
      </c>
      <c r="G12" s="5">
        <v>35020062</v>
      </c>
      <c r="H12" s="9">
        <v>100000</v>
      </c>
      <c r="I12" s="10">
        <v>128340</v>
      </c>
      <c r="J12" s="10">
        <v>173705</v>
      </c>
      <c r="K12" s="35">
        <v>45250</v>
      </c>
      <c r="L12" s="9">
        <v>130000</v>
      </c>
      <c r="M12" s="48" t="s">
        <v>88</v>
      </c>
    </row>
    <row r="13" spans="1:14" ht="25" customHeight="1" x14ac:dyDescent="0.35">
      <c r="A13" s="5">
        <v>2</v>
      </c>
      <c r="B13" s="14" t="s">
        <v>89</v>
      </c>
      <c r="C13" s="7" t="s">
        <v>86</v>
      </c>
      <c r="D13" s="8" t="s">
        <v>90</v>
      </c>
      <c r="E13" s="5" t="s">
        <v>24</v>
      </c>
      <c r="F13" s="5" t="s">
        <v>44</v>
      </c>
      <c r="G13" s="13">
        <v>40021666</v>
      </c>
      <c r="H13" s="9">
        <v>50000</v>
      </c>
      <c r="I13" s="10">
        <v>31140</v>
      </c>
      <c r="J13" s="10">
        <v>49544</v>
      </c>
      <c r="K13" s="35">
        <v>45259</v>
      </c>
      <c r="L13" s="9">
        <v>50000</v>
      </c>
      <c r="M13" s="48" t="s">
        <v>91</v>
      </c>
    </row>
    <row r="14" spans="1:14" s="18" customFormat="1" ht="25" customHeight="1" x14ac:dyDescent="0.35">
      <c r="A14" s="5">
        <v>3</v>
      </c>
      <c r="B14" s="16" t="s">
        <v>95</v>
      </c>
      <c r="C14" s="7" t="s">
        <v>49</v>
      </c>
      <c r="D14" s="8">
        <v>183</v>
      </c>
      <c r="E14" s="5" t="s">
        <v>24</v>
      </c>
      <c r="F14" s="5" t="s">
        <v>25</v>
      </c>
      <c r="G14" s="8">
        <v>10230044268</v>
      </c>
      <c r="H14" s="9">
        <v>10000</v>
      </c>
      <c r="I14" s="10">
        <v>47304</v>
      </c>
      <c r="J14" s="10">
        <v>58410</v>
      </c>
      <c r="K14" s="35">
        <v>45267</v>
      </c>
      <c r="L14" s="45">
        <v>35000</v>
      </c>
      <c r="M14" s="17" t="s">
        <v>110</v>
      </c>
    </row>
    <row r="15" spans="1:14" ht="30" customHeight="1" x14ac:dyDescent="0.35">
      <c r="A15" s="415" t="s">
        <v>8</v>
      </c>
      <c r="B15" s="415"/>
      <c r="C15" s="415"/>
      <c r="D15" s="415"/>
      <c r="E15" s="415"/>
      <c r="F15" s="415"/>
      <c r="G15" s="415"/>
      <c r="H15" s="36">
        <f>SUM(H12:H14)</f>
        <v>160000</v>
      </c>
      <c r="I15" s="37"/>
      <c r="J15" s="25"/>
      <c r="K15" s="25"/>
      <c r="L15" s="26"/>
      <c r="M15" s="26"/>
      <c r="N15" s="26"/>
    </row>
    <row r="16" spans="1:14" x14ac:dyDescent="0.35">
      <c r="A16" s="26"/>
      <c r="B16" s="26"/>
      <c r="C16" s="26"/>
      <c r="D16" s="26"/>
      <c r="E16" s="26"/>
      <c r="F16" s="26"/>
      <c r="G16" s="26"/>
      <c r="H16" s="26"/>
      <c r="I16" s="38"/>
      <c r="J16" s="26"/>
      <c r="K16" s="26"/>
      <c r="L16" s="26"/>
      <c r="M16" s="26"/>
      <c r="N16" s="39"/>
    </row>
    <row r="17" spans="1:13" x14ac:dyDescent="0.35">
      <c r="A17" s="26"/>
      <c r="B17" s="26" t="s">
        <v>112</v>
      </c>
      <c r="C17" s="26"/>
      <c r="D17" s="26"/>
      <c r="E17" s="26"/>
      <c r="F17" s="26"/>
      <c r="G17" s="26"/>
      <c r="H17" s="26"/>
      <c r="I17" s="38"/>
      <c r="J17" s="26"/>
      <c r="K17" s="26"/>
      <c r="L17" s="26"/>
      <c r="M17" s="26"/>
    </row>
    <row r="18" spans="1:13" ht="82.5" customHeight="1" thickBot="1" x14ac:dyDescent="0.4">
      <c r="A18" s="407" t="s">
        <v>66</v>
      </c>
      <c r="B18" s="407"/>
      <c r="C18" s="41"/>
      <c r="D18" s="26"/>
      <c r="E18" s="407" t="s">
        <v>67</v>
      </c>
      <c r="F18" s="407"/>
      <c r="G18" s="408" t="s">
        <v>68</v>
      </c>
      <c r="H18" s="408"/>
      <c r="I18" s="28"/>
      <c r="J18" s="28"/>
      <c r="K18" s="28"/>
      <c r="L18" s="39"/>
      <c r="M18" s="40"/>
    </row>
    <row r="19" spans="1:13" x14ac:dyDescent="0.35">
      <c r="A19" s="409" t="s">
        <v>69</v>
      </c>
      <c r="B19" s="409"/>
      <c r="C19" s="30" t="s">
        <v>113</v>
      </c>
      <c r="D19" s="30"/>
      <c r="E19" s="410" t="s">
        <v>70</v>
      </c>
      <c r="F19" s="410"/>
      <c r="G19" s="410" t="s">
        <v>71</v>
      </c>
      <c r="H19" s="410"/>
      <c r="I19" s="29"/>
      <c r="J19" s="29"/>
      <c r="K19" s="29" t="s">
        <v>72</v>
      </c>
      <c r="L19" s="31"/>
      <c r="M19" s="31"/>
    </row>
    <row r="20" spans="1:13" x14ac:dyDescent="0.35">
      <c r="A20" s="413" t="s">
        <v>92</v>
      </c>
      <c r="B20" s="413"/>
      <c r="C20" s="32" t="s">
        <v>7</v>
      </c>
      <c r="D20" s="32"/>
      <c r="E20" s="414" t="s">
        <v>73</v>
      </c>
      <c r="F20" s="414"/>
      <c r="G20" s="414" t="s">
        <v>74</v>
      </c>
      <c r="H20" s="414"/>
      <c r="I20" s="31"/>
      <c r="J20" s="31"/>
      <c r="K20" s="31" t="s">
        <v>75</v>
      </c>
      <c r="L20" s="33"/>
      <c r="M20" s="33"/>
    </row>
    <row r="21" spans="1:13" x14ac:dyDescent="0.35">
      <c r="A21" s="411" t="s">
        <v>93</v>
      </c>
      <c r="B21" s="411"/>
      <c r="C21" s="34" t="s">
        <v>77</v>
      </c>
      <c r="D21" s="34"/>
      <c r="E21" s="414" t="s">
        <v>78</v>
      </c>
      <c r="F21" s="414"/>
      <c r="G21" s="412" t="s">
        <v>79</v>
      </c>
      <c r="H21" s="412"/>
      <c r="I21" s="33"/>
      <c r="J21" s="33"/>
      <c r="K21" s="33" t="s">
        <v>80</v>
      </c>
      <c r="L21" s="34"/>
      <c r="M21" s="34"/>
    </row>
    <row r="22" spans="1:13" x14ac:dyDescent="0.35">
      <c r="A22" s="411" t="s">
        <v>76</v>
      </c>
      <c r="B22" s="411"/>
      <c r="C22" s="34" t="s">
        <v>81</v>
      </c>
      <c r="D22" s="34"/>
      <c r="E22" s="412" t="s">
        <v>76</v>
      </c>
      <c r="F22" s="412"/>
      <c r="G22" s="412" t="s">
        <v>76</v>
      </c>
      <c r="H22" s="412"/>
      <c r="I22" s="33"/>
      <c r="J22" s="33"/>
      <c r="K22" s="33"/>
    </row>
    <row r="23" spans="1:13" ht="32.25" customHeight="1" x14ac:dyDescent="0.35"/>
    <row r="25" spans="1:13" ht="21" customHeight="1" x14ac:dyDescent="0.35">
      <c r="A25" s="380"/>
      <c r="B25" s="380"/>
    </row>
    <row r="26" spans="1:13" ht="18.75" customHeight="1" x14ac:dyDescent="0.35">
      <c r="A26" s="381"/>
      <c r="B26" s="381"/>
    </row>
    <row r="27" spans="1:13" ht="18.75" customHeight="1" x14ac:dyDescent="0.35">
      <c r="A27" s="382"/>
      <c r="B27" s="383"/>
    </row>
    <row r="28" spans="1:13" ht="30" customHeight="1" x14ac:dyDescent="0.35">
      <c r="A28" s="382"/>
      <c r="B28" s="382"/>
    </row>
  </sheetData>
  <mergeCells count="38">
    <mergeCell ref="A22:B22"/>
    <mergeCell ref="E22:F22"/>
    <mergeCell ref="G22:H22"/>
    <mergeCell ref="A20:B20"/>
    <mergeCell ref="E20:F20"/>
    <mergeCell ref="G20:H20"/>
    <mergeCell ref="A21:B21"/>
    <mergeCell ref="E21:F21"/>
    <mergeCell ref="G21:H21"/>
    <mergeCell ref="A10:M10"/>
    <mergeCell ref="A18:B18"/>
    <mergeCell ref="E18:F18"/>
    <mergeCell ref="G18:H18"/>
    <mergeCell ref="A19:B19"/>
    <mergeCell ref="E19:F19"/>
    <mergeCell ref="G19:H19"/>
    <mergeCell ref="C4:M4"/>
    <mergeCell ref="A1:M1"/>
    <mergeCell ref="A2:B2"/>
    <mergeCell ref="C2:M2"/>
    <mergeCell ref="A3:B3"/>
    <mergeCell ref="C3:M3"/>
    <mergeCell ref="A25:B25"/>
    <mergeCell ref="A26:B26"/>
    <mergeCell ref="A27:B27"/>
    <mergeCell ref="A28:B28"/>
    <mergeCell ref="A4:B4"/>
    <mergeCell ref="A15:G15"/>
    <mergeCell ref="A5:B5"/>
    <mergeCell ref="C5:M5"/>
    <mergeCell ref="A6:B6"/>
    <mergeCell ref="C6:M6"/>
    <mergeCell ref="A7:B7"/>
    <mergeCell ref="C7:M7"/>
    <mergeCell ref="A8:B8"/>
    <mergeCell ref="C8:M8"/>
    <mergeCell ref="A9:B9"/>
    <mergeCell ref="C9:M9"/>
  </mergeCells>
  <printOptions horizontalCentered="1"/>
  <pageMargins left="0.11811023622047245" right="0.19685039370078741" top="0.98425196850393704" bottom="0" header="0.31496062992125984" footer="0.31496062992125984"/>
  <pageSetup paperSize="9" scale="7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3A56-8DB0-4A31-A151-CC801B9DA3DE}">
  <sheetPr codeName="Sheet3">
    <pageSetUpPr fitToPage="1"/>
  </sheetPr>
  <dimension ref="A1:M29"/>
  <sheetViews>
    <sheetView workbookViewId="0">
      <selection activeCell="B12" sqref="B12"/>
    </sheetView>
  </sheetViews>
  <sheetFormatPr defaultRowHeight="14.5" x14ac:dyDescent="0.35"/>
  <cols>
    <col min="2" max="2" width="30" customWidth="1"/>
    <col min="3" max="3" width="19" customWidth="1"/>
    <col min="4" max="4" width="5.08984375" bestFit="1" customWidth="1"/>
    <col min="5" max="5" width="7.453125" customWidth="1"/>
    <col min="6" max="6" width="16.08984375" customWidth="1"/>
    <col min="7" max="7" width="13.54296875" customWidth="1"/>
    <col min="8" max="8" width="13.36328125" customWidth="1"/>
    <col min="9" max="9" width="7.54296875" bestFit="1" customWidth="1"/>
    <col min="10" max="10" width="9.26953125" customWidth="1"/>
    <col min="11" max="11" width="33.7265625" bestFit="1" customWidth="1"/>
    <col min="13" max="13" width="13.63281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123</v>
      </c>
      <c r="D3" s="403"/>
      <c r="E3" s="403"/>
      <c r="F3" s="403"/>
      <c r="G3" s="403"/>
      <c r="H3" s="403"/>
      <c r="I3" s="403"/>
      <c r="J3" s="403"/>
      <c r="K3" s="403"/>
      <c r="L3" s="403"/>
      <c r="M3" s="385"/>
    </row>
    <row r="4" spans="1:13" x14ac:dyDescent="0.35">
      <c r="A4" s="384" t="s">
        <v>4</v>
      </c>
      <c r="B4" s="385"/>
      <c r="C4" s="393" t="s">
        <v>118</v>
      </c>
      <c r="D4" s="394"/>
      <c r="E4" s="394"/>
      <c r="F4" s="394"/>
      <c r="G4" s="394"/>
      <c r="H4" s="394"/>
      <c r="I4" s="394"/>
      <c r="J4" s="394"/>
      <c r="K4" s="394"/>
      <c r="L4" s="394"/>
      <c r="M4" s="395"/>
    </row>
    <row r="5" spans="1:13" x14ac:dyDescent="0.35">
      <c r="A5" s="384" t="s">
        <v>5</v>
      </c>
      <c r="B5" s="385"/>
      <c r="C5" s="387">
        <v>45312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20000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81" x14ac:dyDescent="0.35">
      <c r="A11" s="1" t="s">
        <v>10</v>
      </c>
      <c r="B11" s="2" t="s">
        <v>11</v>
      </c>
      <c r="C11" s="2" t="s">
        <v>12</v>
      </c>
      <c r="D11" s="2" t="s">
        <v>13</v>
      </c>
      <c r="E11" s="2" t="s">
        <v>14</v>
      </c>
      <c r="F11" s="3" t="s">
        <v>15</v>
      </c>
      <c r="G11" s="3" t="s">
        <v>16</v>
      </c>
      <c r="H11" s="3" t="s">
        <v>17</v>
      </c>
      <c r="I11" s="3" t="s">
        <v>120</v>
      </c>
      <c r="J11" s="3" t="s">
        <v>18</v>
      </c>
      <c r="K11" s="3" t="s">
        <v>19</v>
      </c>
      <c r="L11" s="3" t="s">
        <v>20</v>
      </c>
      <c r="M11" s="4" t="s">
        <v>21</v>
      </c>
    </row>
    <row r="12" spans="1:13" x14ac:dyDescent="0.35">
      <c r="A12" s="5">
        <v>1</v>
      </c>
      <c r="B12" s="19" t="s">
        <v>129</v>
      </c>
      <c r="C12" s="20" t="s">
        <v>23</v>
      </c>
      <c r="D12" s="21">
        <v>732</v>
      </c>
      <c r="E12" s="22" t="s">
        <v>64</v>
      </c>
      <c r="F12" s="5" t="s">
        <v>130</v>
      </c>
      <c r="G12" s="53" t="s">
        <v>131</v>
      </c>
      <c r="H12" s="9">
        <v>20000</v>
      </c>
      <c r="I12" s="10">
        <v>4809</v>
      </c>
      <c r="J12" s="10">
        <v>4809</v>
      </c>
      <c r="K12" s="11">
        <v>45316</v>
      </c>
      <c r="L12" s="9">
        <v>5000</v>
      </c>
      <c r="M12" s="17" t="s">
        <v>132</v>
      </c>
    </row>
    <row r="13" spans="1:13" x14ac:dyDescent="0.35">
      <c r="A13" s="386" t="s">
        <v>8</v>
      </c>
      <c r="B13" s="386"/>
      <c r="C13" s="386"/>
      <c r="D13" s="386"/>
      <c r="E13" s="386"/>
      <c r="F13" s="386"/>
      <c r="G13" s="386"/>
      <c r="H13" s="23">
        <f>SUM(H12:H12)</f>
        <v>20000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133</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ht="15" thickBot="1" x14ac:dyDescent="0.4">
      <c r="A18" s="420" t="s">
        <v>66</v>
      </c>
      <c r="B18" s="420"/>
      <c r="C18" s="50"/>
      <c r="D18" s="26"/>
      <c r="E18" s="407" t="s">
        <v>67</v>
      </c>
      <c r="F18" s="407"/>
      <c r="G18" s="49"/>
      <c r="H18" s="49"/>
      <c r="I18" s="408"/>
      <c r="J18" s="408"/>
      <c r="K18" s="28"/>
      <c r="L18" s="29"/>
      <c r="M18" s="29"/>
    </row>
    <row r="19" spans="1:13" ht="15" thickTop="1" x14ac:dyDescent="0.35">
      <c r="A19" s="421" t="s">
        <v>69</v>
      </c>
      <c r="B19" s="421"/>
      <c r="C19" s="29" t="s">
        <v>113</v>
      </c>
      <c r="D19" s="30"/>
      <c r="E19" s="410" t="s">
        <v>70</v>
      </c>
      <c r="F19" s="410"/>
      <c r="G19" s="410" t="s">
        <v>71</v>
      </c>
      <c r="H19" s="410"/>
      <c r="I19" s="29"/>
      <c r="J19" s="29"/>
      <c r="K19" s="29" t="s">
        <v>72</v>
      </c>
      <c r="L19" s="31"/>
      <c r="M19" s="31"/>
    </row>
    <row r="20" spans="1:13" x14ac:dyDescent="0.35">
      <c r="A20" s="414" t="s">
        <v>92</v>
      </c>
      <c r="B20" s="414"/>
      <c r="C20" s="32" t="s">
        <v>7</v>
      </c>
      <c r="D20" s="32"/>
      <c r="E20" s="414" t="s">
        <v>73</v>
      </c>
      <c r="F20" s="414"/>
      <c r="G20" s="414" t="s">
        <v>74</v>
      </c>
      <c r="H20" s="414"/>
      <c r="I20" s="31"/>
      <c r="J20" s="31"/>
      <c r="K20" s="31" t="s">
        <v>75</v>
      </c>
      <c r="L20" s="33"/>
      <c r="M20" s="33"/>
    </row>
    <row r="21" spans="1:13" x14ac:dyDescent="0.35">
      <c r="A21" s="412" t="s">
        <v>94</v>
      </c>
      <c r="B21" s="412"/>
      <c r="C21" s="34" t="s">
        <v>77</v>
      </c>
      <c r="D21" s="34"/>
      <c r="E21" s="414" t="s">
        <v>78</v>
      </c>
      <c r="F21" s="414"/>
      <c r="G21" s="412" t="s">
        <v>79</v>
      </c>
      <c r="H21" s="412"/>
      <c r="I21" s="33"/>
      <c r="J21" s="33"/>
      <c r="K21" s="33" t="s">
        <v>80</v>
      </c>
      <c r="L21" s="34"/>
      <c r="M21" s="34"/>
    </row>
    <row r="22" spans="1:13" x14ac:dyDescent="0.35">
      <c r="A22" s="412" t="s">
        <v>76</v>
      </c>
      <c r="B22" s="412"/>
      <c r="C22" s="34" t="s">
        <v>81</v>
      </c>
      <c r="D22" s="34"/>
      <c r="E22" s="412" t="s">
        <v>76</v>
      </c>
      <c r="F22" s="412"/>
      <c r="G22" s="412" t="s">
        <v>76</v>
      </c>
      <c r="H22" s="412"/>
      <c r="I22" s="33"/>
      <c r="J22" s="33"/>
      <c r="K22" s="33"/>
    </row>
    <row r="26" spans="1:13" x14ac:dyDescent="0.35">
      <c r="A26" s="417" t="s">
        <v>114</v>
      </c>
      <c r="B26" s="417"/>
    </row>
    <row r="27" spans="1:13" x14ac:dyDescent="0.35">
      <c r="A27" s="418" t="s">
        <v>115</v>
      </c>
      <c r="B27" s="418"/>
    </row>
    <row r="28" spans="1:13" x14ac:dyDescent="0.35">
      <c r="A28" s="416" t="s">
        <v>116</v>
      </c>
      <c r="B28" s="419"/>
    </row>
    <row r="29" spans="1:13" x14ac:dyDescent="0.35">
      <c r="A29" s="416" t="s">
        <v>117</v>
      </c>
      <c r="B29" s="416"/>
    </row>
  </sheetData>
  <mergeCells count="38">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A18:B18"/>
    <mergeCell ref="E18:F18"/>
    <mergeCell ref="I18:J18"/>
    <mergeCell ref="A19:B19"/>
    <mergeCell ref="E19:F19"/>
    <mergeCell ref="G19:H19"/>
    <mergeCell ref="A20:B20"/>
    <mergeCell ref="E20:F20"/>
    <mergeCell ref="G20:H20"/>
    <mergeCell ref="A21:B21"/>
    <mergeCell ref="E21:F21"/>
    <mergeCell ref="G21:H21"/>
    <mergeCell ref="A29:B29"/>
    <mergeCell ref="A22:B22"/>
    <mergeCell ref="E22:F22"/>
    <mergeCell ref="G22:H22"/>
    <mergeCell ref="A26:B26"/>
    <mergeCell ref="A27:B27"/>
    <mergeCell ref="A28:B28"/>
  </mergeCells>
  <pageMargins left="0.25" right="0.25" top="0.75" bottom="0.75" header="0.3" footer="0.3"/>
  <pageSetup scale="71"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A3D0-6D18-4282-8A3A-8A1A897597EE}">
  <sheetPr codeName="Sheet4">
    <tabColor theme="0"/>
    <pageSetUpPr fitToPage="1"/>
  </sheetPr>
  <dimension ref="A1:M41"/>
  <sheetViews>
    <sheetView topLeftCell="A10" zoomScale="95" zoomScaleNormal="95" workbookViewId="0">
      <selection activeCell="C3" sqref="A1:XFD104857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7.7265625" bestFit="1"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123</v>
      </c>
      <c r="D3" s="403"/>
      <c r="E3" s="403"/>
      <c r="F3" s="403"/>
      <c r="G3" s="403"/>
      <c r="H3" s="403"/>
      <c r="I3" s="403"/>
      <c r="J3" s="403"/>
      <c r="K3" s="403"/>
      <c r="L3" s="403"/>
      <c r="M3" s="385"/>
    </row>
    <row r="4" spans="1:13" x14ac:dyDescent="0.35">
      <c r="A4" s="384" t="s">
        <v>4</v>
      </c>
      <c r="B4" s="385"/>
      <c r="C4" s="393" t="s">
        <v>118</v>
      </c>
      <c r="D4" s="394"/>
      <c r="E4" s="394"/>
      <c r="F4" s="394"/>
      <c r="G4" s="394"/>
      <c r="H4" s="394"/>
      <c r="I4" s="394"/>
      <c r="J4" s="394"/>
      <c r="K4" s="394"/>
      <c r="L4" s="394"/>
      <c r="M4" s="395"/>
    </row>
    <row r="5" spans="1:13" x14ac:dyDescent="0.35">
      <c r="A5" s="384" t="s">
        <v>5</v>
      </c>
      <c r="B5" s="385"/>
      <c r="C5" s="387">
        <v>45312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H25</f>
        <v>147000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81" x14ac:dyDescent="0.35">
      <c r="A11" s="1" t="s">
        <v>10</v>
      </c>
      <c r="B11" s="2" t="s">
        <v>11</v>
      </c>
      <c r="C11" s="2" t="s">
        <v>12</v>
      </c>
      <c r="D11" s="2" t="s">
        <v>13</v>
      </c>
      <c r="E11" s="2" t="s">
        <v>14</v>
      </c>
      <c r="F11" s="3" t="s">
        <v>15</v>
      </c>
      <c r="G11" s="3" t="s">
        <v>16</v>
      </c>
      <c r="H11" s="3" t="s">
        <v>17</v>
      </c>
      <c r="I11" s="3" t="s">
        <v>120</v>
      </c>
      <c r="J11" s="3" t="s">
        <v>18</v>
      </c>
      <c r="K11" s="3" t="s">
        <v>19</v>
      </c>
      <c r="L11" s="3" t="s">
        <v>20</v>
      </c>
      <c r="M11" s="4" t="s">
        <v>21</v>
      </c>
    </row>
    <row r="12" spans="1:13" x14ac:dyDescent="0.35">
      <c r="A12" s="5">
        <v>1</v>
      </c>
      <c r="B12" s="19" t="s">
        <v>119</v>
      </c>
      <c r="C12" s="20" t="s">
        <v>49</v>
      </c>
      <c r="D12" s="21" t="s">
        <v>63</v>
      </c>
      <c r="E12" s="22" t="s">
        <v>64</v>
      </c>
      <c r="F12" s="5" t="s">
        <v>25</v>
      </c>
      <c r="G12" s="21" t="s">
        <v>65</v>
      </c>
      <c r="H12" s="9">
        <v>30000</v>
      </c>
      <c r="I12" s="10">
        <v>27300</v>
      </c>
      <c r="J12" s="10">
        <v>37186</v>
      </c>
      <c r="K12" s="11">
        <v>45300</v>
      </c>
      <c r="L12" s="9">
        <v>30000</v>
      </c>
      <c r="M12" s="17" t="s">
        <v>121</v>
      </c>
    </row>
    <row r="13" spans="1:13" x14ac:dyDescent="0.35">
      <c r="A13" s="5">
        <v>2</v>
      </c>
      <c r="B13" s="16" t="s">
        <v>48</v>
      </c>
      <c r="C13" s="7" t="s">
        <v>49</v>
      </c>
      <c r="D13" s="8" t="s">
        <v>50</v>
      </c>
      <c r="E13" s="5" t="s">
        <v>24</v>
      </c>
      <c r="F13" s="5" t="s">
        <v>25</v>
      </c>
      <c r="G13" s="8" t="s">
        <v>51</v>
      </c>
      <c r="H13" s="9">
        <v>5000</v>
      </c>
      <c r="I13" s="10">
        <v>3503</v>
      </c>
      <c r="J13" s="10">
        <v>5303</v>
      </c>
      <c r="K13" s="11">
        <v>45300</v>
      </c>
      <c r="L13" s="9">
        <v>5000</v>
      </c>
      <c r="M13" s="17" t="s">
        <v>100</v>
      </c>
    </row>
    <row r="14" spans="1:13" x14ac:dyDescent="0.35">
      <c r="A14" s="5">
        <v>3</v>
      </c>
      <c r="B14" s="16" t="s">
        <v>53</v>
      </c>
      <c r="C14" s="7" t="s">
        <v>49</v>
      </c>
      <c r="D14" s="8" t="s">
        <v>54</v>
      </c>
      <c r="E14" s="5" t="s">
        <v>24</v>
      </c>
      <c r="F14" s="5" t="s">
        <v>25</v>
      </c>
      <c r="G14" s="8" t="s">
        <v>55</v>
      </c>
      <c r="H14" s="9">
        <v>5000</v>
      </c>
      <c r="I14" s="10">
        <v>11684</v>
      </c>
      <c r="J14" s="10">
        <v>14666</v>
      </c>
      <c r="K14" s="11">
        <v>45295</v>
      </c>
      <c r="L14" s="9">
        <v>3000</v>
      </c>
      <c r="M14" s="17" t="s">
        <v>101</v>
      </c>
    </row>
    <row r="15" spans="1:13" x14ac:dyDescent="0.35">
      <c r="A15" s="5">
        <v>4</v>
      </c>
      <c r="B15" s="16" t="s">
        <v>56</v>
      </c>
      <c r="C15" s="7" t="s">
        <v>49</v>
      </c>
      <c r="D15" s="8" t="s">
        <v>57</v>
      </c>
      <c r="E15" s="5" t="s">
        <v>24</v>
      </c>
      <c r="F15" s="5" t="s">
        <v>25</v>
      </c>
      <c r="G15" s="8" t="s">
        <v>58</v>
      </c>
      <c r="H15" s="9">
        <v>2000</v>
      </c>
      <c r="I15" s="10">
        <v>13994</v>
      </c>
      <c r="J15" s="10">
        <v>16934</v>
      </c>
      <c r="K15" s="11">
        <v>45295</v>
      </c>
      <c r="L15" s="9">
        <v>5000</v>
      </c>
      <c r="M15" s="17" t="s">
        <v>52</v>
      </c>
    </row>
    <row r="16" spans="1:13" x14ac:dyDescent="0.35">
      <c r="A16" s="5">
        <v>5</v>
      </c>
      <c r="B16" s="16" t="s">
        <v>59</v>
      </c>
      <c r="C16" s="7" t="s">
        <v>49</v>
      </c>
      <c r="D16" s="8" t="s">
        <v>60</v>
      </c>
      <c r="E16" s="5" t="s">
        <v>24</v>
      </c>
      <c r="F16" s="5" t="s">
        <v>25</v>
      </c>
      <c r="G16" s="8" t="s">
        <v>61</v>
      </c>
      <c r="H16" s="9">
        <v>2000</v>
      </c>
      <c r="I16" s="10">
        <v>14647</v>
      </c>
      <c r="J16" s="10">
        <v>17447</v>
      </c>
      <c r="K16" s="11">
        <v>45295</v>
      </c>
      <c r="L16" s="9">
        <v>3000</v>
      </c>
      <c r="M16" s="17" t="s">
        <v>52</v>
      </c>
    </row>
    <row r="17" spans="1:13" x14ac:dyDescent="0.35">
      <c r="A17" s="5">
        <v>6</v>
      </c>
      <c r="B17" s="16" t="s">
        <v>46</v>
      </c>
      <c r="C17" s="7" t="s">
        <v>23</v>
      </c>
      <c r="D17" s="5" t="s">
        <v>47</v>
      </c>
      <c r="E17" s="5" t="s">
        <v>24</v>
      </c>
      <c r="F17" s="5" t="s">
        <v>25</v>
      </c>
      <c r="G17" s="44" t="s">
        <v>102</v>
      </c>
      <c r="H17" s="9">
        <v>3000</v>
      </c>
      <c r="I17" s="10">
        <v>11603</v>
      </c>
      <c r="J17" s="10">
        <v>14303</v>
      </c>
      <c r="K17" s="11">
        <v>45295</v>
      </c>
      <c r="L17" s="9">
        <v>10000</v>
      </c>
      <c r="M17" s="17" t="s">
        <v>103</v>
      </c>
    </row>
    <row r="18" spans="1:13" x14ac:dyDescent="0.35">
      <c r="A18" s="5">
        <v>7</v>
      </c>
      <c r="B18" s="6" t="s">
        <v>26</v>
      </c>
      <c r="C18" s="7" t="s">
        <v>23</v>
      </c>
      <c r="D18" s="8" t="s">
        <v>27</v>
      </c>
      <c r="E18" s="5" t="s">
        <v>24</v>
      </c>
      <c r="F18" s="5" t="s">
        <v>25</v>
      </c>
      <c r="G18" s="13" t="s">
        <v>28</v>
      </c>
      <c r="H18" s="9">
        <v>5000</v>
      </c>
      <c r="I18" s="10">
        <v>7746</v>
      </c>
      <c r="J18" s="10">
        <v>9746</v>
      </c>
      <c r="K18" s="11">
        <v>45304</v>
      </c>
      <c r="L18" s="9">
        <v>5000</v>
      </c>
      <c r="M18" s="12" t="s">
        <v>29</v>
      </c>
    </row>
    <row r="19" spans="1:13" x14ac:dyDescent="0.35">
      <c r="A19" s="5">
        <v>8</v>
      </c>
      <c r="B19" s="16" t="s">
        <v>30</v>
      </c>
      <c r="C19" s="7" t="s">
        <v>23</v>
      </c>
      <c r="D19" s="5" t="s">
        <v>31</v>
      </c>
      <c r="E19" s="5" t="s">
        <v>32</v>
      </c>
      <c r="F19" s="5" t="s">
        <v>25</v>
      </c>
      <c r="G19" s="5" t="s">
        <v>33</v>
      </c>
      <c r="H19" s="9">
        <v>40000</v>
      </c>
      <c r="I19" s="10">
        <v>49000</v>
      </c>
      <c r="J19" s="10">
        <v>86238</v>
      </c>
      <c r="K19" s="11">
        <v>45292</v>
      </c>
      <c r="L19" s="9">
        <v>45000</v>
      </c>
      <c r="M19" s="17" t="s">
        <v>104</v>
      </c>
    </row>
    <row r="20" spans="1:13" x14ac:dyDescent="0.35">
      <c r="A20" s="5">
        <v>9</v>
      </c>
      <c r="B20" s="16" t="s">
        <v>22</v>
      </c>
      <c r="C20" s="7" t="s">
        <v>23</v>
      </c>
      <c r="D20" s="5">
        <v>591</v>
      </c>
      <c r="E20" s="5" t="s">
        <v>24</v>
      </c>
      <c r="F20" s="5" t="s">
        <v>25</v>
      </c>
      <c r="G20" s="44" t="s">
        <v>105</v>
      </c>
      <c r="H20" s="9">
        <v>8000</v>
      </c>
      <c r="I20" s="10">
        <v>39174</v>
      </c>
      <c r="J20" s="10">
        <v>48789</v>
      </c>
      <c r="K20" s="11">
        <v>45310</v>
      </c>
      <c r="L20" s="9">
        <v>10000</v>
      </c>
      <c r="M20" s="17" t="s">
        <v>96</v>
      </c>
    </row>
    <row r="21" spans="1:13" x14ac:dyDescent="0.35">
      <c r="A21" s="5">
        <v>10</v>
      </c>
      <c r="B21" s="6" t="s">
        <v>34</v>
      </c>
      <c r="C21" s="14" t="s">
        <v>23</v>
      </c>
      <c r="D21" s="15">
        <v>1149</v>
      </c>
      <c r="E21" s="15" t="s">
        <v>24</v>
      </c>
      <c r="F21" s="15" t="s">
        <v>25</v>
      </c>
      <c r="G21" s="13" t="s">
        <v>35</v>
      </c>
      <c r="H21" s="9">
        <v>8000</v>
      </c>
      <c r="I21" s="10">
        <v>8500</v>
      </c>
      <c r="J21" s="10">
        <v>18533</v>
      </c>
      <c r="K21" s="11">
        <v>45265</v>
      </c>
      <c r="L21" s="9">
        <v>8000</v>
      </c>
      <c r="M21" s="12" t="s">
        <v>52</v>
      </c>
    </row>
    <row r="22" spans="1:13" x14ac:dyDescent="0.35">
      <c r="A22" s="5">
        <v>11</v>
      </c>
      <c r="B22" s="6" t="s">
        <v>36</v>
      </c>
      <c r="C22" s="14" t="s">
        <v>23</v>
      </c>
      <c r="D22" s="15">
        <v>1311</v>
      </c>
      <c r="E22" s="5" t="s">
        <v>24</v>
      </c>
      <c r="F22" s="15" t="s">
        <v>25</v>
      </c>
      <c r="G22" s="13" t="s">
        <v>37</v>
      </c>
      <c r="H22" s="9">
        <v>4000</v>
      </c>
      <c r="I22" s="10">
        <v>12794</v>
      </c>
      <c r="J22" s="10">
        <v>13794</v>
      </c>
      <c r="K22" s="11">
        <v>45310</v>
      </c>
      <c r="L22" s="9">
        <v>4000</v>
      </c>
      <c r="M22" s="12" t="s">
        <v>29</v>
      </c>
    </row>
    <row r="23" spans="1:13" x14ac:dyDescent="0.35">
      <c r="A23" s="5">
        <v>12</v>
      </c>
      <c r="B23" s="6" t="s">
        <v>38</v>
      </c>
      <c r="C23" s="7" t="s">
        <v>23</v>
      </c>
      <c r="D23" s="8" t="s">
        <v>39</v>
      </c>
      <c r="E23" s="5" t="s">
        <v>24</v>
      </c>
      <c r="F23" s="5" t="s">
        <v>25</v>
      </c>
      <c r="G23" s="8" t="s">
        <v>40</v>
      </c>
      <c r="H23" s="9">
        <v>5000</v>
      </c>
      <c r="I23" s="10">
        <v>9059</v>
      </c>
      <c r="J23" s="10">
        <v>10596</v>
      </c>
      <c r="K23" s="11">
        <v>45310</v>
      </c>
      <c r="L23" s="9">
        <v>5000</v>
      </c>
      <c r="M23" s="12" t="s">
        <v>29</v>
      </c>
    </row>
    <row r="24" spans="1:13" x14ac:dyDescent="0.35">
      <c r="A24" s="5">
        <v>13</v>
      </c>
      <c r="B24" s="6" t="s">
        <v>41</v>
      </c>
      <c r="C24" s="7" t="s">
        <v>42</v>
      </c>
      <c r="D24" s="8" t="s">
        <v>43</v>
      </c>
      <c r="E24" s="5" t="s">
        <v>24</v>
      </c>
      <c r="F24" s="5" t="s">
        <v>44</v>
      </c>
      <c r="G24" s="5">
        <v>24024723</v>
      </c>
      <c r="H24" s="9">
        <v>30000</v>
      </c>
      <c r="I24" s="42">
        <v>27431</v>
      </c>
      <c r="J24" s="42" t="s">
        <v>97</v>
      </c>
      <c r="K24" s="11">
        <v>45312</v>
      </c>
      <c r="L24" s="9">
        <v>30000</v>
      </c>
      <c r="M24" s="12" t="s">
        <v>45</v>
      </c>
    </row>
    <row r="25" spans="1:13" x14ac:dyDescent="0.35">
      <c r="A25" s="386" t="s">
        <v>8</v>
      </c>
      <c r="B25" s="386"/>
      <c r="C25" s="386"/>
      <c r="D25" s="386"/>
      <c r="E25" s="386"/>
      <c r="F25" s="386"/>
      <c r="G25" s="386"/>
      <c r="H25" s="23">
        <f>SUM(H12:H24)</f>
        <v>147000</v>
      </c>
      <c r="I25" s="24"/>
      <c r="J25" s="25"/>
      <c r="K25" s="43"/>
      <c r="L25" s="26"/>
      <c r="M25" s="26"/>
    </row>
    <row r="26" spans="1:13" x14ac:dyDescent="0.35">
      <c r="A26" s="26"/>
      <c r="B26" s="26"/>
      <c r="C26" s="26"/>
      <c r="D26" s="26"/>
      <c r="E26" s="26"/>
      <c r="F26" s="26"/>
      <c r="G26" s="26"/>
      <c r="H26" s="26"/>
      <c r="I26" s="26"/>
      <c r="J26" s="26"/>
      <c r="K26" s="26"/>
      <c r="L26" s="26"/>
      <c r="M26" s="26"/>
    </row>
    <row r="27" spans="1:13" x14ac:dyDescent="0.35">
      <c r="A27" s="26"/>
      <c r="B27" s="26" t="s">
        <v>122</v>
      </c>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50"/>
      <c r="D30" s="26"/>
      <c r="E30" s="407" t="s">
        <v>67</v>
      </c>
      <c r="F30" s="407"/>
      <c r="G30" s="49"/>
      <c r="H30" s="49"/>
      <c r="I30" s="408"/>
      <c r="J30" s="408"/>
      <c r="K30" s="28"/>
      <c r="L30" s="29"/>
      <c r="M30" s="29"/>
    </row>
    <row r="31" spans="1:13" ht="15" thickTop="1" x14ac:dyDescent="0.35">
      <c r="A31" s="421" t="s">
        <v>69</v>
      </c>
      <c r="B31" s="421"/>
      <c r="C31" s="29" t="s">
        <v>113</v>
      </c>
      <c r="D31" s="30"/>
      <c r="E31" s="410" t="s">
        <v>70</v>
      </c>
      <c r="F31" s="410"/>
      <c r="G31" s="410" t="s">
        <v>71</v>
      </c>
      <c r="H31" s="410"/>
      <c r="I31" s="29"/>
      <c r="J31" s="29"/>
      <c r="K31" s="29" t="s">
        <v>72</v>
      </c>
      <c r="L31" s="31"/>
      <c r="M31" s="31"/>
    </row>
    <row r="32" spans="1:13" x14ac:dyDescent="0.35">
      <c r="A32" s="414" t="s">
        <v>92</v>
      </c>
      <c r="B32" s="414"/>
      <c r="C32" s="32" t="s">
        <v>7</v>
      </c>
      <c r="D32" s="32"/>
      <c r="E32" s="414" t="s">
        <v>73</v>
      </c>
      <c r="F32" s="414"/>
      <c r="G32" s="414" t="s">
        <v>74</v>
      </c>
      <c r="H32" s="414"/>
      <c r="I32" s="31"/>
      <c r="J32" s="31"/>
      <c r="K32" s="31" t="s">
        <v>75</v>
      </c>
      <c r="L32" s="33"/>
      <c r="M32" s="33"/>
    </row>
    <row r="33" spans="1:13" x14ac:dyDescent="0.35">
      <c r="A33" s="412" t="s">
        <v>94</v>
      </c>
      <c r="B33" s="412"/>
      <c r="C33" s="34" t="s">
        <v>77</v>
      </c>
      <c r="D33" s="34"/>
      <c r="E33" s="414" t="s">
        <v>78</v>
      </c>
      <c r="F33" s="414"/>
      <c r="G33" s="412" t="s">
        <v>79</v>
      </c>
      <c r="H33" s="412"/>
      <c r="I33" s="33"/>
      <c r="J33" s="33"/>
      <c r="K33" s="33" t="s">
        <v>80</v>
      </c>
      <c r="L33" s="34"/>
      <c r="M33" s="34"/>
    </row>
    <row r="34" spans="1:13" x14ac:dyDescent="0.35">
      <c r="A34" s="412" t="s">
        <v>76</v>
      </c>
      <c r="B34" s="412"/>
      <c r="C34" s="34" t="s">
        <v>81</v>
      </c>
      <c r="D34" s="34"/>
      <c r="E34" s="412" t="s">
        <v>76</v>
      </c>
      <c r="F34" s="412"/>
      <c r="G34" s="412" t="s">
        <v>76</v>
      </c>
      <c r="H34" s="412"/>
      <c r="I34" s="33"/>
      <c r="J34" s="33"/>
      <c r="K34" s="33"/>
    </row>
    <row r="38" spans="1:13" x14ac:dyDescent="0.35">
      <c r="A38" s="417" t="s">
        <v>114</v>
      </c>
      <c r="B38" s="417"/>
    </row>
    <row r="39" spans="1:13" x14ac:dyDescent="0.35">
      <c r="A39" s="418" t="s">
        <v>115</v>
      </c>
      <c r="B39" s="418"/>
    </row>
    <row r="40" spans="1:13" x14ac:dyDescent="0.35">
      <c r="A40" s="416" t="s">
        <v>116</v>
      </c>
      <c r="B40" s="419"/>
    </row>
    <row r="41" spans="1:13" x14ac:dyDescent="0.35">
      <c r="A41" s="416" t="s">
        <v>117</v>
      </c>
      <c r="B41" s="416"/>
    </row>
  </sheetData>
  <mergeCells count="38">
    <mergeCell ref="A41:B41"/>
    <mergeCell ref="A34:B34"/>
    <mergeCell ref="E34:F34"/>
    <mergeCell ref="G34:H34"/>
    <mergeCell ref="A38:B38"/>
    <mergeCell ref="A39:B39"/>
    <mergeCell ref="A40:B40"/>
    <mergeCell ref="A32:B32"/>
    <mergeCell ref="E32:F32"/>
    <mergeCell ref="G32:H32"/>
    <mergeCell ref="A33:B33"/>
    <mergeCell ref="E33:F33"/>
    <mergeCell ref="G33:H33"/>
    <mergeCell ref="A30:B30"/>
    <mergeCell ref="E30:F30"/>
    <mergeCell ref="I30:J30"/>
    <mergeCell ref="A31:B31"/>
    <mergeCell ref="E31:F31"/>
    <mergeCell ref="G31:H31"/>
    <mergeCell ref="A25:G25"/>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5"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883A-126E-4EF9-8D27-7128DC437085}">
  <sheetPr codeName="Sheet5">
    <pageSetUpPr fitToPage="1"/>
  </sheetPr>
  <dimension ref="A1:L42"/>
  <sheetViews>
    <sheetView topLeftCell="A25" workbookViewId="0">
      <selection activeCell="B37" sqref="B37:B41"/>
    </sheetView>
  </sheetViews>
  <sheetFormatPr defaultRowHeight="14.5" x14ac:dyDescent="0.35"/>
  <cols>
    <col min="2" max="2" width="30" customWidth="1"/>
    <col min="3" max="3" width="19" customWidth="1"/>
    <col min="4" max="4" width="5.08984375" bestFit="1" customWidth="1"/>
    <col min="5" max="5" width="7.453125" customWidth="1"/>
    <col min="6" max="6" width="16.08984375" customWidth="1"/>
    <col min="7" max="7" width="13.54296875" customWidth="1"/>
    <col min="8" max="8" width="13.36328125" customWidth="1"/>
    <col min="9" max="9" width="9.26953125" customWidth="1"/>
    <col min="10" max="10" width="33.7265625" bestFit="1" customWidth="1"/>
    <col min="12" max="12" width="13.6328125" customWidth="1"/>
  </cols>
  <sheetData>
    <row r="1" spans="1:12" ht="19" x14ac:dyDescent="0.35">
      <c r="A1" s="402" t="s">
        <v>0</v>
      </c>
      <c r="B1" s="402"/>
      <c r="C1" s="402"/>
      <c r="D1" s="402"/>
      <c r="E1" s="402"/>
      <c r="F1" s="402"/>
      <c r="G1" s="402"/>
      <c r="H1" s="402"/>
      <c r="I1" s="402"/>
      <c r="J1" s="402"/>
      <c r="K1" s="402"/>
      <c r="L1" s="402"/>
    </row>
    <row r="2" spans="1:12" x14ac:dyDescent="0.35">
      <c r="A2" s="384" t="s">
        <v>1</v>
      </c>
      <c r="B2" s="385"/>
      <c r="C2" s="393" t="s">
        <v>2</v>
      </c>
      <c r="D2" s="394"/>
      <c r="E2" s="394"/>
      <c r="F2" s="394"/>
      <c r="G2" s="394"/>
      <c r="H2" s="394"/>
      <c r="I2" s="394"/>
      <c r="J2" s="394"/>
      <c r="K2" s="394"/>
      <c r="L2" s="395"/>
    </row>
    <row r="3" spans="1:12" x14ac:dyDescent="0.35">
      <c r="A3" s="384" t="s">
        <v>3</v>
      </c>
      <c r="B3" s="385"/>
      <c r="C3" s="384" t="s">
        <v>134</v>
      </c>
      <c r="D3" s="403"/>
      <c r="E3" s="403"/>
      <c r="F3" s="403"/>
      <c r="G3" s="403"/>
      <c r="H3" s="403"/>
      <c r="I3" s="403"/>
      <c r="J3" s="403"/>
      <c r="K3" s="403"/>
      <c r="L3" s="385"/>
    </row>
    <row r="4" spans="1:12" x14ac:dyDescent="0.35">
      <c r="A4" s="384" t="s">
        <v>4</v>
      </c>
      <c r="B4" s="385"/>
      <c r="C4" s="393" t="s">
        <v>118</v>
      </c>
      <c r="D4" s="394"/>
      <c r="E4" s="394"/>
      <c r="F4" s="394"/>
      <c r="G4" s="394"/>
      <c r="H4" s="394"/>
      <c r="I4" s="394"/>
      <c r="J4" s="394"/>
      <c r="K4" s="394"/>
      <c r="L4" s="395"/>
    </row>
    <row r="5" spans="1:12" x14ac:dyDescent="0.35">
      <c r="A5" s="384" t="s">
        <v>5</v>
      </c>
      <c r="B5" s="385"/>
      <c r="C5" s="387">
        <v>45344</v>
      </c>
      <c r="D5" s="388"/>
      <c r="E5" s="388"/>
      <c r="F5" s="388"/>
      <c r="G5" s="388"/>
      <c r="H5" s="388"/>
      <c r="I5" s="388"/>
      <c r="J5" s="388"/>
      <c r="K5" s="388"/>
      <c r="L5" s="389"/>
    </row>
    <row r="6" spans="1:12" x14ac:dyDescent="0.35">
      <c r="A6" s="384" t="s">
        <v>6</v>
      </c>
      <c r="B6" s="385"/>
      <c r="C6" s="390">
        <v>1703</v>
      </c>
      <c r="D6" s="391"/>
      <c r="E6" s="391"/>
      <c r="F6" s="391"/>
      <c r="G6" s="391"/>
      <c r="H6" s="391"/>
      <c r="I6" s="391"/>
      <c r="J6" s="391"/>
      <c r="K6" s="391"/>
      <c r="L6" s="392"/>
    </row>
    <row r="7" spans="1:12" x14ac:dyDescent="0.35">
      <c r="A7" s="384" t="s">
        <v>7</v>
      </c>
      <c r="B7" s="385"/>
      <c r="C7" s="393" t="s">
        <v>92</v>
      </c>
      <c r="D7" s="394"/>
      <c r="E7" s="394"/>
      <c r="F7" s="394"/>
      <c r="G7" s="394"/>
      <c r="H7" s="394"/>
      <c r="I7" s="394"/>
      <c r="J7" s="394"/>
      <c r="K7" s="394"/>
      <c r="L7" s="395"/>
    </row>
    <row r="8" spans="1:12" x14ac:dyDescent="0.35">
      <c r="A8" s="384" t="s">
        <v>8</v>
      </c>
      <c r="B8" s="385"/>
      <c r="C8" s="396">
        <f>H13</f>
        <v>5000</v>
      </c>
      <c r="D8" s="397"/>
      <c r="E8" s="397"/>
      <c r="F8" s="397"/>
      <c r="G8" s="397"/>
      <c r="H8" s="397"/>
      <c r="I8" s="397"/>
      <c r="J8" s="397"/>
      <c r="K8" s="397"/>
      <c r="L8" s="398"/>
    </row>
    <row r="9" spans="1:12" x14ac:dyDescent="0.35">
      <c r="A9" s="384"/>
      <c r="B9" s="385"/>
      <c r="C9" s="399"/>
      <c r="D9" s="400"/>
      <c r="E9" s="400"/>
      <c r="F9" s="400"/>
      <c r="G9" s="400"/>
      <c r="H9" s="400"/>
      <c r="I9" s="400"/>
      <c r="J9" s="400"/>
      <c r="K9" s="400"/>
      <c r="L9" s="401"/>
    </row>
    <row r="10" spans="1:12" x14ac:dyDescent="0.35">
      <c r="A10" s="404" t="s">
        <v>9</v>
      </c>
      <c r="B10" s="405"/>
      <c r="C10" s="405"/>
      <c r="D10" s="405"/>
      <c r="E10" s="405"/>
      <c r="F10" s="405"/>
      <c r="G10" s="405"/>
      <c r="H10" s="405"/>
      <c r="I10" s="405"/>
      <c r="J10" s="405"/>
      <c r="K10" s="405"/>
      <c r="L10" s="406"/>
    </row>
    <row r="11" spans="1:12" ht="54" x14ac:dyDescent="0.35">
      <c r="A11" s="1" t="s">
        <v>10</v>
      </c>
      <c r="B11" s="2" t="s">
        <v>11</v>
      </c>
      <c r="C11" s="2" t="s">
        <v>12</v>
      </c>
      <c r="D11" s="2" t="s">
        <v>13</v>
      </c>
      <c r="E11" s="2" t="s">
        <v>14</v>
      </c>
      <c r="F11" s="3" t="s">
        <v>15</v>
      </c>
      <c r="G11" s="3" t="s">
        <v>16</v>
      </c>
      <c r="H11" s="3" t="s">
        <v>17</v>
      </c>
      <c r="I11" s="3" t="s">
        <v>18</v>
      </c>
      <c r="J11" s="3" t="s">
        <v>19</v>
      </c>
      <c r="K11" s="3" t="s">
        <v>20</v>
      </c>
      <c r="L11" s="4" t="s">
        <v>21</v>
      </c>
    </row>
    <row r="12" spans="1:12" x14ac:dyDescent="0.35">
      <c r="A12" s="5">
        <v>1</v>
      </c>
      <c r="B12" s="19" t="s">
        <v>135</v>
      </c>
      <c r="C12" s="20" t="s">
        <v>86</v>
      </c>
      <c r="D12" s="53" t="s">
        <v>136</v>
      </c>
      <c r="E12" s="22" t="s">
        <v>64</v>
      </c>
      <c r="F12" s="5" t="s">
        <v>130</v>
      </c>
      <c r="G12" s="53" t="s">
        <v>137</v>
      </c>
      <c r="H12" s="9">
        <v>5000</v>
      </c>
      <c r="I12" s="10">
        <v>4809</v>
      </c>
      <c r="J12" s="11">
        <v>45333</v>
      </c>
      <c r="K12" s="9"/>
      <c r="L12" s="17" t="s">
        <v>132</v>
      </c>
    </row>
    <row r="13" spans="1:12" x14ac:dyDescent="0.35">
      <c r="A13" s="386" t="s">
        <v>8</v>
      </c>
      <c r="B13" s="386"/>
      <c r="C13" s="386"/>
      <c r="D13" s="386"/>
      <c r="E13" s="386"/>
      <c r="F13" s="386"/>
      <c r="G13" s="386"/>
      <c r="H13" s="23">
        <f>SUM(H12:H12)</f>
        <v>5000</v>
      </c>
      <c r="I13" s="25"/>
      <c r="J13" s="43"/>
      <c r="K13" s="26"/>
      <c r="L13" s="26"/>
    </row>
    <row r="14" spans="1:12" x14ac:dyDescent="0.35">
      <c r="A14" s="26"/>
      <c r="B14" s="26"/>
      <c r="C14" s="26"/>
      <c r="D14" s="26"/>
      <c r="E14" s="26"/>
      <c r="F14" s="26"/>
      <c r="G14" s="26"/>
      <c r="H14" s="26"/>
      <c r="I14" s="26"/>
      <c r="J14" s="26"/>
      <c r="K14" s="26"/>
      <c r="L14" s="26"/>
    </row>
    <row r="15" spans="1:12" x14ac:dyDescent="0.35">
      <c r="A15" s="26"/>
      <c r="B15" s="26" t="s">
        <v>138</v>
      </c>
      <c r="C15" s="26"/>
      <c r="D15" s="26"/>
      <c r="E15" s="26"/>
      <c r="F15" s="26"/>
      <c r="G15" s="26"/>
      <c r="H15" s="26"/>
      <c r="I15" s="26"/>
      <c r="J15" s="26"/>
      <c r="K15" s="26"/>
      <c r="L15" s="26"/>
    </row>
    <row r="16" spans="1:12"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row r="20" spans="1:12" x14ac:dyDescent="0.35">
      <c r="A20" s="26"/>
      <c r="B20" s="26"/>
      <c r="C20" s="26"/>
      <c r="D20" s="26"/>
      <c r="E20" s="26"/>
      <c r="F20" s="26"/>
      <c r="G20" s="26"/>
      <c r="H20" s="26"/>
      <c r="I20" s="26"/>
      <c r="J20" s="26"/>
      <c r="K20" s="26"/>
      <c r="L20" s="26"/>
    </row>
    <row r="21" spans="1:12" x14ac:dyDescent="0.35">
      <c r="A21" s="26"/>
      <c r="B21" s="26"/>
      <c r="C21" s="26"/>
      <c r="D21" s="26"/>
      <c r="E21" s="26"/>
      <c r="F21" s="26"/>
      <c r="G21" s="26"/>
      <c r="H21" s="26"/>
      <c r="I21" s="26"/>
      <c r="J21" s="26"/>
      <c r="K21" s="26"/>
      <c r="L21" s="26"/>
    </row>
    <row r="22" spans="1:12" ht="15" thickBot="1" x14ac:dyDescent="0.4">
      <c r="A22" s="420" t="s">
        <v>66</v>
      </c>
      <c r="B22" s="420"/>
      <c r="C22" s="50"/>
      <c r="D22" s="26"/>
      <c r="E22" s="407" t="s">
        <v>67</v>
      </c>
      <c r="F22" s="407"/>
      <c r="G22" s="49"/>
      <c r="H22" s="49"/>
      <c r="I22" s="28"/>
      <c r="J22" s="28"/>
      <c r="K22" s="29"/>
      <c r="L22" s="29"/>
    </row>
    <row r="23" spans="1:12" ht="15" thickTop="1" x14ac:dyDescent="0.35">
      <c r="A23" s="421" t="s">
        <v>69</v>
      </c>
      <c r="B23" s="421"/>
      <c r="C23" s="29" t="s">
        <v>113</v>
      </c>
      <c r="D23" s="30"/>
      <c r="E23" s="410" t="s">
        <v>70</v>
      </c>
      <c r="F23" s="410"/>
      <c r="G23" s="410" t="s">
        <v>71</v>
      </c>
      <c r="H23" s="410"/>
      <c r="I23" s="29"/>
      <c r="J23" s="29" t="s">
        <v>72</v>
      </c>
      <c r="K23" s="31"/>
      <c r="L23" s="31"/>
    </row>
    <row r="24" spans="1:12" x14ac:dyDescent="0.35">
      <c r="A24" s="414" t="s">
        <v>92</v>
      </c>
      <c r="B24" s="414"/>
      <c r="C24" s="32" t="s">
        <v>7</v>
      </c>
      <c r="D24" s="32"/>
      <c r="E24" s="414" t="s">
        <v>73</v>
      </c>
      <c r="F24" s="414"/>
      <c r="G24" s="414" t="s">
        <v>74</v>
      </c>
      <c r="H24" s="414"/>
      <c r="I24" s="31"/>
      <c r="J24" s="31" t="s">
        <v>75</v>
      </c>
      <c r="K24" s="33"/>
      <c r="L24" s="33"/>
    </row>
    <row r="25" spans="1:12" x14ac:dyDescent="0.35">
      <c r="A25" s="412" t="s">
        <v>94</v>
      </c>
      <c r="B25" s="412"/>
      <c r="C25" s="34" t="s">
        <v>77</v>
      </c>
      <c r="D25" s="34"/>
      <c r="E25" s="414" t="s">
        <v>78</v>
      </c>
      <c r="F25" s="414"/>
      <c r="G25" s="412" t="s">
        <v>79</v>
      </c>
      <c r="H25" s="412"/>
      <c r="I25" s="33"/>
      <c r="J25" s="33" t="s">
        <v>80</v>
      </c>
      <c r="K25" s="34"/>
      <c r="L25" s="34"/>
    </row>
    <row r="26" spans="1:12" x14ac:dyDescent="0.35">
      <c r="A26" s="412" t="s">
        <v>76</v>
      </c>
      <c r="B26" s="412"/>
      <c r="C26" s="34" t="s">
        <v>81</v>
      </c>
      <c r="D26" s="34"/>
      <c r="E26" s="412" t="s">
        <v>76</v>
      </c>
      <c r="F26" s="412"/>
      <c r="G26" s="412" t="s">
        <v>76</v>
      </c>
      <c r="H26" s="412"/>
      <c r="I26" s="33"/>
      <c r="J26" s="33"/>
    </row>
    <row r="30" spans="1:12" x14ac:dyDescent="0.35">
      <c r="A30" s="417" t="s">
        <v>114</v>
      </c>
      <c r="B30" s="417"/>
    </row>
    <row r="31" spans="1:12" x14ac:dyDescent="0.35">
      <c r="A31" s="418" t="s">
        <v>115</v>
      </c>
      <c r="B31" s="418"/>
    </row>
    <row r="32" spans="1:12" x14ac:dyDescent="0.35">
      <c r="A32" s="416" t="s">
        <v>116</v>
      </c>
      <c r="B32" s="419"/>
    </row>
    <row r="33" spans="1:2" x14ac:dyDescent="0.35">
      <c r="A33" s="416" t="s">
        <v>117</v>
      </c>
      <c r="B33" s="416"/>
    </row>
    <row r="36" spans="1:2" ht="15" thickBot="1" x14ac:dyDescent="0.4"/>
    <row r="37" spans="1:2" ht="15.5" thickTop="1" thickBot="1" x14ac:dyDescent="0.4">
      <c r="B37" s="56" t="s">
        <v>139</v>
      </c>
    </row>
    <row r="38" spans="1:2" ht="15" thickTop="1" x14ac:dyDescent="0.35">
      <c r="B38" s="54" t="s">
        <v>143</v>
      </c>
    </row>
    <row r="39" spans="1:2" x14ac:dyDescent="0.35">
      <c r="B39" s="54" t="s">
        <v>142</v>
      </c>
    </row>
    <row r="40" spans="1:2" x14ac:dyDescent="0.35">
      <c r="B40" s="54" t="s">
        <v>140</v>
      </c>
    </row>
    <row r="41" spans="1:2" ht="15" thickBot="1" x14ac:dyDescent="0.4">
      <c r="B41" s="55" t="s">
        <v>141</v>
      </c>
    </row>
    <row r="42" spans="1:2" ht="15" thickTop="1" x14ac:dyDescent="0.35"/>
  </sheetData>
  <mergeCells count="37">
    <mergeCell ref="A33:B33"/>
    <mergeCell ref="A26:B26"/>
    <mergeCell ref="E26:F26"/>
    <mergeCell ref="G26:H26"/>
    <mergeCell ref="A30:B30"/>
    <mergeCell ref="A31:B31"/>
    <mergeCell ref="A32:B32"/>
    <mergeCell ref="A24:B24"/>
    <mergeCell ref="E24:F24"/>
    <mergeCell ref="G24:H24"/>
    <mergeCell ref="A25:B25"/>
    <mergeCell ref="E25:F25"/>
    <mergeCell ref="G25:H25"/>
    <mergeCell ref="A22:B22"/>
    <mergeCell ref="E22:F22"/>
    <mergeCell ref="A23:B23"/>
    <mergeCell ref="E23:F23"/>
    <mergeCell ref="G23:H23"/>
    <mergeCell ref="A13:G13"/>
    <mergeCell ref="A5:B5"/>
    <mergeCell ref="C5:L5"/>
    <mergeCell ref="A6:B6"/>
    <mergeCell ref="C6:L6"/>
    <mergeCell ref="A7:B7"/>
    <mergeCell ref="C7:L7"/>
    <mergeCell ref="A8:B8"/>
    <mergeCell ref="C8:L8"/>
    <mergeCell ref="A9:B9"/>
    <mergeCell ref="C9:L9"/>
    <mergeCell ref="A10:L10"/>
    <mergeCell ref="A4:B4"/>
    <mergeCell ref="C4:L4"/>
    <mergeCell ref="A1:L1"/>
    <mergeCell ref="A2:B2"/>
    <mergeCell ref="C2:L2"/>
    <mergeCell ref="A3:B3"/>
    <mergeCell ref="C3:L3"/>
  </mergeCells>
  <pageMargins left="0.25" right="0.25" top="0.75" bottom="0.75" header="0.3" footer="0.3"/>
  <pageSetup scale="74"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B7E2-79AF-40C5-9983-532952CA2EFF}">
  <sheetPr codeName="Sheet6">
    <pageSetUpPr fitToPage="1"/>
  </sheetPr>
  <dimension ref="A1:M42"/>
  <sheetViews>
    <sheetView topLeftCell="A14" workbookViewId="0">
      <selection activeCell="B21" sqref="B21:G21"/>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150</v>
      </c>
      <c r="D3" s="403"/>
      <c r="E3" s="403"/>
      <c r="F3" s="403"/>
      <c r="G3" s="403"/>
      <c r="H3" s="403"/>
      <c r="I3" s="403"/>
      <c r="J3" s="403"/>
      <c r="K3" s="403"/>
      <c r="L3" s="403"/>
      <c r="M3" s="385"/>
    </row>
    <row r="4" spans="1:13" x14ac:dyDescent="0.35">
      <c r="A4" s="384" t="s">
        <v>4</v>
      </c>
      <c r="B4" s="385"/>
      <c r="C4" s="393" t="s">
        <v>151</v>
      </c>
      <c r="D4" s="394"/>
      <c r="E4" s="394"/>
      <c r="F4" s="394"/>
      <c r="G4" s="394"/>
      <c r="H4" s="394"/>
      <c r="I4" s="394"/>
      <c r="J4" s="394"/>
      <c r="K4" s="394"/>
      <c r="L4" s="394"/>
      <c r="M4" s="395"/>
    </row>
    <row r="5" spans="1:13" x14ac:dyDescent="0.35">
      <c r="A5" s="384" t="s">
        <v>5</v>
      </c>
      <c r="B5" s="385"/>
      <c r="C5" s="387">
        <v>45370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H26</f>
        <v>291000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81" x14ac:dyDescent="0.35">
      <c r="A11" s="1" t="s">
        <v>10</v>
      </c>
      <c r="B11" s="2" t="s">
        <v>11</v>
      </c>
      <c r="C11" s="2" t="s">
        <v>12</v>
      </c>
      <c r="D11" s="2" t="s">
        <v>13</v>
      </c>
      <c r="E11" s="2" t="s">
        <v>14</v>
      </c>
      <c r="F11" s="3" t="s">
        <v>15</v>
      </c>
      <c r="G11" s="3" t="s">
        <v>16</v>
      </c>
      <c r="H11" s="3" t="s">
        <v>17</v>
      </c>
      <c r="I11" s="3" t="s">
        <v>153</v>
      </c>
      <c r="J11" s="3" t="s">
        <v>18</v>
      </c>
      <c r="K11" s="3" t="s">
        <v>19</v>
      </c>
      <c r="L11" s="3" t="s">
        <v>20</v>
      </c>
      <c r="M11" s="4" t="s">
        <v>21</v>
      </c>
    </row>
    <row r="12" spans="1:13" x14ac:dyDescent="0.35">
      <c r="A12" s="5">
        <v>1</v>
      </c>
      <c r="B12" s="19" t="s">
        <v>119</v>
      </c>
      <c r="C12" s="20" t="s">
        <v>49</v>
      </c>
      <c r="D12" s="21" t="s">
        <v>63</v>
      </c>
      <c r="E12" s="22" t="s">
        <v>64</v>
      </c>
      <c r="F12" s="5" t="s">
        <v>25</v>
      </c>
      <c r="G12" s="21" t="s">
        <v>65</v>
      </c>
      <c r="H12" s="9">
        <v>80000</v>
      </c>
      <c r="I12" s="10">
        <v>38541</v>
      </c>
      <c r="J12" s="10">
        <v>52640</v>
      </c>
      <c r="K12" s="11">
        <v>45355</v>
      </c>
      <c r="L12" s="9">
        <v>55000</v>
      </c>
      <c r="M12" s="17" t="s">
        <v>152</v>
      </c>
    </row>
    <row r="13" spans="1:13" x14ac:dyDescent="0.35">
      <c r="A13" s="5">
        <v>2</v>
      </c>
      <c r="B13" s="16" t="s">
        <v>48</v>
      </c>
      <c r="C13" s="7" t="s">
        <v>49</v>
      </c>
      <c r="D13" s="8" t="s">
        <v>50</v>
      </c>
      <c r="E13" s="5" t="s">
        <v>24</v>
      </c>
      <c r="F13" s="5" t="s">
        <v>25</v>
      </c>
      <c r="G13" s="8" t="s">
        <v>51</v>
      </c>
      <c r="H13" s="9">
        <v>15000</v>
      </c>
      <c r="I13" s="10">
        <v>9891</v>
      </c>
      <c r="J13" s="10">
        <v>10663</v>
      </c>
      <c r="K13" s="11">
        <v>45360</v>
      </c>
      <c r="L13" s="9">
        <v>10000</v>
      </c>
      <c r="M13" s="17" t="s">
        <v>52</v>
      </c>
    </row>
    <row r="14" spans="1:13" x14ac:dyDescent="0.35">
      <c r="A14" s="5">
        <v>3</v>
      </c>
      <c r="B14" s="16" t="s">
        <v>53</v>
      </c>
      <c r="C14" s="7" t="s">
        <v>49</v>
      </c>
      <c r="D14" s="8" t="s">
        <v>54</v>
      </c>
      <c r="E14" s="5" t="s">
        <v>24</v>
      </c>
      <c r="F14" s="5" t="s">
        <v>25</v>
      </c>
      <c r="G14" s="8" t="s">
        <v>55</v>
      </c>
      <c r="H14" s="9">
        <v>15000</v>
      </c>
      <c r="I14" s="10">
        <v>11906</v>
      </c>
      <c r="J14" s="10">
        <v>11906</v>
      </c>
      <c r="K14" s="11">
        <v>45366</v>
      </c>
      <c r="L14" s="9">
        <v>5000</v>
      </c>
      <c r="M14" s="17" t="s">
        <v>29</v>
      </c>
    </row>
    <row r="15" spans="1:13" x14ac:dyDescent="0.35">
      <c r="A15" s="5">
        <v>4</v>
      </c>
      <c r="B15" s="16" t="s">
        <v>56</v>
      </c>
      <c r="C15" s="7" t="s">
        <v>49</v>
      </c>
      <c r="D15" s="8" t="s">
        <v>57</v>
      </c>
      <c r="E15" s="5" t="s">
        <v>24</v>
      </c>
      <c r="F15" s="5" t="s">
        <v>25</v>
      </c>
      <c r="G15" s="8" t="s">
        <v>58</v>
      </c>
      <c r="H15" s="9">
        <v>15000</v>
      </c>
      <c r="I15" s="10">
        <v>8681</v>
      </c>
      <c r="J15" s="10">
        <v>8681</v>
      </c>
      <c r="K15" s="11">
        <v>45366</v>
      </c>
      <c r="L15" s="9">
        <v>2000</v>
      </c>
      <c r="M15" s="17" t="s">
        <v>101</v>
      </c>
    </row>
    <row r="16" spans="1:13" x14ac:dyDescent="0.35">
      <c r="A16" s="5">
        <v>5</v>
      </c>
      <c r="B16" s="16" t="s">
        <v>59</v>
      </c>
      <c r="C16" s="7" t="s">
        <v>49</v>
      </c>
      <c r="D16" s="8" t="s">
        <v>60</v>
      </c>
      <c r="E16" s="5" t="s">
        <v>24</v>
      </c>
      <c r="F16" s="5" t="s">
        <v>25</v>
      </c>
      <c r="G16" s="8" t="s">
        <v>61</v>
      </c>
      <c r="H16" s="9">
        <v>16000</v>
      </c>
      <c r="I16" s="10">
        <v>12225</v>
      </c>
      <c r="J16" s="10">
        <v>12225</v>
      </c>
      <c r="K16" s="11">
        <v>45361</v>
      </c>
      <c r="L16" s="9">
        <v>2000</v>
      </c>
      <c r="M16" s="17" t="s">
        <v>52</v>
      </c>
    </row>
    <row r="17" spans="1:13" x14ac:dyDescent="0.35">
      <c r="A17" s="5">
        <v>6</v>
      </c>
      <c r="B17" s="16" t="s">
        <v>46</v>
      </c>
      <c r="C17" s="7" t="s">
        <v>23</v>
      </c>
      <c r="D17" s="5" t="s">
        <v>47</v>
      </c>
      <c r="E17" s="5" t="s">
        <v>24</v>
      </c>
      <c r="F17" s="5" t="s">
        <v>25</v>
      </c>
      <c r="G17" s="44" t="s">
        <v>102</v>
      </c>
      <c r="H17" s="9">
        <v>16000</v>
      </c>
      <c r="I17" s="10">
        <v>10712</v>
      </c>
      <c r="J17" s="10">
        <v>10712</v>
      </c>
      <c r="K17" s="11">
        <v>45361</v>
      </c>
      <c r="L17" s="9">
        <v>10000</v>
      </c>
      <c r="M17" s="17" t="s">
        <v>101</v>
      </c>
    </row>
    <row r="18" spans="1:13" x14ac:dyDescent="0.35">
      <c r="A18" s="5">
        <v>7</v>
      </c>
      <c r="B18" s="6" t="s">
        <v>26</v>
      </c>
      <c r="C18" s="7" t="s">
        <v>23</v>
      </c>
      <c r="D18" s="8" t="s">
        <v>27</v>
      </c>
      <c r="E18" s="5" t="s">
        <v>24</v>
      </c>
      <c r="F18" s="5" t="s">
        <v>25</v>
      </c>
      <c r="G18" s="13" t="s">
        <v>28</v>
      </c>
      <c r="H18" s="9">
        <v>12000</v>
      </c>
      <c r="I18" s="10">
        <v>11444</v>
      </c>
      <c r="J18" s="10">
        <v>11744</v>
      </c>
      <c r="K18" s="11">
        <v>45361</v>
      </c>
      <c r="L18" s="9">
        <v>8000</v>
      </c>
      <c r="M18" s="12" t="s">
        <v>154</v>
      </c>
    </row>
    <row r="19" spans="1:13" x14ac:dyDescent="0.35">
      <c r="A19" s="5">
        <v>8</v>
      </c>
      <c r="B19" s="16" t="s">
        <v>30</v>
      </c>
      <c r="C19" s="7" t="s">
        <v>23</v>
      </c>
      <c r="D19" s="5" t="s">
        <v>31</v>
      </c>
      <c r="E19" s="5" t="s">
        <v>32</v>
      </c>
      <c r="F19" s="5" t="s">
        <v>25</v>
      </c>
      <c r="G19" s="5" t="s">
        <v>33</v>
      </c>
      <c r="H19" s="9">
        <v>42000</v>
      </c>
      <c r="I19" s="10">
        <v>55000</v>
      </c>
      <c r="J19" s="10">
        <v>77220</v>
      </c>
      <c r="K19" s="11">
        <v>45356</v>
      </c>
      <c r="L19" s="9">
        <v>35000</v>
      </c>
      <c r="M19" s="17" t="s">
        <v>104</v>
      </c>
    </row>
    <row r="20" spans="1:13" x14ac:dyDescent="0.35">
      <c r="A20" s="5">
        <v>9</v>
      </c>
      <c r="B20" s="16" t="s">
        <v>22</v>
      </c>
      <c r="C20" s="7" t="s">
        <v>23</v>
      </c>
      <c r="D20" s="5">
        <v>591</v>
      </c>
      <c r="E20" s="5" t="s">
        <v>24</v>
      </c>
      <c r="F20" s="5" t="s">
        <v>25</v>
      </c>
      <c r="G20" s="44" t="s">
        <v>105</v>
      </c>
      <c r="H20" s="9">
        <v>12000</v>
      </c>
      <c r="I20" s="10">
        <v>34874</v>
      </c>
      <c r="J20" s="10">
        <v>41474</v>
      </c>
      <c r="K20" s="11">
        <v>45359</v>
      </c>
      <c r="L20" s="9">
        <v>6000</v>
      </c>
      <c r="M20" s="17" t="s">
        <v>96</v>
      </c>
    </row>
    <row r="21" spans="1:13" x14ac:dyDescent="0.35">
      <c r="A21" s="5">
        <v>10</v>
      </c>
      <c r="B21" s="6" t="s">
        <v>34</v>
      </c>
      <c r="C21" s="14" t="s">
        <v>23</v>
      </c>
      <c r="D21" s="15">
        <v>1149</v>
      </c>
      <c r="E21" s="15" t="s">
        <v>24</v>
      </c>
      <c r="F21" s="15" t="s">
        <v>25</v>
      </c>
      <c r="G21" s="13" t="s">
        <v>35</v>
      </c>
      <c r="H21" s="9">
        <v>12000</v>
      </c>
      <c r="I21" s="10">
        <v>10167</v>
      </c>
      <c r="J21" s="10">
        <v>19156</v>
      </c>
      <c r="K21" s="11">
        <v>44969</v>
      </c>
      <c r="L21" s="9">
        <v>8000</v>
      </c>
      <c r="M21" s="12" t="s">
        <v>29</v>
      </c>
    </row>
    <row r="22" spans="1:13" x14ac:dyDescent="0.35">
      <c r="A22" s="5">
        <v>11</v>
      </c>
      <c r="B22" s="6" t="s">
        <v>36</v>
      </c>
      <c r="C22" s="14" t="s">
        <v>23</v>
      </c>
      <c r="D22" s="15">
        <v>1311</v>
      </c>
      <c r="E22" s="5" t="s">
        <v>24</v>
      </c>
      <c r="F22" s="15" t="s">
        <v>25</v>
      </c>
      <c r="G22" s="13" t="s">
        <v>37</v>
      </c>
      <c r="H22" s="9">
        <v>8000</v>
      </c>
      <c r="I22" s="10">
        <v>13267</v>
      </c>
      <c r="J22" s="10">
        <v>15667</v>
      </c>
      <c r="K22" s="11">
        <v>45359</v>
      </c>
      <c r="L22" s="9">
        <v>4000</v>
      </c>
      <c r="M22" s="12" t="s">
        <v>154</v>
      </c>
    </row>
    <row r="23" spans="1:13" x14ac:dyDescent="0.35">
      <c r="A23" s="5">
        <v>12</v>
      </c>
      <c r="B23" s="6" t="s">
        <v>38</v>
      </c>
      <c r="C23" s="7" t="s">
        <v>23</v>
      </c>
      <c r="D23" s="8" t="s">
        <v>39</v>
      </c>
      <c r="E23" s="5" t="s">
        <v>24</v>
      </c>
      <c r="F23" s="5" t="s">
        <v>25</v>
      </c>
      <c r="G23" s="8" t="s">
        <v>40</v>
      </c>
      <c r="H23" s="9">
        <v>10000</v>
      </c>
      <c r="I23" s="10">
        <v>9920</v>
      </c>
      <c r="J23" s="10">
        <v>12310</v>
      </c>
      <c r="K23" s="11">
        <v>45359</v>
      </c>
      <c r="L23" s="9">
        <v>5000</v>
      </c>
      <c r="M23" s="12" t="s">
        <v>154</v>
      </c>
    </row>
    <row r="24" spans="1:13" x14ac:dyDescent="0.35">
      <c r="A24" s="5">
        <v>13</v>
      </c>
      <c r="B24" s="6" t="s">
        <v>155</v>
      </c>
      <c r="C24" s="7" t="s">
        <v>23</v>
      </c>
      <c r="D24" s="8">
        <v>731</v>
      </c>
      <c r="E24" s="5" t="s">
        <v>24</v>
      </c>
      <c r="F24" s="5" t="s">
        <v>25</v>
      </c>
      <c r="G24" s="8">
        <v>10230065295</v>
      </c>
      <c r="H24" s="9">
        <v>8000</v>
      </c>
      <c r="I24" s="10">
        <v>23426</v>
      </c>
      <c r="J24" s="10">
        <v>24426</v>
      </c>
      <c r="K24" s="11">
        <v>45364</v>
      </c>
      <c r="L24" s="9">
        <v>8000</v>
      </c>
      <c r="M24" s="12" t="s">
        <v>154</v>
      </c>
    </row>
    <row r="25" spans="1:13" x14ac:dyDescent="0.35">
      <c r="A25" s="5">
        <v>14</v>
      </c>
      <c r="B25" s="6" t="s">
        <v>41</v>
      </c>
      <c r="C25" s="7" t="s">
        <v>42</v>
      </c>
      <c r="D25" s="8" t="s">
        <v>43</v>
      </c>
      <c r="E25" s="5" t="s">
        <v>24</v>
      </c>
      <c r="F25" s="5" t="s">
        <v>44</v>
      </c>
      <c r="G25" s="5">
        <v>24024723</v>
      </c>
      <c r="H25" s="9">
        <v>30000</v>
      </c>
      <c r="I25" s="42">
        <v>34865</v>
      </c>
      <c r="J25" s="42" t="s">
        <v>97</v>
      </c>
      <c r="K25" s="11">
        <v>45354</v>
      </c>
      <c r="L25" s="9">
        <v>30000</v>
      </c>
      <c r="M25" s="12" t="s">
        <v>45</v>
      </c>
    </row>
    <row r="26" spans="1:13" x14ac:dyDescent="0.35">
      <c r="A26" s="386" t="s">
        <v>8</v>
      </c>
      <c r="B26" s="386"/>
      <c r="C26" s="386"/>
      <c r="D26" s="386"/>
      <c r="E26" s="386"/>
      <c r="F26" s="386"/>
      <c r="G26" s="386"/>
      <c r="H26" s="23">
        <f>SUM(H12:H25)</f>
        <v>291000</v>
      </c>
      <c r="I26" s="24"/>
      <c r="J26" s="25"/>
      <c r="K26" s="43"/>
      <c r="L26" s="26"/>
      <c r="M26" s="26"/>
    </row>
    <row r="27" spans="1:13" x14ac:dyDescent="0.35">
      <c r="A27" s="26"/>
      <c r="B27" s="26"/>
      <c r="C27" s="26"/>
      <c r="D27" s="26"/>
      <c r="E27" s="26"/>
      <c r="F27" s="26"/>
      <c r="G27" s="26"/>
      <c r="H27" s="26"/>
      <c r="I27" s="26"/>
      <c r="J27" s="26"/>
      <c r="K27" s="26"/>
      <c r="L27" s="26"/>
      <c r="M27" s="26"/>
    </row>
    <row r="28" spans="1:13" x14ac:dyDescent="0.35">
      <c r="A28" s="26"/>
      <c r="B28" s="26" t="s">
        <v>156</v>
      </c>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ht="15" thickBot="1" x14ac:dyDescent="0.4">
      <c r="A31" s="420" t="s">
        <v>66</v>
      </c>
      <c r="B31" s="420"/>
      <c r="C31" s="50"/>
      <c r="D31" s="26"/>
      <c r="E31" s="407" t="s">
        <v>67</v>
      </c>
      <c r="F31" s="407"/>
      <c r="G31" s="49"/>
      <c r="H31" s="49"/>
      <c r="I31" s="408"/>
      <c r="J31" s="408"/>
      <c r="K31" s="28"/>
      <c r="L31" s="29"/>
      <c r="M31" s="29"/>
    </row>
    <row r="32" spans="1:13" ht="15" thickTop="1" x14ac:dyDescent="0.35">
      <c r="A32" s="421" t="s">
        <v>69</v>
      </c>
      <c r="B32" s="421"/>
      <c r="C32" s="29" t="s">
        <v>113</v>
      </c>
      <c r="D32" s="30"/>
      <c r="E32" s="410" t="s">
        <v>70</v>
      </c>
      <c r="F32" s="410"/>
      <c r="G32" s="410" t="s">
        <v>71</v>
      </c>
      <c r="H32" s="410"/>
      <c r="I32" s="29"/>
      <c r="J32" s="29"/>
      <c r="K32" s="29" t="s">
        <v>72</v>
      </c>
      <c r="L32" s="31"/>
      <c r="M32" s="31"/>
    </row>
    <row r="33" spans="1:13" x14ac:dyDescent="0.35">
      <c r="A33" s="414" t="s">
        <v>92</v>
      </c>
      <c r="B33" s="414"/>
      <c r="C33" s="32" t="s">
        <v>7</v>
      </c>
      <c r="D33" s="32"/>
      <c r="E33" s="414" t="s">
        <v>73</v>
      </c>
      <c r="F33" s="414"/>
      <c r="G33" s="414" t="s">
        <v>74</v>
      </c>
      <c r="H33" s="414"/>
      <c r="I33" s="31"/>
      <c r="J33" s="31"/>
      <c r="K33" s="31" t="s">
        <v>75</v>
      </c>
      <c r="L33" s="33"/>
      <c r="M33" s="33"/>
    </row>
    <row r="34" spans="1:13" x14ac:dyDescent="0.35">
      <c r="A34" s="412" t="s">
        <v>94</v>
      </c>
      <c r="B34" s="412"/>
      <c r="C34" s="34" t="s">
        <v>77</v>
      </c>
      <c r="D34" s="34"/>
      <c r="E34" s="414" t="s">
        <v>78</v>
      </c>
      <c r="F34" s="414"/>
      <c r="G34" s="414" t="s">
        <v>79</v>
      </c>
      <c r="H34" s="414"/>
      <c r="I34" s="33"/>
      <c r="J34" s="33"/>
      <c r="K34" s="33" t="s">
        <v>80</v>
      </c>
      <c r="L34" s="34"/>
      <c r="M34" s="34"/>
    </row>
    <row r="35" spans="1:13" x14ac:dyDescent="0.35">
      <c r="A35" s="412" t="s">
        <v>76</v>
      </c>
      <c r="B35" s="412"/>
      <c r="C35" s="34" t="s">
        <v>81</v>
      </c>
      <c r="D35" s="34"/>
      <c r="E35" s="412" t="s">
        <v>76</v>
      </c>
      <c r="F35" s="412"/>
      <c r="G35" s="412" t="s">
        <v>76</v>
      </c>
      <c r="H35" s="412"/>
      <c r="I35" s="33"/>
      <c r="J35" s="33"/>
      <c r="K35" s="33"/>
    </row>
    <row r="39" spans="1:13" x14ac:dyDescent="0.35">
      <c r="A39" s="417" t="s">
        <v>114</v>
      </c>
      <c r="B39" s="417"/>
    </row>
    <row r="40" spans="1:13" x14ac:dyDescent="0.35">
      <c r="A40" s="418" t="s">
        <v>115</v>
      </c>
      <c r="B40" s="418"/>
    </row>
    <row r="41" spans="1:13" x14ac:dyDescent="0.35">
      <c r="A41" s="422" t="s">
        <v>116</v>
      </c>
      <c r="B41" s="418"/>
    </row>
    <row r="42" spans="1:13" x14ac:dyDescent="0.35">
      <c r="A42" s="416" t="s">
        <v>117</v>
      </c>
      <c r="B42" s="416"/>
    </row>
  </sheetData>
  <mergeCells count="38">
    <mergeCell ref="A4:B4"/>
    <mergeCell ref="C4:M4"/>
    <mergeCell ref="A1:M1"/>
    <mergeCell ref="A2:B2"/>
    <mergeCell ref="C2:M2"/>
    <mergeCell ref="A3:B3"/>
    <mergeCell ref="C3:M3"/>
    <mergeCell ref="A26:G26"/>
    <mergeCell ref="A5:B5"/>
    <mergeCell ref="C5:M5"/>
    <mergeCell ref="A6:B6"/>
    <mergeCell ref="C6:M6"/>
    <mergeCell ref="A7:B7"/>
    <mergeCell ref="C7:M7"/>
    <mergeCell ref="A8:B8"/>
    <mergeCell ref="C8:M8"/>
    <mergeCell ref="A9:B9"/>
    <mergeCell ref="C9:M9"/>
    <mergeCell ref="A10:M10"/>
    <mergeCell ref="A31:B31"/>
    <mergeCell ref="E31:F31"/>
    <mergeCell ref="I31:J31"/>
    <mergeCell ref="A32:B32"/>
    <mergeCell ref="E32:F32"/>
    <mergeCell ref="G32:H32"/>
    <mergeCell ref="A33:B33"/>
    <mergeCell ref="E33:F33"/>
    <mergeCell ref="G33:H33"/>
    <mergeCell ref="A34:B34"/>
    <mergeCell ref="E34:F34"/>
    <mergeCell ref="G34:H34"/>
    <mergeCell ref="A42:B42"/>
    <mergeCell ref="A35:B35"/>
    <mergeCell ref="E35:F35"/>
    <mergeCell ref="G35:H35"/>
    <mergeCell ref="A39:B39"/>
    <mergeCell ref="A40:B40"/>
    <mergeCell ref="A41:B41"/>
  </mergeCells>
  <pageMargins left="0.25" right="0.25" top="0.75" bottom="0.75" header="0.3" footer="0.3"/>
  <pageSetup scale="7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652D1-A9FE-4FFE-9FFC-B706BFF49221}">
  <sheetPr codeName="Sheet7">
    <pageSetUpPr fitToPage="1"/>
  </sheetPr>
  <dimension ref="A1:M39"/>
  <sheetViews>
    <sheetView topLeftCell="A10" workbookViewId="0">
      <selection activeCell="F40" sqref="F40"/>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187</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150</v>
      </c>
      <c r="D3" s="403"/>
      <c r="E3" s="403"/>
      <c r="F3" s="403"/>
      <c r="G3" s="403"/>
      <c r="H3" s="403"/>
      <c r="I3" s="403"/>
      <c r="J3" s="403"/>
      <c r="K3" s="403"/>
      <c r="L3" s="403"/>
      <c r="M3" s="385"/>
    </row>
    <row r="4" spans="1:13" x14ac:dyDescent="0.35">
      <c r="A4" s="384" t="s">
        <v>4</v>
      </c>
      <c r="B4" s="385"/>
      <c r="C4" s="393" t="s">
        <v>186</v>
      </c>
      <c r="D4" s="394"/>
      <c r="E4" s="394"/>
      <c r="F4" s="394"/>
      <c r="G4" s="394"/>
      <c r="H4" s="394"/>
      <c r="I4" s="394"/>
      <c r="J4" s="394"/>
      <c r="K4" s="394"/>
      <c r="L4" s="394"/>
      <c r="M4" s="395"/>
    </row>
    <row r="5" spans="1:13" x14ac:dyDescent="0.35">
      <c r="A5" s="384" t="s">
        <v>5</v>
      </c>
      <c r="B5" s="385"/>
      <c r="C5" s="387">
        <v>45370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72000</v>
      </c>
      <c r="D8" s="397"/>
      <c r="E8" s="397"/>
      <c r="F8" s="397"/>
      <c r="G8" s="397"/>
      <c r="H8" s="397"/>
      <c r="I8" s="397"/>
      <c r="J8" s="397"/>
      <c r="K8" s="397"/>
      <c r="L8" s="397"/>
      <c r="M8" s="398"/>
    </row>
    <row r="9" spans="1:13" x14ac:dyDescent="0.35">
      <c r="A9" s="384" t="s">
        <v>183</v>
      </c>
      <c r="B9" s="385"/>
      <c r="C9" s="399" t="s">
        <v>184</v>
      </c>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181</v>
      </c>
      <c r="J11" s="3" t="s">
        <v>18</v>
      </c>
      <c r="K11" s="3" t="s">
        <v>19</v>
      </c>
      <c r="L11" s="3" t="s">
        <v>20</v>
      </c>
      <c r="M11" s="4" t="s">
        <v>21</v>
      </c>
    </row>
    <row r="12" spans="1:13" x14ac:dyDescent="0.35">
      <c r="A12" s="5">
        <v>1</v>
      </c>
      <c r="B12" s="19" t="s">
        <v>119</v>
      </c>
      <c r="C12" s="20" t="s">
        <v>49</v>
      </c>
      <c r="D12" s="21" t="s">
        <v>63</v>
      </c>
      <c r="E12" s="22" t="s">
        <v>64</v>
      </c>
      <c r="F12" s="5" t="s">
        <v>25</v>
      </c>
      <c r="G12" s="21" t="s">
        <v>65</v>
      </c>
      <c r="H12" s="9">
        <v>60000</v>
      </c>
      <c r="I12" s="10">
        <v>61134</v>
      </c>
      <c r="J12" s="10">
        <v>90341</v>
      </c>
      <c r="K12" s="11">
        <v>45380</v>
      </c>
      <c r="L12" s="9">
        <v>80000</v>
      </c>
      <c r="M12" s="17" t="s">
        <v>180</v>
      </c>
    </row>
    <row r="13" spans="1:13" x14ac:dyDescent="0.35">
      <c r="A13" s="5">
        <v>2</v>
      </c>
      <c r="B13" s="16" t="s">
        <v>56</v>
      </c>
      <c r="C13" s="7" t="s">
        <v>49</v>
      </c>
      <c r="D13" s="8" t="s">
        <v>57</v>
      </c>
      <c r="E13" s="5" t="s">
        <v>24</v>
      </c>
      <c r="F13" s="5" t="s">
        <v>25</v>
      </c>
      <c r="G13" s="8" t="s">
        <v>58</v>
      </c>
      <c r="H13" s="9">
        <v>12000</v>
      </c>
      <c r="I13" s="10">
        <v>11428</v>
      </c>
      <c r="J13" s="10">
        <v>18603</v>
      </c>
      <c r="K13" s="11">
        <v>45382</v>
      </c>
      <c r="L13" s="9">
        <v>15000</v>
      </c>
      <c r="M13" s="17" t="s">
        <v>154</v>
      </c>
    </row>
    <row r="14" spans="1:13" x14ac:dyDescent="0.35">
      <c r="A14" s="386" t="s">
        <v>8</v>
      </c>
      <c r="B14" s="386"/>
      <c r="C14" s="386"/>
      <c r="D14" s="386"/>
      <c r="E14" s="386"/>
      <c r="F14" s="386"/>
      <c r="G14" s="386"/>
      <c r="H14" s="23">
        <f>SUM(H12:H13)</f>
        <v>72000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182</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ht="15" thickBot="1" x14ac:dyDescent="0.4">
      <c r="A19" s="420" t="s">
        <v>66</v>
      </c>
      <c r="B19" s="420"/>
      <c r="C19" s="50"/>
      <c r="D19" s="26"/>
      <c r="E19" s="407" t="s">
        <v>67</v>
      </c>
      <c r="F19" s="407"/>
      <c r="G19" s="49"/>
      <c r="H19" s="49"/>
      <c r="I19" s="408"/>
      <c r="J19" s="408"/>
      <c r="K19" s="28"/>
      <c r="L19" s="29"/>
      <c r="M19" s="29"/>
    </row>
    <row r="20" spans="1:13" ht="15" thickTop="1" x14ac:dyDescent="0.35">
      <c r="A20" s="421" t="s">
        <v>69</v>
      </c>
      <c r="B20" s="421"/>
      <c r="C20" s="29" t="s">
        <v>113</v>
      </c>
      <c r="D20" s="30"/>
      <c r="E20" s="410" t="s">
        <v>70</v>
      </c>
      <c r="F20" s="410"/>
      <c r="G20" s="410" t="s">
        <v>71</v>
      </c>
      <c r="H20" s="410"/>
      <c r="I20" s="29"/>
      <c r="J20" s="29"/>
      <c r="K20" s="29" t="s">
        <v>72</v>
      </c>
      <c r="L20" s="31"/>
      <c r="M20" s="31"/>
    </row>
    <row r="21" spans="1:13" x14ac:dyDescent="0.35">
      <c r="A21" s="414" t="s">
        <v>92</v>
      </c>
      <c r="B21" s="414"/>
      <c r="C21" s="32" t="s">
        <v>7</v>
      </c>
      <c r="D21" s="32"/>
      <c r="E21" s="414" t="s">
        <v>73</v>
      </c>
      <c r="F21" s="414"/>
      <c r="G21" s="414" t="s">
        <v>74</v>
      </c>
      <c r="H21" s="414"/>
      <c r="I21" s="31"/>
      <c r="J21" s="31"/>
      <c r="K21" s="31" t="s">
        <v>75</v>
      </c>
      <c r="L21" s="33"/>
      <c r="M21" s="33"/>
    </row>
    <row r="22" spans="1:13" x14ac:dyDescent="0.35">
      <c r="A22" s="412" t="s">
        <v>94</v>
      </c>
      <c r="B22" s="412"/>
      <c r="C22" s="34" t="s">
        <v>77</v>
      </c>
      <c r="D22" s="34"/>
      <c r="E22" s="414" t="s">
        <v>78</v>
      </c>
      <c r="F22" s="414"/>
      <c r="G22" s="414" t="s">
        <v>79</v>
      </c>
      <c r="H22" s="414"/>
      <c r="I22" s="33"/>
      <c r="J22" s="33"/>
      <c r="K22" s="33" t="s">
        <v>80</v>
      </c>
      <c r="L22" s="34"/>
      <c r="M22" s="34"/>
    </row>
    <row r="23" spans="1:13" x14ac:dyDescent="0.35">
      <c r="A23" s="412" t="s">
        <v>76</v>
      </c>
      <c r="B23" s="412"/>
      <c r="C23" s="34" t="s">
        <v>81</v>
      </c>
      <c r="D23" s="34"/>
      <c r="E23" s="412" t="s">
        <v>76</v>
      </c>
      <c r="F23" s="412"/>
      <c r="G23" s="412" t="s">
        <v>76</v>
      </c>
      <c r="H23" s="412"/>
      <c r="I23" s="33"/>
      <c r="J23" s="33"/>
      <c r="K23" s="33"/>
    </row>
    <row r="27" spans="1:13" x14ac:dyDescent="0.35">
      <c r="A27" s="417" t="s">
        <v>114</v>
      </c>
      <c r="B27" s="417"/>
    </row>
    <row r="28" spans="1:13" x14ac:dyDescent="0.35">
      <c r="A28" s="418" t="s">
        <v>115</v>
      </c>
      <c r="B28" s="418"/>
    </row>
    <row r="29" spans="1:13" x14ac:dyDescent="0.35">
      <c r="A29" s="422" t="s">
        <v>116</v>
      </c>
      <c r="B29" s="418"/>
    </row>
    <row r="30" spans="1:13" x14ac:dyDescent="0.35">
      <c r="A30" s="416" t="s">
        <v>117</v>
      </c>
      <c r="B30" s="416"/>
    </row>
    <row r="35" spans="2:3" x14ac:dyDescent="0.35">
      <c r="B35" s="423" t="s">
        <v>185</v>
      </c>
      <c r="C35" s="424"/>
    </row>
    <row r="36" spans="2:3" x14ac:dyDescent="0.35">
      <c r="B36" s="425"/>
      <c r="C36" s="426"/>
    </row>
    <row r="37" spans="2:3" x14ac:dyDescent="0.35">
      <c r="B37" s="425"/>
      <c r="C37" s="426"/>
    </row>
    <row r="38" spans="2:3" x14ac:dyDescent="0.35">
      <c r="B38" s="425"/>
      <c r="C38" s="426"/>
    </row>
    <row r="39" spans="2:3" x14ac:dyDescent="0.35">
      <c r="B39" s="427"/>
      <c r="C39" s="428"/>
    </row>
  </sheetData>
  <mergeCells count="39">
    <mergeCell ref="A30:B30"/>
    <mergeCell ref="B35:C39"/>
    <mergeCell ref="A23:B23"/>
    <mergeCell ref="E23:F23"/>
    <mergeCell ref="G23:H23"/>
    <mergeCell ref="A27:B27"/>
    <mergeCell ref="A28:B28"/>
    <mergeCell ref="A29:B29"/>
    <mergeCell ref="A21:B21"/>
    <mergeCell ref="E21:F21"/>
    <mergeCell ref="G21:H21"/>
    <mergeCell ref="A22:B22"/>
    <mergeCell ref="E22:F22"/>
    <mergeCell ref="G22:H22"/>
    <mergeCell ref="A19:B19"/>
    <mergeCell ref="E19:F19"/>
    <mergeCell ref="I19:J19"/>
    <mergeCell ref="A20:B20"/>
    <mergeCell ref="E20:F20"/>
    <mergeCell ref="G20:H20"/>
    <mergeCell ref="A14:G1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7" right="0.7" top="0.75" bottom="0.75" header="0.3" footer="0.3"/>
  <pageSetup scale="6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AAA5-24B9-4788-B572-9EBC5B0999BD}">
  <sheetPr codeName="Sheet8">
    <pageSetUpPr fitToPage="1"/>
  </sheetPr>
  <dimension ref="A1:M39"/>
  <sheetViews>
    <sheetView topLeftCell="A26" workbookViewId="0">
      <selection activeCell="B14" sqref="B14:G1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150</v>
      </c>
      <c r="D3" s="403"/>
      <c r="E3" s="403"/>
      <c r="F3" s="403"/>
      <c r="G3" s="403"/>
      <c r="H3" s="403"/>
      <c r="I3" s="403"/>
      <c r="J3" s="403"/>
      <c r="K3" s="403"/>
      <c r="L3" s="403"/>
      <c r="M3" s="385"/>
    </row>
    <row r="4" spans="1:13" x14ac:dyDescent="0.35">
      <c r="A4" s="384" t="s">
        <v>4</v>
      </c>
      <c r="B4" s="385"/>
      <c r="C4" s="393" t="s">
        <v>175</v>
      </c>
      <c r="D4" s="394"/>
      <c r="E4" s="394"/>
      <c r="F4" s="394"/>
      <c r="G4" s="394"/>
      <c r="H4" s="394"/>
      <c r="I4" s="394"/>
      <c r="J4" s="394"/>
      <c r="K4" s="394"/>
      <c r="L4" s="394"/>
      <c r="M4" s="395"/>
    </row>
    <row r="5" spans="1:13" x14ac:dyDescent="0.35">
      <c r="A5" s="384" t="s">
        <v>5</v>
      </c>
      <c r="B5" s="385"/>
      <c r="C5" s="387">
        <v>45370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H23</f>
        <v>171000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171</v>
      </c>
      <c r="J11" s="3" t="s">
        <v>18</v>
      </c>
      <c r="K11" s="3" t="s">
        <v>19</v>
      </c>
      <c r="L11" s="3" t="s">
        <v>20</v>
      </c>
      <c r="M11" s="4" t="s">
        <v>21</v>
      </c>
    </row>
    <row r="12" spans="1:13" x14ac:dyDescent="0.35">
      <c r="A12" s="5">
        <v>1</v>
      </c>
      <c r="B12" s="16" t="s">
        <v>48</v>
      </c>
      <c r="C12" s="7" t="s">
        <v>49</v>
      </c>
      <c r="D12" s="8" t="s">
        <v>50</v>
      </c>
      <c r="E12" s="5" t="s">
        <v>24</v>
      </c>
      <c r="F12" s="5" t="s">
        <v>25</v>
      </c>
      <c r="G12" s="8" t="s">
        <v>51</v>
      </c>
      <c r="H12" s="9">
        <v>15000</v>
      </c>
      <c r="I12" s="10">
        <v>12000</v>
      </c>
      <c r="J12" s="10">
        <v>14356</v>
      </c>
      <c r="K12" s="11">
        <v>45382</v>
      </c>
      <c r="L12" s="9">
        <v>15000</v>
      </c>
      <c r="M12" s="17" t="s">
        <v>29</v>
      </c>
    </row>
    <row r="13" spans="1:13" x14ac:dyDescent="0.35">
      <c r="A13" s="5">
        <v>2</v>
      </c>
      <c r="B13" s="16" t="s">
        <v>53</v>
      </c>
      <c r="C13" s="7" t="s">
        <v>49</v>
      </c>
      <c r="D13" s="8" t="s">
        <v>54</v>
      </c>
      <c r="E13" s="5" t="s">
        <v>24</v>
      </c>
      <c r="F13" s="5" t="s">
        <v>25</v>
      </c>
      <c r="G13" s="8" t="s">
        <v>55</v>
      </c>
      <c r="H13" s="9">
        <v>12000</v>
      </c>
      <c r="I13" s="10">
        <v>11782</v>
      </c>
      <c r="J13" s="10">
        <v>18718</v>
      </c>
      <c r="K13" s="11">
        <v>45382</v>
      </c>
      <c r="L13" s="9">
        <v>15000</v>
      </c>
      <c r="M13" s="17" t="s">
        <v>172</v>
      </c>
    </row>
    <row r="14" spans="1:13" x14ac:dyDescent="0.35">
      <c r="A14" s="5">
        <v>3</v>
      </c>
      <c r="B14" s="16" t="s">
        <v>59</v>
      </c>
      <c r="C14" s="7" t="s">
        <v>49</v>
      </c>
      <c r="D14" s="8" t="s">
        <v>60</v>
      </c>
      <c r="E14" s="5" t="s">
        <v>24</v>
      </c>
      <c r="F14" s="5" t="s">
        <v>25</v>
      </c>
      <c r="G14" s="8" t="s">
        <v>61</v>
      </c>
      <c r="H14" s="9">
        <v>12000</v>
      </c>
      <c r="I14" s="10">
        <v>11420</v>
      </c>
      <c r="J14" s="10">
        <v>18718</v>
      </c>
      <c r="K14" s="11">
        <v>45382</v>
      </c>
      <c r="L14" s="9">
        <v>16000</v>
      </c>
      <c r="M14" s="17" t="s">
        <v>29</v>
      </c>
    </row>
    <row r="15" spans="1:13" x14ac:dyDescent="0.35">
      <c r="A15" s="5">
        <v>4</v>
      </c>
      <c r="B15" s="16" t="s">
        <v>46</v>
      </c>
      <c r="C15" s="7" t="s">
        <v>23</v>
      </c>
      <c r="D15" s="5" t="s">
        <v>47</v>
      </c>
      <c r="E15" s="5" t="s">
        <v>24</v>
      </c>
      <c r="F15" s="5" t="s">
        <v>25</v>
      </c>
      <c r="G15" s="44" t="s">
        <v>102</v>
      </c>
      <c r="H15" s="9">
        <v>15000</v>
      </c>
      <c r="I15" s="10">
        <v>9232</v>
      </c>
      <c r="J15" s="10">
        <v>15313</v>
      </c>
      <c r="K15" s="11">
        <v>45379</v>
      </c>
      <c r="L15" s="9">
        <v>0</v>
      </c>
      <c r="M15" s="17" t="s">
        <v>173</v>
      </c>
    </row>
    <row r="16" spans="1:13" x14ac:dyDescent="0.35">
      <c r="A16" s="5">
        <v>5</v>
      </c>
      <c r="B16" s="6" t="s">
        <v>26</v>
      </c>
      <c r="C16" s="7" t="s">
        <v>23</v>
      </c>
      <c r="D16" s="8" t="s">
        <v>27</v>
      </c>
      <c r="E16" s="5" t="s">
        <v>24</v>
      </c>
      <c r="F16" s="5" t="s">
        <v>25</v>
      </c>
      <c r="G16" s="13" t="s">
        <v>28</v>
      </c>
      <c r="H16" s="9">
        <v>10000</v>
      </c>
      <c r="I16" s="10">
        <v>18300</v>
      </c>
      <c r="J16" s="10">
        <v>18500</v>
      </c>
      <c r="K16" s="11">
        <v>45397</v>
      </c>
      <c r="L16" s="9">
        <v>12000</v>
      </c>
      <c r="M16" s="12" t="s">
        <v>154</v>
      </c>
    </row>
    <row r="17" spans="1:13" x14ac:dyDescent="0.35">
      <c r="A17" s="5">
        <v>6</v>
      </c>
      <c r="B17" s="16" t="s">
        <v>30</v>
      </c>
      <c r="C17" s="7" t="s">
        <v>23</v>
      </c>
      <c r="D17" s="5" t="s">
        <v>31</v>
      </c>
      <c r="E17" s="5" t="s">
        <v>32</v>
      </c>
      <c r="F17" s="5" t="s">
        <v>25</v>
      </c>
      <c r="G17" s="5" t="s">
        <v>33</v>
      </c>
      <c r="H17" s="9">
        <v>42000</v>
      </c>
      <c r="I17" s="10">
        <v>56000</v>
      </c>
      <c r="J17" s="10">
        <v>73163</v>
      </c>
      <c r="K17" s="11">
        <v>45389</v>
      </c>
      <c r="L17" s="9">
        <v>42000</v>
      </c>
      <c r="M17" s="17" t="s">
        <v>104</v>
      </c>
    </row>
    <row r="18" spans="1:13" x14ac:dyDescent="0.35">
      <c r="A18" s="5">
        <v>7</v>
      </c>
      <c r="B18" s="16" t="s">
        <v>22</v>
      </c>
      <c r="C18" s="7" t="s">
        <v>23</v>
      </c>
      <c r="D18" s="5">
        <v>591</v>
      </c>
      <c r="E18" s="5" t="s">
        <v>24</v>
      </c>
      <c r="F18" s="5" t="s">
        <v>25</v>
      </c>
      <c r="G18" s="44" t="s">
        <v>105</v>
      </c>
      <c r="H18" s="9">
        <v>15000</v>
      </c>
      <c r="I18" s="10">
        <v>27349</v>
      </c>
      <c r="J18" s="10">
        <v>36949</v>
      </c>
      <c r="K18" s="11">
        <v>45387</v>
      </c>
      <c r="L18" s="9">
        <v>12000</v>
      </c>
      <c r="M18" s="17" t="s">
        <v>96</v>
      </c>
    </row>
    <row r="19" spans="1:13" x14ac:dyDescent="0.35">
      <c r="A19" s="5">
        <v>8</v>
      </c>
      <c r="B19" s="6" t="s">
        <v>36</v>
      </c>
      <c r="C19" s="14" t="s">
        <v>23</v>
      </c>
      <c r="D19" s="15">
        <v>1311</v>
      </c>
      <c r="E19" s="5" t="s">
        <v>24</v>
      </c>
      <c r="F19" s="15" t="s">
        <v>25</v>
      </c>
      <c r="G19" s="13" t="s">
        <v>37</v>
      </c>
      <c r="H19" s="9">
        <v>6000</v>
      </c>
      <c r="I19" s="10">
        <v>16360</v>
      </c>
      <c r="J19" s="10">
        <v>19960</v>
      </c>
      <c r="K19" s="11">
        <v>45387</v>
      </c>
      <c r="L19" s="9">
        <v>8000</v>
      </c>
      <c r="M19" s="12" t="s">
        <v>154</v>
      </c>
    </row>
    <row r="20" spans="1:13" x14ac:dyDescent="0.35">
      <c r="A20" s="5">
        <v>9</v>
      </c>
      <c r="B20" s="6" t="s">
        <v>38</v>
      </c>
      <c r="C20" s="7" t="s">
        <v>23</v>
      </c>
      <c r="D20" s="8" t="s">
        <v>39</v>
      </c>
      <c r="E20" s="5" t="s">
        <v>24</v>
      </c>
      <c r="F20" s="5" t="s">
        <v>25</v>
      </c>
      <c r="G20" s="8" t="s">
        <v>40</v>
      </c>
      <c r="H20" s="9">
        <v>8000</v>
      </c>
      <c r="I20" s="10">
        <v>14045</v>
      </c>
      <c r="J20" s="10">
        <v>17645</v>
      </c>
      <c r="K20" s="11">
        <v>45387</v>
      </c>
      <c r="L20" s="9">
        <v>10000</v>
      </c>
      <c r="M20" s="12" t="s">
        <v>154</v>
      </c>
    </row>
    <row r="21" spans="1:13" x14ac:dyDescent="0.35">
      <c r="A21" s="5">
        <v>10</v>
      </c>
      <c r="B21" s="6" t="s">
        <v>155</v>
      </c>
      <c r="C21" s="7" t="s">
        <v>23</v>
      </c>
      <c r="D21" s="8">
        <v>731</v>
      </c>
      <c r="E21" s="5" t="s">
        <v>24</v>
      </c>
      <c r="F21" s="5" t="s">
        <v>25</v>
      </c>
      <c r="G21" s="8">
        <v>10230065295</v>
      </c>
      <c r="H21" s="9">
        <v>6000</v>
      </c>
      <c r="I21" s="10">
        <v>28154</v>
      </c>
      <c r="J21" s="10">
        <v>28154</v>
      </c>
      <c r="K21" s="11">
        <v>45398</v>
      </c>
      <c r="L21" s="9">
        <v>8000</v>
      </c>
      <c r="M21" s="12" t="s">
        <v>154</v>
      </c>
    </row>
    <row r="22" spans="1:13" x14ac:dyDescent="0.35">
      <c r="A22" s="5">
        <v>11</v>
      </c>
      <c r="B22" s="6" t="s">
        <v>41</v>
      </c>
      <c r="C22" s="7" t="s">
        <v>42</v>
      </c>
      <c r="D22" s="8" t="s">
        <v>43</v>
      </c>
      <c r="E22" s="5" t="s">
        <v>24</v>
      </c>
      <c r="F22" s="5" t="s">
        <v>44</v>
      </c>
      <c r="G22" s="5">
        <v>24024723</v>
      </c>
      <c r="H22" s="9">
        <v>30000</v>
      </c>
      <c r="I22" s="42">
        <v>28042</v>
      </c>
      <c r="J22" s="42" t="s">
        <v>97</v>
      </c>
      <c r="K22" s="11">
        <v>45375</v>
      </c>
      <c r="L22" s="9">
        <v>30000</v>
      </c>
      <c r="M22" s="12" t="s">
        <v>45</v>
      </c>
    </row>
    <row r="23" spans="1:13" x14ac:dyDescent="0.35">
      <c r="A23" s="386" t="s">
        <v>8</v>
      </c>
      <c r="B23" s="386"/>
      <c r="C23" s="386"/>
      <c r="D23" s="386"/>
      <c r="E23" s="386"/>
      <c r="F23" s="386"/>
      <c r="G23" s="386"/>
      <c r="H23" s="23">
        <f>SUM(H12:H22)</f>
        <v>171000</v>
      </c>
      <c r="I23" s="24"/>
      <c r="J23" s="25"/>
      <c r="K23" s="43"/>
      <c r="L23" s="26"/>
      <c r="M23" s="26"/>
    </row>
    <row r="24" spans="1:13" x14ac:dyDescent="0.35">
      <c r="A24" s="26"/>
      <c r="B24" s="26"/>
      <c r="C24" s="26"/>
      <c r="D24" s="26"/>
      <c r="E24" s="26"/>
      <c r="F24" s="26"/>
      <c r="G24" s="26"/>
      <c r="H24" s="26"/>
      <c r="I24" s="26"/>
      <c r="J24" s="26"/>
      <c r="K24" s="26"/>
      <c r="L24" s="26"/>
      <c r="M24" s="26"/>
    </row>
    <row r="25" spans="1:13" x14ac:dyDescent="0.35">
      <c r="A25" s="26"/>
      <c r="B25" s="26" t="s">
        <v>174</v>
      </c>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ht="15" thickBot="1" x14ac:dyDescent="0.4">
      <c r="A28" s="420" t="s">
        <v>66</v>
      </c>
      <c r="B28" s="420"/>
      <c r="C28" s="50"/>
      <c r="D28" s="26"/>
      <c r="E28" s="407" t="s">
        <v>67</v>
      </c>
      <c r="F28" s="407"/>
      <c r="G28" s="49"/>
      <c r="H28" s="49"/>
      <c r="I28" s="408"/>
      <c r="J28" s="408"/>
      <c r="K28" s="28"/>
      <c r="L28" s="29"/>
      <c r="M28" s="29"/>
    </row>
    <row r="29" spans="1:13" ht="15" thickTop="1" x14ac:dyDescent="0.35">
      <c r="A29" s="421" t="s">
        <v>69</v>
      </c>
      <c r="B29" s="421"/>
      <c r="C29" s="29" t="s">
        <v>113</v>
      </c>
      <c r="D29" s="30"/>
      <c r="E29" s="410" t="s">
        <v>70</v>
      </c>
      <c r="F29" s="410"/>
      <c r="G29" s="410" t="s">
        <v>71</v>
      </c>
      <c r="H29" s="410"/>
      <c r="I29" s="29"/>
      <c r="J29" s="29"/>
      <c r="K29" s="29" t="s">
        <v>72</v>
      </c>
      <c r="L29" s="31"/>
      <c r="M29" s="31"/>
    </row>
    <row r="30" spans="1:13" x14ac:dyDescent="0.35">
      <c r="A30" s="414" t="s">
        <v>92</v>
      </c>
      <c r="B30" s="414"/>
      <c r="C30" s="32" t="s">
        <v>7</v>
      </c>
      <c r="D30" s="32"/>
      <c r="E30" s="414" t="s">
        <v>73</v>
      </c>
      <c r="F30" s="414"/>
      <c r="G30" s="414" t="s">
        <v>74</v>
      </c>
      <c r="H30" s="414"/>
      <c r="I30" s="31"/>
      <c r="J30" s="31"/>
      <c r="K30" s="31" t="s">
        <v>75</v>
      </c>
      <c r="L30" s="33"/>
      <c r="M30" s="33"/>
    </row>
    <row r="31" spans="1:13" x14ac:dyDescent="0.35">
      <c r="A31" s="412" t="s">
        <v>94</v>
      </c>
      <c r="B31" s="412"/>
      <c r="C31" s="34" t="s">
        <v>77</v>
      </c>
      <c r="D31" s="34"/>
      <c r="E31" s="414" t="s">
        <v>78</v>
      </c>
      <c r="F31" s="414"/>
      <c r="G31" s="414" t="s">
        <v>79</v>
      </c>
      <c r="H31" s="414"/>
      <c r="I31" s="33"/>
      <c r="J31" s="33"/>
      <c r="K31" s="33" t="s">
        <v>80</v>
      </c>
      <c r="L31" s="34"/>
      <c r="M31" s="34"/>
    </row>
    <row r="32" spans="1:13" x14ac:dyDescent="0.35">
      <c r="A32" s="412" t="s">
        <v>76</v>
      </c>
      <c r="B32" s="412"/>
      <c r="C32" s="34" t="s">
        <v>81</v>
      </c>
      <c r="D32" s="34"/>
      <c r="E32" s="412" t="s">
        <v>76</v>
      </c>
      <c r="F32" s="412"/>
      <c r="G32" s="412" t="s">
        <v>76</v>
      </c>
      <c r="H32" s="412"/>
      <c r="I32" s="33"/>
      <c r="J32" s="33"/>
      <c r="K32" s="33"/>
    </row>
    <row r="36" spans="1:2" x14ac:dyDescent="0.35">
      <c r="A36" s="417" t="s">
        <v>114</v>
      </c>
      <c r="B36" s="417"/>
    </row>
    <row r="37" spans="1:2" x14ac:dyDescent="0.35">
      <c r="A37" s="418" t="s">
        <v>115</v>
      </c>
      <c r="B37" s="418"/>
    </row>
    <row r="38" spans="1:2" x14ac:dyDescent="0.35">
      <c r="A38" s="422" t="s">
        <v>116</v>
      </c>
      <c r="B38" s="418"/>
    </row>
    <row r="39" spans="1:2" x14ac:dyDescent="0.35">
      <c r="A39" s="416" t="s">
        <v>117</v>
      </c>
      <c r="B39" s="416"/>
    </row>
  </sheetData>
  <mergeCells count="38">
    <mergeCell ref="A39:B39"/>
    <mergeCell ref="A32:B32"/>
    <mergeCell ref="E32:F32"/>
    <mergeCell ref="G32:H32"/>
    <mergeCell ref="A36:B36"/>
    <mergeCell ref="A37:B37"/>
    <mergeCell ref="A38:B38"/>
    <mergeCell ref="A30:B30"/>
    <mergeCell ref="E30:F30"/>
    <mergeCell ref="G30:H30"/>
    <mergeCell ref="A31:B31"/>
    <mergeCell ref="E31:F31"/>
    <mergeCell ref="G31:H31"/>
    <mergeCell ref="A28:B28"/>
    <mergeCell ref="E28:F28"/>
    <mergeCell ref="I28:J28"/>
    <mergeCell ref="A29:B29"/>
    <mergeCell ref="E29:F29"/>
    <mergeCell ref="G29:H29"/>
    <mergeCell ref="A23:G2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6"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F527-BA6E-4F7A-AB67-BEB82C8314AD}">
  <sheetPr codeName="Sheet9">
    <pageSetUpPr fitToPage="1"/>
  </sheetPr>
  <dimension ref="A1:M41"/>
  <sheetViews>
    <sheetView topLeftCell="A37" workbookViewId="0">
      <selection sqref="A1:M41"/>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200</v>
      </c>
      <c r="D3" s="403"/>
      <c r="E3" s="403"/>
      <c r="F3" s="403"/>
      <c r="G3" s="403"/>
      <c r="H3" s="403"/>
      <c r="I3" s="403"/>
      <c r="J3" s="403"/>
      <c r="K3" s="403"/>
      <c r="L3" s="403"/>
      <c r="M3" s="385"/>
    </row>
    <row r="4" spans="1:13" x14ac:dyDescent="0.35">
      <c r="A4" s="384" t="s">
        <v>4</v>
      </c>
      <c r="B4" s="385"/>
      <c r="C4" s="393" t="s">
        <v>201</v>
      </c>
      <c r="D4" s="394"/>
      <c r="E4" s="394"/>
      <c r="F4" s="394"/>
      <c r="G4" s="394"/>
      <c r="H4" s="394"/>
      <c r="I4" s="394"/>
      <c r="J4" s="394"/>
      <c r="K4" s="394"/>
      <c r="L4" s="394"/>
      <c r="M4" s="395"/>
    </row>
    <row r="5" spans="1:13" x14ac:dyDescent="0.35">
      <c r="A5" s="384" t="s">
        <v>5</v>
      </c>
      <c r="B5" s="385"/>
      <c r="C5" s="387">
        <v>45432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H25</f>
        <v>268000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203</v>
      </c>
      <c r="J11" s="3" t="s">
        <v>18</v>
      </c>
      <c r="K11" s="3" t="s">
        <v>19</v>
      </c>
      <c r="L11" s="3" t="s">
        <v>20</v>
      </c>
      <c r="M11" s="4" t="s">
        <v>21</v>
      </c>
    </row>
    <row r="12" spans="1:13" x14ac:dyDescent="0.35">
      <c r="A12" s="5">
        <v>1</v>
      </c>
      <c r="B12" s="69" t="s">
        <v>119</v>
      </c>
      <c r="C12" s="69" t="s">
        <v>49</v>
      </c>
      <c r="D12" s="70" t="s">
        <v>63</v>
      </c>
      <c r="E12" s="70" t="s">
        <v>24</v>
      </c>
      <c r="F12" s="68" t="s">
        <v>25</v>
      </c>
      <c r="G12" s="68" t="s">
        <v>202</v>
      </c>
      <c r="H12" s="79">
        <v>50000</v>
      </c>
      <c r="I12" s="82">
        <v>61833</v>
      </c>
      <c r="J12" s="82">
        <v>75305</v>
      </c>
      <c r="K12" s="11">
        <v>45420</v>
      </c>
      <c r="L12" s="83">
        <v>60000</v>
      </c>
      <c r="M12" s="84" t="s">
        <v>176</v>
      </c>
    </row>
    <row r="13" spans="1:13" x14ac:dyDescent="0.35">
      <c r="A13" s="5">
        <v>2</v>
      </c>
      <c r="B13" s="71" t="s">
        <v>53</v>
      </c>
      <c r="C13" s="72" t="s">
        <v>49</v>
      </c>
      <c r="D13" s="73" t="s">
        <v>54</v>
      </c>
      <c r="E13" s="44" t="s">
        <v>24</v>
      </c>
      <c r="F13" s="44" t="s">
        <v>25</v>
      </c>
      <c r="G13" s="73" t="s">
        <v>55</v>
      </c>
      <c r="H13" s="80">
        <v>18000</v>
      </c>
      <c r="I13" s="10">
        <v>10871</v>
      </c>
      <c r="J13" s="10">
        <v>10871</v>
      </c>
      <c r="K13" s="11">
        <v>45421</v>
      </c>
      <c r="L13" s="78">
        <v>12000</v>
      </c>
      <c r="M13" s="17" t="s">
        <v>204</v>
      </c>
    </row>
    <row r="14" spans="1:13" x14ac:dyDescent="0.35">
      <c r="A14" s="5">
        <v>3</v>
      </c>
      <c r="B14" s="16" t="s">
        <v>56</v>
      </c>
      <c r="C14" s="7" t="s">
        <v>49</v>
      </c>
      <c r="D14" s="8" t="s">
        <v>57</v>
      </c>
      <c r="E14" s="5" t="s">
        <v>24</v>
      </c>
      <c r="F14" s="5" t="s">
        <v>25</v>
      </c>
      <c r="G14" s="8" t="s">
        <v>58</v>
      </c>
      <c r="H14" s="80">
        <v>18000</v>
      </c>
      <c r="I14" s="10">
        <v>8134</v>
      </c>
      <c r="J14" s="10">
        <v>8134</v>
      </c>
      <c r="K14" s="11">
        <v>45418</v>
      </c>
      <c r="L14" s="78">
        <v>12000</v>
      </c>
      <c r="M14" s="17" t="s">
        <v>204</v>
      </c>
    </row>
    <row r="15" spans="1:13" x14ac:dyDescent="0.35">
      <c r="A15" s="5">
        <v>4</v>
      </c>
      <c r="B15" s="71" t="s">
        <v>46</v>
      </c>
      <c r="C15" s="72" t="s">
        <v>23</v>
      </c>
      <c r="D15" s="44" t="s">
        <v>47</v>
      </c>
      <c r="E15" s="44" t="s">
        <v>24</v>
      </c>
      <c r="F15" s="44" t="s">
        <v>25</v>
      </c>
      <c r="G15" s="44" t="s">
        <v>102</v>
      </c>
      <c r="H15" s="80">
        <v>18000</v>
      </c>
      <c r="I15" s="10">
        <v>13208</v>
      </c>
      <c r="J15" s="10">
        <v>14663</v>
      </c>
      <c r="K15" s="11">
        <v>45420</v>
      </c>
      <c r="L15" s="78">
        <v>15000</v>
      </c>
      <c r="M15" s="17" t="s">
        <v>204</v>
      </c>
    </row>
    <row r="16" spans="1:13" x14ac:dyDescent="0.35">
      <c r="A16" s="5">
        <v>5</v>
      </c>
      <c r="B16" s="74" t="s">
        <v>26</v>
      </c>
      <c r="C16" s="72" t="s">
        <v>23</v>
      </c>
      <c r="D16" s="73" t="s">
        <v>27</v>
      </c>
      <c r="E16" s="44" t="s">
        <v>24</v>
      </c>
      <c r="F16" s="44" t="s">
        <v>25</v>
      </c>
      <c r="G16" s="75" t="s">
        <v>28</v>
      </c>
      <c r="H16" s="80">
        <v>12000</v>
      </c>
      <c r="I16" s="10">
        <v>17151</v>
      </c>
      <c r="J16" s="10">
        <v>17451</v>
      </c>
      <c r="K16" s="11">
        <v>45430</v>
      </c>
      <c r="L16" s="78">
        <v>10000</v>
      </c>
      <c r="M16" s="12" t="s">
        <v>154</v>
      </c>
    </row>
    <row r="17" spans="1:13" x14ac:dyDescent="0.35">
      <c r="A17" s="5">
        <v>6</v>
      </c>
      <c r="B17" s="71" t="s">
        <v>30</v>
      </c>
      <c r="C17" s="72" t="s">
        <v>23</v>
      </c>
      <c r="D17" s="44" t="s">
        <v>31</v>
      </c>
      <c r="E17" s="44" t="s">
        <v>32</v>
      </c>
      <c r="F17" s="44" t="s">
        <v>25</v>
      </c>
      <c r="G17" s="44" t="s">
        <v>33</v>
      </c>
      <c r="H17" s="80">
        <v>45000</v>
      </c>
      <c r="I17" s="10">
        <v>48092</v>
      </c>
      <c r="J17" s="10">
        <v>66632</v>
      </c>
      <c r="K17" s="11">
        <v>45421</v>
      </c>
      <c r="L17" s="78">
        <v>42000</v>
      </c>
      <c r="M17" s="17" t="s">
        <v>104</v>
      </c>
    </row>
    <row r="18" spans="1:13" x14ac:dyDescent="0.35">
      <c r="A18" s="5">
        <v>7</v>
      </c>
      <c r="B18" s="71" t="s">
        <v>22</v>
      </c>
      <c r="C18" s="72" t="s">
        <v>23</v>
      </c>
      <c r="D18" s="44" t="s">
        <v>205</v>
      </c>
      <c r="E18" s="44" t="s">
        <v>24</v>
      </c>
      <c r="F18" s="44" t="s">
        <v>25</v>
      </c>
      <c r="G18" s="44" t="s">
        <v>105</v>
      </c>
      <c r="H18" s="80">
        <v>20000</v>
      </c>
      <c r="I18" s="10">
        <v>26976</v>
      </c>
      <c r="J18" s="10">
        <v>31776</v>
      </c>
      <c r="K18" s="11">
        <v>45431</v>
      </c>
      <c r="L18" s="78">
        <v>15000</v>
      </c>
      <c r="M18" s="17" t="s">
        <v>96</v>
      </c>
    </row>
    <row r="19" spans="1:13" x14ac:dyDescent="0.35">
      <c r="A19" s="5">
        <v>8</v>
      </c>
      <c r="B19" s="6" t="s">
        <v>34</v>
      </c>
      <c r="C19" s="14" t="s">
        <v>23</v>
      </c>
      <c r="D19" s="15">
        <v>1149</v>
      </c>
      <c r="E19" s="15" t="s">
        <v>24</v>
      </c>
      <c r="F19" s="15" t="s">
        <v>25</v>
      </c>
      <c r="G19" s="13" t="s">
        <v>35</v>
      </c>
      <c r="H19" s="80">
        <v>10000</v>
      </c>
      <c r="I19" s="10">
        <v>13381</v>
      </c>
      <c r="J19" s="10">
        <v>24381</v>
      </c>
      <c r="K19" s="11">
        <v>45419</v>
      </c>
      <c r="L19" s="78">
        <v>12000</v>
      </c>
      <c r="M19" s="17" t="s">
        <v>29</v>
      </c>
    </row>
    <row r="20" spans="1:13" x14ac:dyDescent="0.35">
      <c r="A20" s="5">
        <v>9</v>
      </c>
      <c r="B20" s="74" t="s">
        <v>36</v>
      </c>
      <c r="C20" s="76" t="s">
        <v>23</v>
      </c>
      <c r="D20" s="77">
        <v>1311</v>
      </c>
      <c r="E20" s="44" t="s">
        <v>24</v>
      </c>
      <c r="F20" s="77" t="s">
        <v>25</v>
      </c>
      <c r="G20" s="75" t="s">
        <v>37</v>
      </c>
      <c r="H20" s="80">
        <v>5000</v>
      </c>
      <c r="I20" s="10">
        <v>19159</v>
      </c>
      <c r="J20" s="10">
        <v>20659</v>
      </c>
      <c r="K20" s="11">
        <v>45426</v>
      </c>
      <c r="L20" s="78">
        <v>6000</v>
      </c>
      <c r="M20" s="12" t="s">
        <v>154</v>
      </c>
    </row>
    <row r="21" spans="1:13" x14ac:dyDescent="0.35">
      <c r="A21" s="5">
        <v>10</v>
      </c>
      <c r="B21" s="74" t="s">
        <v>38</v>
      </c>
      <c r="C21" s="72" t="s">
        <v>23</v>
      </c>
      <c r="D21" s="73" t="s">
        <v>39</v>
      </c>
      <c r="E21" s="44" t="s">
        <v>24</v>
      </c>
      <c r="F21" s="44" t="s">
        <v>25</v>
      </c>
      <c r="G21" s="73" t="s">
        <v>40</v>
      </c>
      <c r="H21" s="80">
        <v>7000</v>
      </c>
      <c r="I21" s="10">
        <v>16964</v>
      </c>
      <c r="J21" s="10">
        <v>18464</v>
      </c>
      <c r="K21" s="11">
        <v>45426</v>
      </c>
      <c r="L21" s="78">
        <v>8000</v>
      </c>
      <c r="M21" s="12" t="s">
        <v>154</v>
      </c>
    </row>
    <row r="22" spans="1:13" x14ac:dyDescent="0.35">
      <c r="A22" s="5">
        <v>11</v>
      </c>
      <c r="B22" s="74" t="s">
        <v>155</v>
      </c>
      <c r="C22" s="72" t="s">
        <v>23</v>
      </c>
      <c r="D22" s="73">
        <v>731</v>
      </c>
      <c r="E22" s="44" t="s">
        <v>24</v>
      </c>
      <c r="F22" s="44" t="s">
        <v>25</v>
      </c>
      <c r="G22" s="73">
        <v>10230065295</v>
      </c>
      <c r="H22" s="80">
        <v>5000</v>
      </c>
      <c r="I22" s="10">
        <v>26234</v>
      </c>
      <c r="J22" s="10">
        <v>30434</v>
      </c>
      <c r="K22" s="11">
        <v>45431</v>
      </c>
      <c r="L22" s="78">
        <v>6000</v>
      </c>
      <c r="M22" s="12" t="s">
        <v>154</v>
      </c>
    </row>
    <row r="23" spans="1:13" x14ac:dyDescent="0.35">
      <c r="A23" s="5">
        <v>12</v>
      </c>
      <c r="B23" s="74" t="s">
        <v>41</v>
      </c>
      <c r="C23" s="72" t="s">
        <v>42</v>
      </c>
      <c r="D23" s="73" t="s">
        <v>43</v>
      </c>
      <c r="E23" s="44" t="s">
        <v>24</v>
      </c>
      <c r="F23" s="44" t="s">
        <v>44</v>
      </c>
      <c r="G23" s="44">
        <v>24024723</v>
      </c>
      <c r="H23" s="80">
        <v>40000</v>
      </c>
      <c r="I23" s="42">
        <v>14044</v>
      </c>
      <c r="J23" s="42" t="s">
        <v>97</v>
      </c>
      <c r="K23" s="11">
        <v>45407</v>
      </c>
      <c r="L23" s="78">
        <v>30000</v>
      </c>
      <c r="M23" s="12" t="s">
        <v>45</v>
      </c>
    </row>
    <row r="24" spans="1:13" x14ac:dyDescent="0.35">
      <c r="A24" s="22">
        <v>13</v>
      </c>
      <c r="B24" s="85" t="s">
        <v>206</v>
      </c>
      <c r="C24" s="86" t="s">
        <v>144</v>
      </c>
      <c r="D24" s="53" t="s">
        <v>207</v>
      </c>
      <c r="E24" s="87" t="s">
        <v>24</v>
      </c>
      <c r="F24" s="87" t="s">
        <v>44</v>
      </c>
      <c r="G24" s="87" t="s">
        <v>208</v>
      </c>
      <c r="H24" s="88">
        <v>20000</v>
      </c>
      <c r="I24" s="42">
        <v>500</v>
      </c>
      <c r="J24" s="42">
        <v>4000</v>
      </c>
      <c r="K24" s="11">
        <v>45427</v>
      </c>
      <c r="L24" s="78">
        <v>4000</v>
      </c>
      <c r="M24" s="12" t="s">
        <v>96</v>
      </c>
    </row>
    <row r="25" spans="1:13" x14ac:dyDescent="0.35">
      <c r="A25" s="386" t="s">
        <v>8</v>
      </c>
      <c r="B25" s="386"/>
      <c r="C25" s="386"/>
      <c r="D25" s="386"/>
      <c r="E25" s="386"/>
      <c r="F25" s="386"/>
      <c r="G25" s="386"/>
      <c r="H25" s="81">
        <f>SUM(H12:H24)</f>
        <v>268000</v>
      </c>
      <c r="I25" s="24"/>
      <c r="J25" s="25"/>
      <c r="K25" s="43"/>
      <c r="L25" s="26"/>
      <c r="M25" s="26"/>
    </row>
    <row r="26" spans="1:13" x14ac:dyDescent="0.35">
      <c r="A26" s="26"/>
      <c r="B26" s="26"/>
      <c r="C26" s="26"/>
      <c r="D26" s="26"/>
      <c r="E26" s="26"/>
      <c r="F26" s="26"/>
      <c r="G26" s="26"/>
      <c r="H26" s="26"/>
      <c r="I26" s="26"/>
      <c r="J26" s="26"/>
      <c r="K26" s="26"/>
      <c r="L26" s="26"/>
      <c r="M26" s="26"/>
    </row>
    <row r="27" spans="1:13" x14ac:dyDescent="0.35">
      <c r="A27" s="26"/>
      <c r="B27" s="26" t="s">
        <v>209</v>
      </c>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50"/>
      <c r="D30" s="26"/>
      <c r="E30" s="407" t="s">
        <v>67</v>
      </c>
      <c r="F30" s="407"/>
      <c r="G30" s="49"/>
      <c r="H30" s="49"/>
      <c r="I30" s="408"/>
      <c r="J30" s="408"/>
      <c r="K30" s="28"/>
      <c r="L30" s="29"/>
      <c r="M30" s="29"/>
    </row>
    <row r="31" spans="1:13" ht="15" thickTop="1" x14ac:dyDescent="0.35">
      <c r="A31" s="421" t="s">
        <v>69</v>
      </c>
      <c r="B31" s="421"/>
      <c r="C31" s="29" t="s">
        <v>113</v>
      </c>
      <c r="D31" s="30"/>
      <c r="E31" s="410" t="s">
        <v>70</v>
      </c>
      <c r="F31" s="410"/>
      <c r="G31" s="410" t="s">
        <v>71</v>
      </c>
      <c r="H31" s="410"/>
      <c r="I31" s="29"/>
      <c r="J31" s="29"/>
      <c r="K31" s="29" t="s">
        <v>72</v>
      </c>
      <c r="L31" s="31"/>
      <c r="M31" s="31"/>
    </row>
    <row r="32" spans="1:13" x14ac:dyDescent="0.35">
      <c r="A32" s="414" t="s">
        <v>92</v>
      </c>
      <c r="B32" s="414"/>
      <c r="C32" s="32" t="s">
        <v>7</v>
      </c>
      <c r="D32" s="32"/>
      <c r="E32" s="414" t="s">
        <v>73</v>
      </c>
      <c r="F32" s="414"/>
      <c r="G32" s="414" t="s">
        <v>74</v>
      </c>
      <c r="H32" s="414"/>
      <c r="I32" s="31"/>
      <c r="J32" s="31"/>
      <c r="K32" s="31" t="s">
        <v>75</v>
      </c>
      <c r="L32" s="33"/>
      <c r="M32" s="33"/>
    </row>
    <row r="33" spans="1:13" x14ac:dyDescent="0.35">
      <c r="A33" s="412" t="s">
        <v>94</v>
      </c>
      <c r="B33" s="412"/>
      <c r="C33" s="34" t="s">
        <v>77</v>
      </c>
      <c r="D33" s="34"/>
      <c r="E33" s="414" t="s">
        <v>78</v>
      </c>
      <c r="F33" s="414"/>
      <c r="G33" s="414" t="s">
        <v>79</v>
      </c>
      <c r="H33" s="414"/>
      <c r="I33" s="33"/>
      <c r="J33" s="33"/>
      <c r="K33" s="33" t="s">
        <v>80</v>
      </c>
      <c r="L33" s="34"/>
      <c r="M33" s="34"/>
    </row>
    <row r="34" spans="1:13" x14ac:dyDescent="0.35">
      <c r="A34" s="412" t="s">
        <v>76</v>
      </c>
      <c r="B34" s="412"/>
      <c r="C34" s="34" t="s">
        <v>81</v>
      </c>
      <c r="D34" s="34"/>
      <c r="E34" s="412" t="s">
        <v>76</v>
      </c>
      <c r="F34" s="412"/>
      <c r="G34" s="412" t="s">
        <v>76</v>
      </c>
      <c r="H34" s="412"/>
      <c r="I34" s="33"/>
      <c r="J34" s="33"/>
      <c r="K34" s="33"/>
    </row>
    <row r="38" spans="1:13" x14ac:dyDescent="0.35">
      <c r="A38" s="417" t="s">
        <v>114</v>
      </c>
      <c r="B38" s="417"/>
    </row>
    <row r="39" spans="1:13" x14ac:dyDescent="0.35">
      <c r="A39" s="418" t="s">
        <v>115</v>
      </c>
      <c r="B39" s="418"/>
    </row>
    <row r="40" spans="1:13" x14ac:dyDescent="0.35">
      <c r="A40" s="422" t="s">
        <v>116</v>
      </c>
      <c r="B40" s="418"/>
    </row>
    <row r="41" spans="1:13" x14ac:dyDescent="0.35">
      <c r="A41" s="416" t="s">
        <v>117</v>
      </c>
      <c r="B41" s="416"/>
    </row>
  </sheetData>
  <mergeCells count="38">
    <mergeCell ref="A41:B41"/>
    <mergeCell ref="A34:B34"/>
    <mergeCell ref="E34:F34"/>
    <mergeCell ref="G34:H34"/>
    <mergeCell ref="A38:B38"/>
    <mergeCell ref="A39:B39"/>
    <mergeCell ref="A40:B40"/>
    <mergeCell ref="A32:B32"/>
    <mergeCell ref="E32:F32"/>
    <mergeCell ref="G32:H32"/>
    <mergeCell ref="A33:B33"/>
    <mergeCell ref="E33:F33"/>
    <mergeCell ref="G33:H33"/>
    <mergeCell ref="A30:B30"/>
    <mergeCell ref="E30:F30"/>
    <mergeCell ref="I30:J30"/>
    <mergeCell ref="A31:B31"/>
    <mergeCell ref="E31:F31"/>
    <mergeCell ref="G31:H31"/>
    <mergeCell ref="A25:G25"/>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6"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7A50-31E4-4B7E-BC83-B8A95AE6D616}">
  <sheetPr codeName="Sheet10">
    <pageSetUpPr fitToPage="1"/>
  </sheetPr>
  <dimension ref="A1:M39"/>
  <sheetViews>
    <sheetView topLeftCell="A13" workbookViewId="0">
      <selection activeCell="B22" sqref="B22:G2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218</v>
      </c>
      <c r="D3" s="403"/>
      <c r="E3" s="403"/>
      <c r="F3" s="403"/>
      <c r="G3" s="403"/>
      <c r="H3" s="403"/>
      <c r="I3" s="403"/>
      <c r="J3" s="403"/>
      <c r="K3" s="403"/>
      <c r="L3" s="403"/>
      <c r="M3" s="385"/>
    </row>
    <row r="4" spans="1:13" x14ac:dyDescent="0.35">
      <c r="A4" s="384" t="s">
        <v>4</v>
      </c>
      <c r="B4" s="385"/>
      <c r="C4" s="393" t="s">
        <v>217</v>
      </c>
      <c r="D4" s="394"/>
      <c r="E4" s="394"/>
      <c r="F4" s="394"/>
      <c r="G4" s="394"/>
      <c r="H4" s="394"/>
      <c r="I4" s="394"/>
      <c r="J4" s="394"/>
      <c r="K4" s="394"/>
      <c r="L4" s="394"/>
      <c r="M4" s="395"/>
    </row>
    <row r="5" spans="1:13" x14ac:dyDescent="0.35">
      <c r="A5" s="384" t="s">
        <v>5</v>
      </c>
      <c r="B5" s="385"/>
      <c r="C5" s="387">
        <v>45467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H23</f>
        <v>244000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215</v>
      </c>
      <c r="J11" s="3" t="s">
        <v>18</v>
      </c>
      <c r="K11" s="3" t="s">
        <v>19</v>
      </c>
      <c r="L11" s="3" t="s">
        <v>20</v>
      </c>
      <c r="M11" s="4" t="s">
        <v>21</v>
      </c>
    </row>
    <row r="12" spans="1:13" x14ac:dyDescent="0.35">
      <c r="A12" s="5">
        <v>1</v>
      </c>
      <c r="B12" s="69" t="s">
        <v>119</v>
      </c>
      <c r="C12" s="69" t="s">
        <v>49</v>
      </c>
      <c r="D12" s="70" t="s">
        <v>63</v>
      </c>
      <c r="E12" s="70" t="s">
        <v>24</v>
      </c>
      <c r="F12" s="68" t="s">
        <v>25</v>
      </c>
      <c r="G12" s="68" t="s">
        <v>202</v>
      </c>
      <c r="H12" s="79">
        <v>50000</v>
      </c>
      <c r="I12" s="82">
        <v>61833</v>
      </c>
      <c r="J12" s="82">
        <v>75305</v>
      </c>
      <c r="K12" s="11">
        <v>45451</v>
      </c>
      <c r="L12" s="79">
        <v>50000</v>
      </c>
      <c r="M12" s="84" t="s">
        <v>176</v>
      </c>
    </row>
    <row r="13" spans="1:13" x14ac:dyDescent="0.35">
      <c r="A13" s="5">
        <v>2</v>
      </c>
      <c r="B13" s="71" t="s">
        <v>53</v>
      </c>
      <c r="C13" s="72" t="s">
        <v>49</v>
      </c>
      <c r="D13" s="73" t="s">
        <v>54</v>
      </c>
      <c r="E13" s="44" t="s">
        <v>24</v>
      </c>
      <c r="F13" s="44" t="s">
        <v>25</v>
      </c>
      <c r="G13" s="73" t="s">
        <v>55</v>
      </c>
      <c r="H13" s="80">
        <v>20000</v>
      </c>
      <c r="I13" s="10">
        <v>10871</v>
      </c>
      <c r="J13" s="10">
        <v>10871</v>
      </c>
      <c r="K13" s="11">
        <v>45452</v>
      </c>
      <c r="L13" s="80">
        <v>18000</v>
      </c>
      <c r="M13" s="17" t="s">
        <v>204</v>
      </c>
    </row>
    <row r="14" spans="1:13" x14ac:dyDescent="0.35">
      <c r="A14" s="5">
        <v>3</v>
      </c>
      <c r="B14" s="16" t="s">
        <v>56</v>
      </c>
      <c r="C14" s="7" t="s">
        <v>49</v>
      </c>
      <c r="D14" s="8" t="s">
        <v>57</v>
      </c>
      <c r="E14" s="5" t="s">
        <v>24</v>
      </c>
      <c r="F14" s="5" t="s">
        <v>25</v>
      </c>
      <c r="G14" s="8" t="s">
        <v>58</v>
      </c>
      <c r="H14" s="80">
        <v>18000</v>
      </c>
      <c r="I14" s="10">
        <v>8134</v>
      </c>
      <c r="J14" s="10">
        <v>8134</v>
      </c>
      <c r="K14" s="11">
        <v>45449</v>
      </c>
      <c r="L14" s="80">
        <v>18000</v>
      </c>
      <c r="M14" s="17" t="s">
        <v>204</v>
      </c>
    </row>
    <row r="15" spans="1:13" x14ac:dyDescent="0.35">
      <c r="A15" s="5">
        <v>4</v>
      </c>
      <c r="B15" s="71" t="s">
        <v>46</v>
      </c>
      <c r="C15" s="72" t="s">
        <v>23</v>
      </c>
      <c r="D15" s="44" t="s">
        <v>47</v>
      </c>
      <c r="E15" s="44" t="s">
        <v>24</v>
      </c>
      <c r="F15" s="44" t="s">
        <v>25</v>
      </c>
      <c r="G15" s="44" t="s">
        <v>102</v>
      </c>
      <c r="H15" s="80">
        <v>18000</v>
      </c>
      <c r="I15" s="10">
        <v>13208</v>
      </c>
      <c r="J15" s="10">
        <v>14663</v>
      </c>
      <c r="K15" s="11">
        <v>45451</v>
      </c>
      <c r="L15" s="80">
        <v>18000</v>
      </c>
      <c r="M15" s="17" t="s">
        <v>204</v>
      </c>
    </row>
    <row r="16" spans="1:13" x14ac:dyDescent="0.35">
      <c r="A16" s="5">
        <v>5</v>
      </c>
      <c r="B16" s="71" t="s">
        <v>26</v>
      </c>
      <c r="C16" s="72" t="s">
        <v>23</v>
      </c>
      <c r="D16" s="73" t="s">
        <v>27</v>
      </c>
      <c r="E16" s="44" t="s">
        <v>24</v>
      </c>
      <c r="F16" s="44" t="s">
        <v>25</v>
      </c>
      <c r="G16" s="75" t="s">
        <v>28</v>
      </c>
      <c r="H16" s="80">
        <v>8000</v>
      </c>
      <c r="I16" s="10">
        <v>15195</v>
      </c>
      <c r="J16" s="10">
        <v>22095</v>
      </c>
      <c r="K16" s="11">
        <v>45461</v>
      </c>
      <c r="L16" s="80">
        <v>12000</v>
      </c>
      <c r="M16" s="12" t="s">
        <v>154</v>
      </c>
    </row>
    <row r="17" spans="1:13" x14ac:dyDescent="0.35">
      <c r="A17" s="5">
        <v>6</v>
      </c>
      <c r="B17" s="71" t="s">
        <v>30</v>
      </c>
      <c r="C17" s="72" t="s">
        <v>23</v>
      </c>
      <c r="D17" s="44" t="s">
        <v>31</v>
      </c>
      <c r="E17" s="44" t="s">
        <v>32</v>
      </c>
      <c r="F17" s="44" t="s">
        <v>25</v>
      </c>
      <c r="G17" s="44" t="s">
        <v>33</v>
      </c>
      <c r="H17" s="80">
        <v>45000</v>
      </c>
      <c r="I17" s="10">
        <v>48092</v>
      </c>
      <c r="J17" s="10">
        <v>66632</v>
      </c>
      <c r="K17" s="11">
        <v>45452</v>
      </c>
      <c r="L17" s="80">
        <v>45000</v>
      </c>
      <c r="M17" s="17" t="s">
        <v>104</v>
      </c>
    </row>
    <row r="18" spans="1:13" x14ac:dyDescent="0.35">
      <c r="A18" s="5">
        <v>7</v>
      </c>
      <c r="B18" s="71" t="s">
        <v>22</v>
      </c>
      <c r="C18" s="72" t="s">
        <v>23</v>
      </c>
      <c r="D18" s="44" t="s">
        <v>205</v>
      </c>
      <c r="E18" s="44" t="s">
        <v>24</v>
      </c>
      <c r="F18" s="44" t="s">
        <v>25</v>
      </c>
      <c r="G18" s="44" t="s">
        <v>105</v>
      </c>
      <c r="H18" s="80">
        <v>15000</v>
      </c>
      <c r="I18" s="10">
        <v>29291</v>
      </c>
      <c r="J18" s="10">
        <v>39691</v>
      </c>
      <c r="K18" s="11">
        <v>45462</v>
      </c>
      <c r="L18" s="80">
        <v>20000</v>
      </c>
      <c r="M18" s="17" t="s">
        <v>96</v>
      </c>
    </row>
    <row r="19" spans="1:13" x14ac:dyDescent="0.35">
      <c r="A19" s="5">
        <v>9</v>
      </c>
      <c r="B19" s="71" t="s">
        <v>36</v>
      </c>
      <c r="C19" s="76" t="s">
        <v>23</v>
      </c>
      <c r="D19" s="77">
        <v>1311</v>
      </c>
      <c r="E19" s="44" t="s">
        <v>24</v>
      </c>
      <c r="F19" s="77" t="s">
        <v>25</v>
      </c>
      <c r="G19" s="75" t="s">
        <v>37</v>
      </c>
      <c r="H19" s="80">
        <v>4000</v>
      </c>
      <c r="I19" s="10">
        <v>14999</v>
      </c>
      <c r="J19" s="10">
        <v>22499</v>
      </c>
      <c r="K19" s="11">
        <v>45457</v>
      </c>
      <c r="L19" s="80">
        <v>5000</v>
      </c>
      <c r="M19" s="12" t="s">
        <v>154</v>
      </c>
    </row>
    <row r="20" spans="1:13" x14ac:dyDescent="0.35">
      <c r="A20" s="5">
        <v>10</v>
      </c>
      <c r="B20" s="71" t="s">
        <v>38</v>
      </c>
      <c r="C20" s="72" t="s">
        <v>23</v>
      </c>
      <c r="D20" s="73" t="s">
        <v>39</v>
      </c>
      <c r="E20" s="44" t="s">
        <v>24</v>
      </c>
      <c r="F20" s="44" t="s">
        <v>25</v>
      </c>
      <c r="G20" s="73" t="s">
        <v>40</v>
      </c>
      <c r="H20" s="80">
        <v>6000</v>
      </c>
      <c r="I20" s="10">
        <v>13560</v>
      </c>
      <c r="J20" s="10">
        <v>21060</v>
      </c>
      <c r="K20" s="11">
        <v>45457</v>
      </c>
      <c r="L20" s="80">
        <v>7000</v>
      </c>
      <c r="M20" s="12" t="s">
        <v>154</v>
      </c>
    </row>
    <row r="21" spans="1:13" x14ac:dyDescent="0.35">
      <c r="A21" s="5">
        <v>12</v>
      </c>
      <c r="B21" s="74" t="s">
        <v>41</v>
      </c>
      <c r="C21" s="72" t="s">
        <v>42</v>
      </c>
      <c r="D21" s="73" t="s">
        <v>43</v>
      </c>
      <c r="E21" s="44" t="s">
        <v>24</v>
      </c>
      <c r="F21" s="44" t="s">
        <v>44</v>
      </c>
      <c r="G21" s="44">
        <v>24024723</v>
      </c>
      <c r="H21" s="80">
        <v>40000</v>
      </c>
      <c r="I21" s="42">
        <v>14044</v>
      </c>
      <c r="J21" s="42" t="s">
        <v>97</v>
      </c>
      <c r="K21" s="11">
        <v>45468</v>
      </c>
      <c r="L21" s="80">
        <v>40000</v>
      </c>
      <c r="M21" s="12" t="s">
        <v>45</v>
      </c>
    </row>
    <row r="22" spans="1:13" x14ac:dyDescent="0.35">
      <c r="A22" s="22">
        <v>13</v>
      </c>
      <c r="B22" s="85" t="s">
        <v>206</v>
      </c>
      <c r="C22" s="86" t="s">
        <v>144</v>
      </c>
      <c r="D22" s="53" t="s">
        <v>207</v>
      </c>
      <c r="E22" s="87" t="s">
        <v>24</v>
      </c>
      <c r="F22" s="87" t="s">
        <v>44</v>
      </c>
      <c r="G22" s="87" t="s">
        <v>208</v>
      </c>
      <c r="H22" s="88">
        <v>20000</v>
      </c>
      <c r="I22" s="42">
        <v>500</v>
      </c>
      <c r="J22" s="42">
        <v>4000</v>
      </c>
      <c r="K22" s="11">
        <v>45458</v>
      </c>
      <c r="L22" s="88">
        <v>20000</v>
      </c>
      <c r="M22" s="12" t="s">
        <v>96</v>
      </c>
    </row>
    <row r="23" spans="1:13" x14ac:dyDescent="0.35">
      <c r="A23" s="386" t="s">
        <v>8</v>
      </c>
      <c r="B23" s="386"/>
      <c r="C23" s="386"/>
      <c r="D23" s="386"/>
      <c r="E23" s="386"/>
      <c r="F23" s="386"/>
      <c r="G23" s="386"/>
      <c r="H23" s="81">
        <f>SUM(H12:H22)</f>
        <v>244000</v>
      </c>
      <c r="I23" s="24"/>
      <c r="J23" s="25"/>
      <c r="K23" s="43"/>
      <c r="L23" s="26"/>
      <c r="M23" s="26"/>
    </row>
    <row r="24" spans="1:13" x14ac:dyDescent="0.35">
      <c r="A24" s="26"/>
      <c r="B24" s="26"/>
      <c r="C24" s="26"/>
      <c r="D24" s="26"/>
      <c r="E24" s="26"/>
      <c r="F24" s="26"/>
      <c r="G24" s="26"/>
      <c r="H24" s="26"/>
      <c r="I24" s="26"/>
      <c r="J24" s="26"/>
      <c r="K24" s="26"/>
      <c r="L24" s="26"/>
      <c r="M24" s="26"/>
    </row>
    <row r="25" spans="1:13" x14ac:dyDescent="0.35">
      <c r="A25" s="26"/>
      <c r="B25" s="26" t="s">
        <v>216</v>
      </c>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ht="15" thickBot="1" x14ac:dyDescent="0.4">
      <c r="A28" s="420" t="s">
        <v>66</v>
      </c>
      <c r="B28" s="420"/>
      <c r="C28" s="50"/>
      <c r="D28" s="26"/>
      <c r="E28" s="407" t="s">
        <v>67</v>
      </c>
      <c r="F28" s="407"/>
      <c r="G28" s="49"/>
      <c r="H28" s="49"/>
      <c r="I28" s="408"/>
      <c r="J28" s="408"/>
      <c r="K28" s="28"/>
      <c r="L28" s="29"/>
      <c r="M28" s="29"/>
    </row>
    <row r="29" spans="1:13" ht="15" thickTop="1" x14ac:dyDescent="0.35">
      <c r="A29" s="421" t="s">
        <v>69</v>
      </c>
      <c r="B29" s="421"/>
      <c r="C29" s="29" t="s">
        <v>113</v>
      </c>
      <c r="D29" s="30"/>
      <c r="E29" s="410" t="s">
        <v>70</v>
      </c>
      <c r="F29" s="410"/>
      <c r="G29" s="410" t="s">
        <v>71</v>
      </c>
      <c r="H29" s="410"/>
      <c r="I29" s="29"/>
      <c r="J29" s="29"/>
      <c r="K29" s="29" t="s">
        <v>72</v>
      </c>
      <c r="L29" s="31"/>
      <c r="M29" s="31"/>
    </row>
    <row r="30" spans="1:13" x14ac:dyDescent="0.35">
      <c r="A30" s="414" t="s">
        <v>92</v>
      </c>
      <c r="B30" s="414"/>
      <c r="C30" s="32" t="s">
        <v>7</v>
      </c>
      <c r="D30" s="32"/>
      <c r="E30" s="414" t="s">
        <v>73</v>
      </c>
      <c r="F30" s="414"/>
      <c r="G30" s="414" t="s">
        <v>74</v>
      </c>
      <c r="H30" s="414"/>
      <c r="I30" s="31"/>
      <c r="J30" s="31"/>
      <c r="K30" s="31" t="s">
        <v>75</v>
      </c>
      <c r="L30" s="33"/>
      <c r="M30" s="33"/>
    </row>
    <row r="31" spans="1:13" x14ac:dyDescent="0.35">
      <c r="A31" s="412" t="s">
        <v>94</v>
      </c>
      <c r="B31" s="412"/>
      <c r="C31" s="34" t="s">
        <v>77</v>
      </c>
      <c r="D31" s="34"/>
      <c r="E31" s="414" t="s">
        <v>78</v>
      </c>
      <c r="F31" s="414"/>
      <c r="G31" s="414" t="s">
        <v>79</v>
      </c>
      <c r="H31" s="414"/>
      <c r="I31" s="33"/>
      <c r="J31" s="33"/>
      <c r="K31" s="33" t="s">
        <v>80</v>
      </c>
      <c r="L31" s="34"/>
      <c r="M31" s="34"/>
    </row>
    <row r="32" spans="1:13" x14ac:dyDescent="0.35">
      <c r="A32" s="412" t="s">
        <v>76</v>
      </c>
      <c r="B32" s="412"/>
      <c r="C32" s="34" t="s">
        <v>81</v>
      </c>
      <c r="D32" s="34"/>
      <c r="E32" s="412" t="s">
        <v>76</v>
      </c>
      <c r="F32" s="412"/>
      <c r="G32" s="412" t="s">
        <v>76</v>
      </c>
      <c r="H32" s="412"/>
      <c r="I32" s="33"/>
      <c r="J32" s="33"/>
      <c r="K32" s="33"/>
    </row>
    <row r="36" spans="1:2" x14ac:dyDescent="0.35">
      <c r="A36" s="417" t="s">
        <v>114</v>
      </c>
      <c r="B36" s="417"/>
    </row>
    <row r="37" spans="1:2" x14ac:dyDescent="0.35">
      <c r="A37" s="418" t="s">
        <v>115</v>
      </c>
      <c r="B37" s="418"/>
    </row>
    <row r="38" spans="1:2" x14ac:dyDescent="0.35">
      <c r="A38" s="422" t="s">
        <v>116</v>
      </c>
      <c r="B38" s="418"/>
    </row>
    <row r="39" spans="1:2" x14ac:dyDescent="0.35">
      <c r="A39" s="416" t="s">
        <v>117</v>
      </c>
      <c r="B39" s="416"/>
    </row>
  </sheetData>
  <mergeCells count="38">
    <mergeCell ref="A4:B4"/>
    <mergeCell ref="C4:M4"/>
    <mergeCell ref="A1:M1"/>
    <mergeCell ref="A2:B2"/>
    <mergeCell ref="C2:M2"/>
    <mergeCell ref="A3:B3"/>
    <mergeCell ref="C3:M3"/>
    <mergeCell ref="A23:G23"/>
    <mergeCell ref="A5:B5"/>
    <mergeCell ref="C5:M5"/>
    <mergeCell ref="A6:B6"/>
    <mergeCell ref="C6:M6"/>
    <mergeCell ref="A7:B7"/>
    <mergeCell ref="C7:M7"/>
    <mergeCell ref="A8:B8"/>
    <mergeCell ref="C8:M8"/>
    <mergeCell ref="A9:B9"/>
    <mergeCell ref="C9:M9"/>
    <mergeCell ref="A10:M10"/>
    <mergeCell ref="A28:B28"/>
    <mergeCell ref="E28:F28"/>
    <mergeCell ref="I28:J28"/>
    <mergeCell ref="A29:B29"/>
    <mergeCell ref="E29:F29"/>
    <mergeCell ref="G29:H29"/>
    <mergeCell ref="A30:B30"/>
    <mergeCell ref="E30:F30"/>
    <mergeCell ref="G30:H30"/>
    <mergeCell ref="A31:B31"/>
    <mergeCell ref="E31:F31"/>
    <mergeCell ref="G31:H31"/>
    <mergeCell ref="A39:B39"/>
    <mergeCell ref="A32:B32"/>
    <mergeCell ref="E32:F32"/>
    <mergeCell ref="G32:H32"/>
    <mergeCell ref="A36:B36"/>
    <mergeCell ref="A37:B37"/>
    <mergeCell ref="A38:B38"/>
  </mergeCells>
  <pageMargins left="0.25" right="0.25" top="0.75" bottom="0.75" header="0.3" footer="0.3"/>
  <pageSetup scale="76"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74BF-5F16-43AE-ADFC-B231B889270A}">
  <sheetPr codeName="Sheet11">
    <pageSetUpPr fitToPage="1"/>
  </sheetPr>
  <dimension ref="A1:M42"/>
  <sheetViews>
    <sheetView topLeftCell="A43" workbookViewId="0">
      <selection sqref="A1:M4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224</v>
      </c>
      <c r="D3" s="403"/>
      <c r="E3" s="403"/>
      <c r="F3" s="403"/>
      <c r="G3" s="403"/>
      <c r="H3" s="403"/>
      <c r="I3" s="403"/>
      <c r="J3" s="403"/>
      <c r="K3" s="403"/>
      <c r="L3" s="403"/>
      <c r="M3" s="385"/>
    </row>
    <row r="4" spans="1:13" x14ac:dyDescent="0.35">
      <c r="A4" s="384" t="s">
        <v>4</v>
      </c>
      <c r="B4" s="385"/>
      <c r="C4" s="393" t="s">
        <v>225</v>
      </c>
      <c r="D4" s="394"/>
      <c r="E4" s="394"/>
      <c r="F4" s="394"/>
      <c r="G4" s="394"/>
      <c r="H4" s="394"/>
      <c r="I4" s="394"/>
      <c r="J4" s="394"/>
      <c r="K4" s="394"/>
      <c r="L4" s="394"/>
      <c r="M4" s="395"/>
    </row>
    <row r="5" spans="1:13" x14ac:dyDescent="0.35">
      <c r="A5" s="384" t="s">
        <v>5</v>
      </c>
      <c r="B5" s="385"/>
      <c r="C5" s="387">
        <v>45587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H26</f>
        <v>335000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226</v>
      </c>
      <c r="J11" s="3" t="s">
        <v>18</v>
      </c>
      <c r="K11" s="3" t="s">
        <v>19</v>
      </c>
      <c r="L11" s="3" t="s">
        <v>20</v>
      </c>
      <c r="M11" s="4" t="s">
        <v>21</v>
      </c>
    </row>
    <row r="12" spans="1:13" x14ac:dyDescent="0.35">
      <c r="A12" s="5">
        <v>1</v>
      </c>
      <c r="B12" s="69" t="s">
        <v>119</v>
      </c>
      <c r="C12" s="69" t="s">
        <v>49</v>
      </c>
      <c r="D12" s="70" t="s">
        <v>63</v>
      </c>
      <c r="E12" s="70" t="s">
        <v>24</v>
      </c>
      <c r="F12" s="68" t="s">
        <v>25</v>
      </c>
      <c r="G12" s="68" t="s">
        <v>202</v>
      </c>
      <c r="H12" s="79">
        <v>50000</v>
      </c>
      <c r="I12" s="82">
        <v>38160</v>
      </c>
      <c r="J12" s="82">
        <v>55668</v>
      </c>
      <c r="K12" s="11">
        <v>45570</v>
      </c>
      <c r="L12" s="79">
        <v>50000</v>
      </c>
      <c r="M12" s="84" t="s">
        <v>176</v>
      </c>
    </row>
    <row r="13" spans="1:13" x14ac:dyDescent="0.35">
      <c r="A13" s="5">
        <v>2</v>
      </c>
      <c r="B13" s="71" t="s">
        <v>227</v>
      </c>
      <c r="C13" s="72" t="s">
        <v>49</v>
      </c>
      <c r="D13" s="73" t="s">
        <v>54</v>
      </c>
      <c r="E13" s="44" t="s">
        <v>24</v>
      </c>
      <c r="F13" s="44" t="s">
        <v>25</v>
      </c>
      <c r="G13" s="73" t="s">
        <v>55</v>
      </c>
      <c r="H13" s="80">
        <v>10000</v>
      </c>
      <c r="I13" s="10">
        <v>10871</v>
      </c>
      <c r="J13" s="10">
        <v>40146</v>
      </c>
      <c r="K13" s="11">
        <v>45573</v>
      </c>
      <c r="L13" s="80">
        <v>15000</v>
      </c>
      <c r="M13" s="17" t="s">
        <v>204</v>
      </c>
    </row>
    <row r="14" spans="1:13" x14ac:dyDescent="0.35">
      <c r="A14" s="5">
        <v>3</v>
      </c>
      <c r="B14" s="16" t="s">
        <v>228</v>
      </c>
      <c r="C14" s="7" t="s">
        <v>49</v>
      </c>
      <c r="D14" s="8" t="s">
        <v>57</v>
      </c>
      <c r="E14" s="5" t="s">
        <v>24</v>
      </c>
      <c r="F14" s="5" t="s">
        <v>25</v>
      </c>
      <c r="G14" s="8" t="s">
        <v>58</v>
      </c>
      <c r="H14" s="80">
        <v>15000</v>
      </c>
      <c r="I14" s="10">
        <v>25000</v>
      </c>
      <c r="J14" s="10">
        <v>30556</v>
      </c>
      <c r="K14" s="11">
        <v>45567</v>
      </c>
      <c r="L14" s="80">
        <v>20000</v>
      </c>
      <c r="M14" s="17" t="s">
        <v>204</v>
      </c>
    </row>
    <row r="15" spans="1:13" x14ac:dyDescent="0.35">
      <c r="A15" s="5">
        <v>4</v>
      </c>
      <c r="B15" s="71" t="s">
        <v>229</v>
      </c>
      <c r="C15" s="72" t="s">
        <v>23</v>
      </c>
      <c r="D15" s="44" t="s">
        <v>47</v>
      </c>
      <c r="E15" s="44" t="s">
        <v>24</v>
      </c>
      <c r="F15" s="44" t="s">
        <v>25</v>
      </c>
      <c r="G15" s="44" t="s">
        <v>102</v>
      </c>
      <c r="H15" s="80">
        <v>20000</v>
      </c>
      <c r="I15" s="10">
        <v>23150</v>
      </c>
      <c r="J15" s="10">
        <v>27950</v>
      </c>
      <c r="K15" s="11">
        <v>45567</v>
      </c>
      <c r="L15" s="80">
        <v>25000</v>
      </c>
      <c r="M15" s="17" t="s">
        <v>204</v>
      </c>
    </row>
    <row r="16" spans="1:13" x14ac:dyDescent="0.35">
      <c r="A16" s="5">
        <v>5</v>
      </c>
      <c r="B16" s="16" t="s">
        <v>230</v>
      </c>
      <c r="C16" s="7" t="s">
        <v>49</v>
      </c>
      <c r="D16" s="8" t="s">
        <v>50</v>
      </c>
      <c r="E16" s="5" t="s">
        <v>24</v>
      </c>
      <c r="F16" s="5" t="s">
        <v>25</v>
      </c>
      <c r="G16" s="8" t="s">
        <v>51</v>
      </c>
      <c r="H16" s="80">
        <v>25000</v>
      </c>
      <c r="I16" s="10">
        <v>18500</v>
      </c>
      <c r="J16" s="10">
        <v>21575</v>
      </c>
      <c r="K16" s="11">
        <v>45574</v>
      </c>
      <c r="L16" s="80">
        <v>20000</v>
      </c>
      <c r="M16" s="17" t="s">
        <v>132</v>
      </c>
    </row>
    <row r="17" spans="1:13" x14ac:dyDescent="0.35">
      <c r="A17" s="5">
        <v>6</v>
      </c>
      <c r="B17" s="16" t="s">
        <v>231</v>
      </c>
      <c r="C17" s="7" t="s">
        <v>49</v>
      </c>
      <c r="D17" s="8" t="s">
        <v>60</v>
      </c>
      <c r="E17" s="5" t="s">
        <v>24</v>
      </c>
      <c r="F17" s="5" t="s">
        <v>25</v>
      </c>
      <c r="G17" s="8" t="s">
        <v>61</v>
      </c>
      <c r="H17" s="80">
        <v>15000</v>
      </c>
      <c r="I17" s="10">
        <v>26400</v>
      </c>
      <c r="J17" s="10">
        <v>32956</v>
      </c>
      <c r="K17" s="11">
        <v>45567</v>
      </c>
      <c r="L17" s="80">
        <v>15000</v>
      </c>
      <c r="M17" s="17" t="s">
        <v>132</v>
      </c>
    </row>
    <row r="18" spans="1:13" x14ac:dyDescent="0.35">
      <c r="A18" s="5">
        <v>7</v>
      </c>
      <c r="B18" s="71" t="s">
        <v>232</v>
      </c>
      <c r="C18" s="72" t="s">
        <v>233</v>
      </c>
      <c r="D18" s="44" t="s">
        <v>234</v>
      </c>
      <c r="E18" s="5" t="s">
        <v>24</v>
      </c>
      <c r="F18" s="5" t="s">
        <v>25</v>
      </c>
      <c r="G18" s="44" t="s">
        <v>235</v>
      </c>
      <c r="H18" s="80">
        <v>70000</v>
      </c>
      <c r="I18" s="10">
        <v>78800</v>
      </c>
      <c r="J18" s="10">
        <v>111383</v>
      </c>
      <c r="K18" s="11">
        <v>45567</v>
      </c>
      <c r="L18" s="80">
        <v>80000</v>
      </c>
      <c r="M18" s="17" t="s">
        <v>236</v>
      </c>
    </row>
    <row r="19" spans="1:13" x14ac:dyDescent="0.35">
      <c r="A19" s="5">
        <v>8</v>
      </c>
      <c r="B19" s="71" t="s">
        <v>26</v>
      </c>
      <c r="C19" s="72" t="s">
        <v>23</v>
      </c>
      <c r="D19" s="73" t="s">
        <v>27</v>
      </c>
      <c r="E19" s="44" t="s">
        <v>24</v>
      </c>
      <c r="F19" s="44" t="s">
        <v>25</v>
      </c>
      <c r="G19" s="75" t="s">
        <v>28</v>
      </c>
      <c r="H19" s="80">
        <v>8000</v>
      </c>
      <c r="I19" s="10">
        <v>10226</v>
      </c>
      <c r="J19" s="10">
        <v>22226</v>
      </c>
      <c r="K19" s="11">
        <v>45543</v>
      </c>
      <c r="L19" s="80">
        <v>5000</v>
      </c>
      <c r="M19" s="12" t="s">
        <v>154</v>
      </c>
    </row>
    <row r="20" spans="1:13" x14ac:dyDescent="0.35">
      <c r="A20" s="5">
        <v>9</v>
      </c>
      <c r="B20" s="71" t="s">
        <v>30</v>
      </c>
      <c r="C20" s="72" t="s">
        <v>23</v>
      </c>
      <c r="D20" s="44" t="s">
        <v>31</v>
      </c>
      <c r="E20" s="44" t="s">
        <v>32</v>
      </c>
      <c r="F20" s="44" t="s">
        <v>25</v>
      </c>
      <c r="G20" s="44" t="s">
        <v>33</v>
      </c>
      <c r="H20" s="80">
        <v>50000</v>
      </c>
      <c r="I20" s="10">
        <v>41117</v>
      </c>
      <c r="J20" s="10">
        <v>54917</v>
      </c>
      <c r="K20" s="11">
        <v>45574</v>
      </c>
      <c r="L20" s="80">
        <v>50000</v>
      </c>
      <c r="M20" s="17" t="s">
        <v>104</v>
      </c>
    </row>
    <row r="21" spans="1:13" x14ac:dyDescent="0.35">
      <c r="A21" s="5">
        <v>10</v>
      </c>
      <c r="B21" s="71" t="s">
        <v>22</v>
      </c>
      <c r="C21" s="72" t="s">
        <v>23</v>
      </c>
      <c r="D21" s="44" t="s">
        <v>205</v>
      </c>
      <c r="E21" s="44" t="s">
        <v>24</v>
      </c>
      <c r="F21" s="44" t="s">
        <v>25</v>
      </c>
      <c r="G21" s="44" t="s">
        <v>105</v>
      </c>
      <c r="H21" s="80">
        <v>15000</v>
      </c>
      <c r="I21" s="10">
        <v>29979</v>
      </c>
      <c r="J21" s="10">
        <v>37979</v>
      </c>
      <c r="K21" s="11">
        <v>45573</v>
      </c>
      <c r="L21" s="80">
        <v>15000</v>
      </c>
      <c r="M21" s="17" t="s">
        <v>96</v>
      </c>
    </row>
    <row r="22" spans="1:13" x14ac:dyDescent="0.35">
      <c r="A22" s="5">
        <v>11</v>
      </c>
      <c r="B22" s="71" t="s">
        <v>36</v>
      </c>
      <c r="C22" s="76" t="s">
        <v>23</v>
      </c>
      <c r="D22" s="77">
        <v>1311</v>
      </c>
      <c r="E22" s="44" t="s">
        <v>24</v>
      </c>
      <c r="F22" s="77" t="s">
        <v>25</v>
      </c>
      <c r="G22" s="75" t="s">
        <v>37</v>
      </c>
      <c r="H22" s="80">
        <v>7000</v>
      </c>
      <c r="I22" s="10">
        <v>10933</v>
      </c>
      <c r="J22" s="10">
        <v>21933</v>
      </c>
      <c r="K22" s="11">
        <v>45538</v>
      </c>
      <c r="L22" s="80">
        <v>4000</v>
      </c>
      <c r="M22" s="12" t="s">
        <v>154</v>
      </c>
    </row>
    <row r="23" spans="1:13" x14ac:dyDescent="0.35">
      <c r="A23" s="5">
        <v>12</v>
      </c>
      <c r="B23" s="71" t="s">
        <v>38</v>
      </c>
      <c r="C23" s="72" t="s">
        <v>23</v>
      </c>
      <c r="D23" s="73" t="s">
        <v>39</v>
      </c>
      <c r="E23" s="44" t="s">
        <v>24</v>
      </c>
      <c r="F23" s="44" t="s">
        <v>25</v>
      </c>
      <c r="G23" s="73" t="s">
        <v>40</v>
      </c>
      <c r="H23" s="80">
        <v>5000</v>
      </c>
      <c r="I23" s="10">
        <v>13601</v>
      </c>
      <c r="J23" s="10">
        <v>16601</v>
      </c>
      <c r="K23" s="11">
        <v>45573</v>
      </c>
      <c r="L23" s="80">
        <v>5000</v>
      </c>
      <c r="M23" s="12" t="s">
        <v>154</v>
      </c>
    </row>
    <row r="24" spans="1:13" x14ac:dyDescent="0.35">
      <c r="A24" s="5">
        <v>13</v>
      </c>
      <c r="B24" s="74" t="s">
        <v>41</v>
      </c>
      <c r="C24" s="72" t="s">
        <v>42</v>
      </c>
      <c r="D24" s="73" t="s">
        <v>43</v>
      </c>
      <c r="E24" s="44" t="s">
        <v>24</v>
      </c>
      <c r="F24" s="44" t="s">
        <v>44</v>
      </c>
      <c r="G24" s="44">
        <v>24024723</v>
      </c>
      <c r="H24" s="80">
        <v>25000</v>
      </c>
      <c r="I24" s="42">
        <v>33255</v>
      </c>
      <c r="J24" s="42">
        <v>45080</v>
      </c>
      <c r="K24" s="11">
        <v>45573</v>
      </c>
      <c r="L24" s="80">
        <v>35000</v>
      </c>
      <c r="M24" s="12" t="s">
        <v>237</v>
      </c>
    </row>
    <row r="25" spans="1:13" x14ac:dyDescent="0.35">
      <c r="A25" s="5">
        <v>14</v>
      </c>
      <c r="B25" s="85" t="s">
        <v>206</v>
      </c>
      <c r="C25" s="86" t="s">
        <v>144</v>
      </c>
      <c r="D25" s="53" t="s">
        <v>207</v>
      </c>
      <c r="E25" s="87" t="s">
        <v>24</v>
      </c>
      <c r="F25" s="87" t="s">
        <v>44</v>
      </c>
      <c r="G25" s="87" t="s">
        <v>208</v>
      </c>
      <c r="H25" s="88">
        <v>20000</v>
      </c>
      <c r="I25" s="42">
        <v>41295</v>
      </c>
      <c r="J25" s="42">
        <v>57402</v>
      </c>
      <c r="K25" s="11">
        <v>45573</v>
      </c>
      <c r="L25" s="88">
        <v>25000</v>
      </c>
      <c r="M25" s="12" t="s">
        <v>238</v>
      </c>
    </row>
    <row r="26" spans="1:13" x14ac:dyDescent="0.35">
      <c r="A26" s="386" t="s">
        <v>8</v>
      </c>
      <c r="B26" s="386"/>
      <c r="C26" s="386"/>
      <c r="D26" s="386"/>
      <c r="E26" s="386"/>
      <c r="F26" s="386"/>
      <c r="G26" s="386"/>
      <c r="H26" s="81">
        <f>SUM(H12:H25)</f>
        <v>335000</v>
      </c>
      <c r="I26" s="24"/>
      <c r="J26" s="25"/>
      <c r="K26" s="43"/>
      <c r="L26" s="26"/>
      <c r="M26" s="26"/>
    </row>
    <row r="27" spans="1:13" x14ac:dyDescent="0.35">
      <c r="A27" s="26"/>
      <c r="B27" s="26"/>
      <c r="C27" s="26"/>
      <c r="D27" s="26"/>
      <c r="E27" s="26"/>
      <c r="F27" s="26"/>
      <c r="G27" s="26"/>
      <c r="H27" s="26"/>
      <c r="I27" s="26"/>
      <c r="J27" s="26"/>
      <c r="K27" s="26"/>
      <c r="L27" s="26"/>
      <c r="M27" s="26"/>
    </row>
    <row r="28" spans="1:13" x14ac:dyDescent="0.35">
      <c r="A28" s="26"/>
      <c r="B28" s="26" t="s">
        <v>239</v>
      </c>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ht="15" thickBot="1" x14ac:dyDescent="0.4">
      <c r="A31" s="420" t="s">
        <v>66</v>
      </c>
      <c r="B31" s="420"/>
      <c r="C31" s="50"/>
      <c r="D31" s="26"/>
      <c r="E31" s="407" t="s">
        <v>67</v>
      </c>
      <c r="F31" s="407"/>
      <c r="G31" s="49"/>
      <c r="H31" s="49"/>
      <c r="I31" s="408"/>
      <c r="J31" s="408"/>
      <c r="K31" s="28"/>
      <c r="L31" s="29"/>
      <c r="M31" s="29"/>
    </row>
    <row r="32" spans="1:13" ht="15" thickTop="1" x14ac:dyDescent="0.35">
      <c r="A32" s="421" t="s">
        <v>69</v>
      </c>
      <c r="B32" s="421"/>
      <c r="C32" s="29" t="s">
        <v>113</v>
      </c>
      <c r="D32" s="30"/>
      <c r="E32" s="410" t="s">
        <v>70</v>
      </c>
      <c r="F32" s="410"/>
      <c r="G32" s="410" t="s">
        <v>71</v>
      </c>
      <c r="H32" s="410"/>
      <c r="I32" s="29"/>
      <c r="J32" s="29"/>
      <c r="K32" s="29" t="s">
        <v>72</v>
      </c>
      <c r="L32" s="31"/>
      <c r="M32" s="31"/>
    </row>
    <row r="33" spans="1:13" x14ac:dyDescent="0.35">
      <c r="A33" s="414" t="s">
        <v>92</v>
      </c>
      <c r="B33" s="414"/>
      <c r="C33" s="32" t="s">
        <v>7</v>
      </c>
      <c r="D33" s="32"/>
      <c r="E33" s="414" t="s">
        <v>73</v>
      </c>
      <c r="F33" s="414"/>
      <c r="G33" s="414" t="s">
        <v>74</v>
      </c>
      <c r="H33" s="414"/>
      <c r="I33" s="31"/>
      <c r="J33" s="31"/>
      <c r="K33" s="31" t="s">
        <v>75</v>
      </c>
      <c r="L33" s="33"/>
      <c r="M33" s="33"/>
    </row>
    <row r="34" spans="1:13" x14ac:dyDescent="0.35">
      <c r="A34" s="412" t="s">
        <v>94</v>
      </c>
      <c r="B34" s="412"/>
      <c r="C34" s="34" t="s">
        <v>77</v>
      </c>
      <c r="D34" s="34"/>
      <c r="E34" s="414" t="s">
        <v>78</v>
      </c>
      <c r="F34" s="414"/>
      <c r="G34" s="414" t="s">
        <v>79</v>
      </c>
      <c r="H34" s="414"/>
      <c r="I34" s="33"/>
      <c r="J34" s="33"/>
      <c r="K34" s="33" t="s">
        <v>80</v>
      </c>
      <c r="L34" s="34"/>
      <c r="M34" s="34"/>
    </row>
    <row r="35" spans="1:13" x14ac:dyDescent="0.35">
      <c r="A35" s="412" t="s">
        <v>76</v>
      </c>
      <c r="B35" s="412"/>
      <c r="C35" s="34" t="s">
        <v>81</v>
      </c>
      <c r="D35" s="34"/>
      <c r="E35" s="412" t="s">
        <v>76</v>
      </c>
      <c r="F35" s="412"/>
      <c r="G35" s="412" t="s">
        <v>76</v>
      </c>
      <c r="H35" s="412"/>
      <c r="I35" s="33"/>
      <c r="J35" s="33"/>
      <c r="K35" s="33"/>
    </row>
    <row r="39" spans="1:13" x14ac:dyDescent="0.35">
      <c r="A39" s="417" t="s">
        <v>114</v>
      </c>
      <c r="B39" s="417"/>
    </row>
    <row r="40" spans="1:13" x14ac:dyDescent="0.35">
      <c r="A40" s="418" t="s">
        <v>115</v>
      </c>
      <c r="B40" s="418"/>
    </row>
    <row r="41" spans="1:13" x14ac:dyDescent="0.35">
      <c r="A41" s="422" t="s">
        <v>116</v>
      </c>
      <c r="B41" s="418"/>
    </row>
    <row r="42" spans="1:13" x14ac:dyDescent="0.35">
      <c r="A42" s="416" t="s">
        <v>117</v>
      </c>
      <c r="B42" s="416"/>
    </row>
  </sheetData>
  <mergeCells count="38">
    <mergeCell ref="A42:B42"/>
    <mergeCell ref="A35:B35"/>
    <mergeCell ref="E35:F35"/>
    <mergeCell ref="G35:H35"/>
    <mergeCell ref="A39:B39"/>
    <mergeCell ref="A40:B40"/>
    <mergeCell ref="A41:B41"/>
    <mergeCell ref="A33:B33"/>
    <mergeCell ref="E33:F33"/>
    <mergeCell ref="G33:H33"/>
    <mergeCell ref="A34:B34"/>
    <mergeCell ref="E34:F34"/>
    <mergeCell ref="G34:H34"/>
    <mergeCell ref="A31:B31"/>
    <mergeCell ref="E31:F31"/>
    <mergeCell ref="I31:J31"/>
    <mergeCell ref="A32:B32"/>
    <mergeCell ref="E32:F32"/>
    <mergeCell ref="G32:H32"/>
    <mergeCell ref="A26:G26"/>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6"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EB78-70B1-4433-883E-41864DA7A6C1}">
  <sheetPr>
    <pageSetUpPr fitToPage="1"/>
  </sheetPr>
  <dimension ref="A1:M47"/>
  <sheetViews>
    <sheetView topLeftCell="A10" workbookViewId="0">
      <selection sqref="A1:M4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224</v>
      </c>
      <c r="D3" s="403"/>
      <c r="E3" s="403"/>
      <c r="F3" s="403"/>
      <c r="G3" s="403"/>
      <c r="H3" s="403"/>
      <c r="I3" s="403"/>
      <c r="J3" s="403"/>
      <c r="K3" s="403"/>
      <c r="L3" s="403"/>
      <c r="M3" s="385"/>
    </row>
    <row r="4" spans="1:13" x14ac:dyDescent="0.35">
      <c r="A4" s="384" t="s">
        <v>4</v>
      </c>
      <c r="B4" s="385"/>
      <c r="C4" s="393" t="s">
        <v>250</v>
      </c>
      <c r="D4" s="394"/>
      <c r="E4" s="394"/>
      <c r="F4" s="394"/>
      <c r="G4" s="394"/>
      <c r="H4" s="394"/>
      <c r="I4" s="394"/>
      <c r="J4" s="394"/>
      <c r="K4" s="394"/>
      <c r="L4" s="394"/>
      <c r="M4" s="395"/>
    </row>
    <row r="5" spans="1:13" x14ac:dyDescent="0.35">
      <c r="A5" s="384" t="s">
        <v>5</v>
      </c>
      <c r="B5" s="385"/>
      <c r="C5" s="387">
        <v>45622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H27</f>
        <v>311000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251</v>
      </c>
      <c r="J11" s="3" t="s">
        <v>18</v>
      </c>
      <c r="K11" s="3" t="s">
        <v>19</v>
      </c>
      <c r="L11" s="3" t="s">
        <v>20</v>
      </c>
      <c r="M11" s="4" t="s">
        <v>21</v>
      </c>
    </row>
    <row r="12" spans="1:13" x14ac:dyDescent="0.35">
      <c r="A12" s="5">
        <v>1</v>
      </c>
      <c r="B12" s="69" t="s">
        <v>119</v>
      </c>
      <c r="C12" s="69" t="s">
        <v>49</v>
      </c>
      <c r="D12" s="70" t="s">
        <v>63</v>
      </c>
      <c r="E12" s="70" t="s">
        <v>24</v>
      </c>
      <c r="F12" s="68" t="s">
        <v>25</v>
      </c>
      <c r="G12" s="68" t="s">
        <v>202</v>
      </c>
      <c r="H12" s="79">
        <v>50000</v>
      </c>
      <c r="I12" s="82">
        <v>34500</v>
      </c>
      <c r="J12" s="82">
        <v>48575</v>
      </c>
      <c r="K12" s="11">
        <v>45604</v>
      </c>
      <c r="L12" s="79">
        <v>50000</v>
      </c>
      <c r="M12" s="84" t="s">
        <v>176</v>
      </c>
    </row>
    <row r="13" spans="1:13" x14ac:dyDescent="0.35">
      <c r="A13" s="5">
        <v>2</v>
      </c>
      <c r="B13" s="71" t="s">
        <v>227</v>
      </c>
      <c r="C13" s="72" t="s">
        <v>49</v>
      </c>
      <c r="D13" s="73" t="s">
        <v>54</v>
      </c>
      <c r="E13" s="44" t="s">
        <v>24</v>
      </c>
      <c r="F13" s="44" t="s">
        <v>25</v>
      </c>
      <c r="G13" s="73" t="s">
        <v>55</v>
      </c>
      <c r="H13" s="80">
        <v>15000</v>
      </c>
      <c r="I13" s="10">
        <v>32000</v>
      </c>
      <c r="J13" s="10">
        <v>36148</v>
      </c>
      <c r="K13" s="11">
        <v>45604</v>
      </c>
      <c r="L13" s="80">
        <v>10000</v>
      </c>
      <c r="M13" s="17" t="s">
        <v>204</v>
      </c>
    </row>
    <row r="14" spans="1:13" x14ac:dyDescent="0.35">
      <c r="A14" s="5">
        <v>3</v>
      </c>
      <c r="B14" s="16" t="s">
        <v>228</v>
      </c>
      <c r="C14" s="7" t="s">
        <v>49</v>
      </c>
      <c r="D14" s="8" t="s">
        <v>57</v>
      </c>
      <c r="E14" s="5" t="s">
        <v>24</v>
      </c>
      <c r="F14" s="5" t="s">
        <v>25</v>
      </c>
      <c r="G14" s="8" t="s">
        <v>58</v>
      </c>
      <c r="H14" s="80">
        <v>20000</v>
      </c>
      <c r="I14" s="10">
        <v>26500</v>
      </c>
      <c r="J14" s="10">
        <v>30598</v>
      </c>
      <c r="K14" s="11">
        <v>45604</v>
      </c>
      <c r="L14" s="80">
        <v>15000</v>
      </c>
      <c r="M14" s="17" t="s">
        <v>204</v>
      </c>
    </row>
    <row r="15" spans="1:13" x14ac:dyDescent="0.35">
      <c r="A15" s="5">
        <v>4</v>
      </c>
      <c r="B15" s="71" t="s">
        <v>229</v>
      </c>
      <c r="C15" s="72" t="s">
        <v>23</v>
      </c>
      <c r="D15" s="44" t="s">
        <v>47</v>
      </c>
      <c r="E15" s="44" t="s">
        <v>24</v>
      </c>
      <c r="F15" s="44" t="s">
        <v>25</v>
      </c>
      <c r="G15" s="44" t="s">
        <v>102</v>
      </c>
      <c r="H15" s="80">
        <v>20000</v>
      </c>
      <c r="I15" s="10">
        <v>25000</v>
      </c>
      <c r="J15" s="10">
        <v>29096</v>
      </c>
      <c r="K15" s="11">
        <v>45604</v>
      </c>
      <c r="L15" s="80">
        <v>20000</v>
      </c>
      <c r="M15" s="17" t="s">
        <v>204</v>
      </c>
    </row>
    <row r="16" spans="1:13" x14ac:dyDescent="0.35">
      <c r="A16" s="5">
        <v>5</v>
      </c>
      <c r="B16" s="16" t="s">
        <v>230</v>
      </c>
      <c r="C16" s="7" t="s">
        <v>49</v>
      </c>
      <c r="D16" s="8" t="s">
        <v>50</v>
      </c>
      <c r="E16" s="5" t="s">
        <v>24</v>
      </c>
      <c r="F16" s="5" t="s">
        <v>25</v>
      </c>
      <c r="G16" s="8" t="s">
        <v>51</v>
      </c>
      <c r="H16" s="80">
        <v>20000</v>
      </c>
      <c r="I16" s="10">
        <v>18800</v>
      </c>
      <c r="J16" s="10">
        <v>22299</v>
      </c>
      <c r="K16" s="11">
        <v>45604</v>
      </c>
      <c r="L16" s="80">
        <v>20000</v>
      </c>
      <c r="M16" s="17" t="s">
        <v>132</v>
      </c>
    </row>
    <row r="17" spans="1:13" x14ac:dyDescent="0.35">
      <c r="A17" s="5">
        <v>6</v>
      </c>
      <c r="B17" s="16" t="s">
        <v>231</v>
      </c>
      <c r="C17" s="7" t="s">
        <v>49</v>
      </c>
      <c r="D17" s="8" t="s">
        <v>60</v>
      </c>
      <c r="E17" s="5" t="s">
        <v>24</v>
      </c>
      <c r="F17" s="5" t="s">
        <v>25</v>
      </c>
      <c r="G17" s="8" t="s">
        <v>61</v>
      </c>
      <c r="H17" s="80">
        <v>15000</v>
      </c>
      <c r="I17" s="10">
        <v>29700</v>
      </c>
      <c r="J17" s="10">
        <v>34706</v>
      </c>
      <c r="K17" s="11">
        <v>45604</v>
      </c>
      <c r="L17" s="80">
        <v>15000</v>
      </c>
      <c r="M17" s="17" t="s">
        <v>132</v>
      </c>
    </row>
    <row r="18" spans="1:13" x14ac:dyDescent="0.35">
      <c r="A18" s="5">
        <v>7</v>
      </c>
      <c r="B18" s="71" t="s">
        <v>232</v>
      </c>
      <c r="C18" s="72" t="s">
        <v>233</v>
      </c>
      <c r="D18" s="44" t="s">
        <v>234</v>
      </c>
      <c r="E18" s="5" t="s">
        <v>24</v>
      </c>
      <c r="F18" s="5" t="s">
        <v>25</v>
      </c>
      <c r="G18" s="44" t="s">
        <v>235</v>
      </c>
      <c r="H18" s="80">
        <v>60000</v>
      </c>
      <c r="I18" s="10">
        <v>91500</v>
      </c>
      <c r="J18" s="10">
        <v>111565</v>
      </c>
      <c r="K18" s="11">
        <v>45604</v>
      </c>
      <c r="L18" s="80">
        <v>70000</v>
      </c>
      <c r="M18" s="17" t="s">
        <v>236</v>
      </c>
    </row>
    <row r="19" spans="1:13" x14ac:dyDescent="0.35">
      <c r="A19" s="5">
        <v>8</v>
      </c>
      <c r="B19" s="71" t="s">
        <v>26</v>
      </c>
      <c r="C19" s="72" t="s">
        <v>23</v>
      </c>
      <c r="D19" s="73" t="s">
        <v>27</v>
      </c>
      <c r="E19" s="44" t="s">
        <v>24</v>
      </c>
      <c r="F19" s="44" t="s">
        <v>25</v>
      </c>
      <c r="G19" s="75" t="s">
        <v>28</v>
      </c>
      <c r="H19" s="80">
        <v>4000</v>
      </c>
      <c r="I19" s="10">
        <v>17744</v>
      </c>
      <c r="J19" s="10">
        <v>19544</v>
      </c>
      <c r="K19" s="11">
        <v>45604</v>
      </c>
      <c r="L19" s="80">
        <v>5000</v>
      </c>
      <c r="M19" s="12" t="s">
        <v>154</v>
      </c>
    </row>
    <row r="20" spans="1:13" x14ac:dyDescent="0.35">
      <c r="A20" s="5">
        <v>9</v>
      </c>
      <c r="B20" s="71" t="s">
        <v>30</v>
      </c>
      <c r="C20" s="72" t="s">
        <v>23</v>
      </c>
      <c r="D20" s="44" t="s">
        <v>31</v>
      </c>
      <c r="E20" s="44" t="s">
        <v>32</v>
      </c>
      <c r="F20" s="44" t="s">
        <v>25</v>
      </c>
      <c r="G20" s="44" t="s">
        <v>33</v>
      </c>
      <c r="H20" s="80">
        <v>45000</v>
      </c>
      <c r="I20" s="10">
        <v>58848</v>
      </c>
      <c r="J20" s="10">
        <v>71648</v>
      </c>
      <c r="K20" s="11">
        <v>45604</v>
      </c>
      <c r="L20" s="80">
        <v>50000</v>
      </c>
      <c r="M20" s="17" t="s">
        <v>104</v>
      </c>
    </row>
    <row r="21" spans="1:13" x14ac:dyDescent="0.35">
      <c r="A21" s="5">
        <v>10</v>
      </c>
      <c r="B21" s="71" t="s">
        <v>22</v>
      </c>
      <c r="C21" s="72" t="s">
        <v>23</v>
      </c>
      <c r="D21" s="44" t="s">
        <v>205</v>
      </c>
      <c r="E21" s="44" t="s">
        <v>24</v>
      </c>
      <c r="F21" s="44" t="s">
        <v>25</v>
      </c>
      <c r="G21" s="44" t="s">
        <v>105</v>
      </c>
      <c r="H21" s="80">
        <v>12000</v>
      </c>
      <c r="I21" s="10">
        <v>31929</v>
      </c>
      <c r="J21" s="10">
        <v>44729</v>
      </c>
      <c r="K21" s="11">
        <v>45595</v>
      </c>
      <c r="L21" s="80">
        <v>12000</v>
      </c>
      <c r="M21" s="17" t="s">
        <v>96</v>
      </c>
    </row>
    <row r="22" spans="1:13" x14ac:dyDescent="0.35">
      <c r="A22" s="5">
        <v>11</v>
      </c>
      <c r="B22" s="71" t="s">
        <v>36</v>
      </c>
      <c r="C22" s="76" t="s">
        <v>23</v>
      </c>
      <c r="D22" s="77">
        <v>1311</v>
      </c>
      <c r="E22" s="44" t="s">
        <v>24</v>
      </c>
      <c r="F22" s="77" t="s">
        <v>25</v>
      </c>
      <c r="G22" s="75" t="s">
        <v>37</v>
      </c>
      <c r="H22" s="80">
        <v>6000</v>
      </c>
      <c r="I22" s="10">
        <v>11415</v>
      </c>
      <c r="J22" s="10">
        <v>16515</v>
      </c>
      <c r="K22" s="11">
        <v>45594</v>
      </c>
      <c r="L22" s="80">
        <v>7000</v>
      </c>
      <c r="M22" s="12" t="s">
        <v>154</v>
      </c>
    </row>
    <row r="23" spans="1:13" x14ac:dyDescent="0.35">
      <c r="A23" s="5">
        <v>12</v>
      </c>
      <c r="B23" s="71" t="s">
        <v>38</v>
      </c>
      <c r="C23" s="72" t="s">
        <v>23</v>
      </c>
      <c r="D23" s="73" t="s">
        <v>39</v>
      </c>
      <c r="E23" s="44" t="s">
        <v>24</v>
      </c>
      <c r="F23" s="44" t="s">
        <v>25</v>
      </c>
      <c r="G23" s="73" t="s">
        <v>40</v>
      </c>
      <c r="H23" s="80">
        <v>4000</v>
      </c>
      <c r="I23" s="10">
        <v>12908</v>
      </c>
      <c r="J23" s="10">
        <v>17708</v>
      </c>
      <c r="K23" s="11">
        <v>45595</v>
      </c>
      <c r="L23" s="80">
        <v>12923</v>
      </c>
      <c r="M23" s="12" t="s">
        <v>154</v>
      </c>
    </row>
    <row r="24" spans="1:13" x14ac:dyDescent="0.35">
      <c r="A24" s="5">
        <v>13</v>
      </c>
      <c r="B24" s="74" t="s">
        <v>155</v>
      </c>
      <c r="C24" s="72" t="s">
        <v>23</v>
      </c>
      <c r="D24" s="73">
        <v>731</v>
      </c>
      <c r="E24" s="44" t="s">
        <v>24</v>
      </c>
      <c r="F24" s="44" t="s">
        <v>25</v>
      </c>
      <c r="G24" s="73" t="s">
        <v>131</v>
      </c>
      <c r="H24" s="80">
        <v>7000</v>
      </c>
      <c r="I24" s="10">
        <v>12460</v>
      </c>
      <c r="J24" s="10">
        <v>21460</v>
      </c>
      <c r="K24" s="11">
        <v>45581</v>
      </c>
      <c r="L24" s="80">
        <v>7000</v>
      </c>
      <c r="M24" s="12" t="s">
        <v>154</v>
      </c>
    </row>
    <row r="25" spans="1:13" x14ac:dyDescent="0.35">
      <c r="A25" s="5">
        <v>14</v>
      </c>
      <c r="B25" s="6" t="s">
        <v>34</v>
      </c>
      <c r="C25" s="14" t="s">
        <v>23</v>
      </c>
      <c r="D25" s="15">
        <v>1149</v>
      </c>
      <c r="E25" s="15" t="s">
        <v>24</v>
      </c>
      <c r="F25" s="15" t="s">
        <v>25</v>
      </c>
      <c r="G25" s="13" t="s">
        <v>35</v>
      </c>
      <c r="H25" s="80">
        <v>8000</v>
      </c>
      <c r="I25" s="10">
        <v>14500</v>
      </c>
      <c r="J25" s="10">
        <v>23351</v>
      </c>
      <c r="K25" s="11">
        <v>45575</v>
      </c>
      <c r="L25" s="80">
        <v>7000</v>
      </c>
      <c r="M25" s="17" t="s">
        <v>29</v>
      </c>
    </row>
    <row r="26" spans="1:13" x14ac:dyDescent="0.35">
      <c r="A26" s="5">
        <v>15</v>
      </c>
      <c r="B26" s="74" t="s">
        <v>41</v>
      </c>
      <c r="C26" s="72" t="s">
        <v>42</v>
      </c>
      <c r="D26" s="73" t="s">
        <v>43</v>
      </c>
      <c r="E26" s="44" t="s">
        <v>24</v>
      </c>
      <c r="F26" s="44" t="s">
        <v>44</v>
      </c>
      <c r="G26" s="44">
        <v>24024723</v>
      </c>
      <c r="H26" s="80">
        <v>25000</v>
      </c>
      <c r="I26" s="42">
        <v>29096</v>
      </c>
      <c r="J26" s="42">
        <v>40133</v>
      </c>
      <c r="K26" s="11">
        <v>45604</v>
      </c>
      <c r="L26" s="80">
        <v>25000</v>
      </c>
      <c r="M26" s="12" t="s">
        <v>237</v>
      </c>
    </row>
    <row r="27" spans="1:13" x14ac:dyDescent="0.35">
      <c r="A27" s="386" t="s">
        <v>8</v>
      </c>
      <c r="B27" s="386"/>
      <c r="C27" s="386"/>
      <c r="D27" s="386"/>
      <c r="E27" s="386"/>
      <c r="F27" s="386"/>
      <c r="G27" s="386"/>
      <c r="H27" s="81">
        <f>SUM(H12:H26)</f>
        <v>311000</v>
      </c>
      <c r="I27" s="24"/>
      <c r="J27" s="25"/>
      <c r="K27" s="43"/>
      <c r="L27" s="26"/>
      <c r="M27" s="26"/>
    </row>
    <row r="28" spans="1:13" x14ac:dyDescent="0.35">
      <c r="A28" s="26"/>
      <c r="B28" s="26"/>
      <c r="C28" s="26"/>
      <c r="D28" s="26"/>
      <c r="E28" s="26"/>
      <c r="F28" s="26"/>
      <c r="G28" s="26"/>
      <c r="H28" s="26"/>
      <c r="I28" s="26"/>
      <c r="J28" s="26"/>
      <c r="K28" s="26"/>
      <c r="L28" s="26"/>
      <c r="M28" s="26"/>
    </row>
    <row r="29" spans="1:13" x14ac:dyDescent="0.35">
      <c r="A29" s="26"/>
      <c r="B29" s="26" t="s">
        <v>252</v>
      </c>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ht="15" thickBot="1" x14ac:dyDescent="0.4">
      <c r="A34" s="420" t="s">
        <v>66</v>
      </c>
      <c r="B34" s="420"/>
      <c r="C34" s="50"/>
      <c r="D34" s="26"/>
      <c r="E34" s="407" t="s">
        <v>67</v>
      </c>
      <c r="F34" s="407"/>
      <c r="G34" s="49"/>
      <c r="H34" s="49"/>
      <c r="I34" s="408"/>
      <c r="J34" s="408"/>
      <c r="K34" s="28"/>
      <c r="L34" s="29"/>
      <c r="M34" s="29"/>
    </row>
    <row r="35" spans="1:13" ht="15" thickTop="1" x14ac:dyDescent="0.35">
      <c r="A35" s="421" t="s">
        <v>69</v>
      </c>
      <c r="B35" s="421"/>
      <c r="C35" s="29" t="s">
        <v>113</v>
      </c>
      <c r="D35" s="30"/>
      <c r="E35" s="410" t="s">
        <v>70</v>
      </c>
      <c r="F35" s="410"/>
      <c r="G35" s="410" t="s">
        <v>71</v>
      </c>
      <c r="H35" s="410"/>
      <c r="I35" s="29"/>
      <c r="J35" s="29"/>
      <c r="K35" s="29" t="s">
        <v>72</v>
      </c>
      <c r="L35" s="31"/>
      <c r="M35" s="31"/>
    </row>
    <row r="36" spans="1:13" x14ac:dyDescent="0.35">
      <c r="A36" s="414" t="s">
        <v>92</v>
      </c>
      <c r="B36" s="414"/>
      <c r="C36" s="32" t="s">
        <v>7</v>
      </c>
      <c r="D36" s="32"/>
      <c r="E36" s="414" t="s">
        <v>73</v>
      </c>
      <c r="F36" s="414"/>
      <c r="G36" s="414" t="s">
        <v>74</v>
      </c>
      <c r="H36" s="414"/>
      <c r="I36" s="31"/>
      <c r="J36" s="31"/>
      <c r="K36" s="31" t="s">
        <v>75</v>
      </c>
      <c r="L36" s="33"/>
      <c r="M36" s="33"/>
    </row>
    <row r="37" spans="1:13" x14ac:dyDescent="0.35">
      <c r="A37" s="412" t="s">
        <v>94</v>
      </c>
      <c r="B37" s="412"/>
      <c r="C37" s="34" t="s">
        <v>77</v>
      </c>
      <c r="D37" s="34"/>
      <c r="E37" s="414" t="s">
        <v>78</v>
      </c>
      <c r="F37" s="414"/>
      <c r="G37" s="414" t="s">
        <v>79</v>
      </c>
      <c r="H37" s="414"/>
      <c r="I37" s="33"/>
      <c r="J37" s="33"/>
      <c r="K37" s="33" t="s">
        <v>80</v>
      </c>
      <c r="L37" s="34"/>
      <c r="M37" s="34"/>
    </row>
    <row r="38" spans="1:13" x14ac:dyDescent="0.35">
      <c r="A38" s="412" t="s">
        <v>76</v>
      </c>
      <c r="B38" s="412"/>
      <c r="C38" s="34" t="s">
        <v>81</v>
      </c>
      <c r="D38" s="34"/>
      <c r="E38" s="412" t="s">
        <v>76</v>
      </c>
      <c r="F38" s="412"/>
      <c r="G38" s="412" t="s">
        <v>76</v>
      </c>
      <c r="H38" s="412"/>
      <c r="I38" s="33"/>
      <c r="J38" s="33"/>
      <c r="K38" s="33"/>
    </row>
    <row r="44" spans="1:13" x14ac:dyDescent="0.35">
      <c r="A44" s="417" t="s">
        <v>114</v>
      </c>
      <c r="B44" s="417"/>
    </row>
    <row r="45" spans="1:13" x14ac:dyDescent="0.35">
      <c r="A45" s="418" t="s">
        <v>115</v>
      </c>
      <c r="B45" s="418"/>
    </row>
    <row r="46" spans="1:13" x14ac:dyDescent="0.35">
      <c r="A46" s="422" t="s">
        <v>116</v>
      </c>
      <c r="B46" s="418"/>
    </row>
    <row r="47" spans="1:13" x14ac:dyDescent="0.35">
      <c r="A47" s="416" t="s">
        <v>117</v>
      </c>
      <c r="B47" s="416"/>
    </row>
  </sheetData>
  <mergeCells count="38">
    <mergeCell ref="A47:B47"/>
    <mergeCell ref="A38:B38"/>
    <mergeCell ref="E38:F38"/>
    <mergeCell ref="G38:H38"/>
    <mergeCell ref="A44:B44"/>
    <mergeCell ref="A45:B45"/>
    <mergeCell ref="A46:B46"/>
    <mergeCell ref="A36:B36"/>
    <mergeCell ref="E36:F36"/>
    <mergeCell ref="G36:H36"/>
    <mergeCell ref="A37:B37"/>
    <mergeCell ref="E37:F37"/>
    <mergeCell ref="G37:H37"/>
    <mergeCell ref="A34:B34"/>
    <mergeCell ref="E34:F34"/>
    <mergeCell ref="I34:J34"/>
    <mergeCell ref="A35:B35"/>
    <mergeCell ref="E35:F35"/>
    <mergeCell ref="G35:H35"/>
    <mergeCell ref="A27:G27"/>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7" right="0.7" top="0.75" bottom="0.75" header="0.3" footer="0.3"/>
  <pageSetup scale="6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F971-75CD-48D0-8A53-5E27217F32FE}">
  <sheetPr>
    <pageSetUpPr fitToPage="1"/>
  </sheetPr>
  <dimension ref="A1:M48"/>
  <sheetViews>
    <sheetView topLeftCell="B16" workbookViewId="0">
      <selection sqref="A1:M48"/>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283</v>
      </c>
      <c r="D3" s="403"/>
      <c r="E3" s="403"/>
      <c r="F3" s="403"/>
      <c r="G3" s="403"/>
      <c r="H3" s="403"/>
      <c r="I3" s="403"/>
      <c r="J3" s="403"/>
      <c r="K3" s="403"/>
      <c r="L3" s="403"/>
      <c r="M3" s="385"/>
    </row>
    <row r="4" spans="1:13" x14ac:dyDescent="0.35">
      <c r="A4" s="384" t="s">
        <v>4</v>
      </c>
      <c r="B4" s="385"/>
      <c r="C4" s="393" t="s">
        <v>118</v>
      </c>
      <c r="D4" s="394"/>
      <c r="E4" s="394"/>
      <c r="F4" s="394"/>
      <c r="G4" s="394"/>
      <c r="H4" s="394"/>
      <c r="I4" s="394"/>
      <c r="J4" s="394"/>
      <c r="K4" s="394"/>
      <c r="L4" s="394"/>
      <c r="M4" s="395"/>
    </row>
    <row r="5" spans="1:13" x14ac:dyDescent="0.35">
      <c r="A5" s="384" t="s">
        <v>5</v>
      </c>
      <c r="B5" s="385"/>
      <c r="C5" s="387">
        <v>45673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H28</f>
        <v>277000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292</v>
      </c>
      <c r="J11" s="3" t="s">
        <v>18</v>
      </c>
      <c r="K11" s="3" t="s">
        <v>19</v>
      </c>
      <c r="L11" s="3" t="s">
        <v>20</v>
      </c>
      <c r="M11" s="4" t="s">
        <v>21</v>
      </c>
    </row>
    <row r="12" spans="1:13" x14ac:dyDescent="0.35">
      <c r="A12" s="5">
        <v>1</v>
      </c>
      <c r="B12" s="69" t="s">
        <v>119</v>
      </c>
      <c r="C12" s="69" t="s">
        <v>49</v>
      </c>
      <c r="D12" s="70" t="s">
        <v>63</v>
      </c>
      <c r="E12" s="70" t="s">
        <v>24</v>
      </c>
      <c r="F12" s="68" t="s">
        <v>25</v>
      </c>
      <c r="G12" s="68" t="s">
        <v>65</v>
      </c>
      <c r="H12" s="79">
        <v>50000</v>
      </c>
      <c r="I12" s="82">
        <v>42500</v>
      </c>
      <c r="J12" s="82">
        <v>54800</v>
      </c>
      <c r="K12" s="11">
        <v>45299</v>
      </c>
      <c r="L12" s="79">
        <v>50000</v>
      </c>
      <c r="M12" s="84" t="s">
        <v>176</v>
      </c>
    </row>
    <row r="13" spans="1:13" x14ac:dyDescent="0.35">
      <c r="A13" s="5">
        <v>2</v>
      </c>
      <c r="B13" s="71" t="s">
        <v>227</v>
      </c>
      <c r="C13" s="72" t="s">
        <v>49</v>
      </c>
      <c r="D13" s="73" t="s">
        <v>54</v>
      </c>
      <c r="E13" s="44" t="s">
        <v>24</v>
      </c>
      <c r="F13" s="44" t="s">
        <v>25</v>
      </c>
      <c r="G13" s="73" t="s">
        <v>55</v>
      </c>
      <c r="H13" s="80">
        <v>10000</v>
      </c>
      <c r="I13" s="10">
        <v>43500</v>
      </c>
      <c r="J13" s="10">
        <v>47174</v>
      </c>
      <c r="K13" s="11">
        <v>45297</v>
      </c>
      <c r="L13" s="80">
        <v>15000</v>
      </c>
      <c r="M13" s="17" t="s">
        <v>204</v>
      </c>
    </row>
    <row r="14" spans="1:13" x14ac:dyDescent="0.35">
      <c r="A14" s="5">
        <v>3</v>
      </c>
      <c r="B14" s="16" t="s">
        <v>228</v>
      </c>
      <c r="C14" s="7" t="s">
        <v>49</v>
      </c>
      <c r="D14" s="8" t="s">
        <v>57</v>
      </c>
      <c r="E14" s="5" t="s">
        <v>24</v>
      </c>
      <c r="F14" s="5" t="s">
        <v>25</v>
      </c>
      <c r="G14" s="8" t="s">
        <v>58</v>
      </c>
      <c r="H14" s="80">
        <v>15000</v>
      </c>
      <c r="I14" s="10">
        <v>44900</v>
      </c>
      <c r="J14" s="10">
        <v>48550</v>
      </c>
      <c r="K14" s="11">
        <v>45297</v>
      </c>
      <c r="L14" s="80">
        <v>15000</v>
      </c>
      <c r="M14" s="17" t="s">
        <v>204</v>
      </c>
    </row>
    <row r="15" spans="1:13" x14ac:dyDescent="0.35">
      <c r="A15" s="5">
        <v>4</v>
      </c>
      <c r="B15" s="71" t="s">
        <v>229</v>
      </c>
      <c r="C15" s="72" t="s">
        <v>23</v>
      </c>
      <c r="D15" s="44" t="s">
        <v>47</v>
      </c>
      <c r="E15" s="44" t="s">
        <v>24</v>
      </c>
      <c r="F15" s="44" t="s">
        <v>25</v>
      </c>
      <c r="G15" s="44" t="s">
        <v>102</v>
      </c>
      <c r="H15" s="80">
        <v>15000</v>
      </c>
      <c r="I15" s="10">
        <v>30900</v>
      </c>
      <c r="J15" s="10">
        <v>34596</v>
      </c>
      <c r="K15" s="11">
        <v>45297</v>
      </c>
      <c r="L15" s="80">
        <v>15000</v>
      </c>
      <c r="M15" s="17" t="s">
        <v>204</v>
      </c>
    </row>
    <row r="16" spans="1:13" x14ac:dyDescent="0.35">
      <c r="A16" s="5">
        <v>5</v>
      </c>
      <c r="B16" s="16" t="s">
        <v>230</v>
      </c>
      <c r="C16" s="7" t="s">
        <v>49</v>
      </c>
      <c r="D16" s="8" t="s">
        <v>50</v>
      </c>
      <c r="E16" s="5" t="s">
        <v>24</v>
      </c>
      <c r="F16" s="5" t="s">
        <v>25</v>
      </c>
      <c r="G16" s="8" t="s">
        <v>51</v>
      </c>
      <c r="H16" s="80">
        <v>20000</v>
      </c>
      <c r="I16" s="10">
        <v>16000</v>
      </c>
      <c r="J16" s="10">
        <v>21068</v>
      </c>
      <c r="K16" s="11">
        <v>45297</v>
      </c>
      <c r="L16" s="80">
        <v>20000</v>
      </c>
      <c r="M16" s="17" t="s">
        <v>132</v>
      </c>
    </row>
    <row r="17" spans="1:13" x14ac:dyDescent="0.35">
      <c r="A17" s="5">
        <v>6</v>
      </c>
      <c r="B17" s="16" t="s">
        <v>231</v>
      </c>
      <c r="C17" s="7" t="s">
        <v>49</v>
      </c>
      <c r="D17" s="8" t="s">
        <v>60</v>
      </c>
      <c r="E17" s="5" t="s">
        <v>24</v>
      </c>
      <c r="F17" s="5" t="s">
        <v>25</v>
      </c>
      <c r="G17" s="8" t="s">
        <v>61</v>
      </c>
      <c r="H17" s="80">
        <v>15000</v>
      </c>
      <c r="I17" s="10">
        <v>45300</v>
      </c>
      <c r="J17" s="10">
        <v>49880</v>
      </c>
      <c r="K17" s="11">
        <v>45297</v>
      </c>
      <c r="L17" s="80">
        <v>15000</v>
      </c>
      <c r="M17" s="17" t="s">
        <v>132</v>
      </c>
    </row>
    <row r="18" spans="1:13" x14ac:dyDescent="0.35">
      <c r="A18" s="5">
        <v>7</v>
      </c>
      <c r="B18" s="71" t="s">
        <v>232</v>
      </c>
      <c r="C18" s="72" t="s">
        <v>233</v>
      </c>
      <c r="D18" s="44" t="s">
        <v>234</v>
      </c>
      <c r="E18" s="5" t="s">
        <v>24</v>
      </c>
      <c r="F18" s="5" t="s">
        <v>25</v>
      </c>
      <c r="G18" s="44" t="s">
        <v>235</v>
      </c>
      <c r="H18" s="80">
        <v>50000</v>
      </c>
      <c r="I18" s="10">
        <v>101881</v>
      </c>
      <c r="J18" s="10">
        <v>119381</v>
      </c>
      <c r="K18" s="11">
        <v>45660</v>
      </c>
      <c r="L18" s="80">
        <v>50000</v>
      </c>
      <c r="M18" s="17" t="s">
        <v>236</v>
      </c>
    </row>
    <row r="19" spans="1:13" x14ac:dyDescent="0.35">
      <c r="A19" s="5">
        <v>8</v>
      </c>
      <c r="B19" s="71" t="s">
        <v>26</v>
      </c>
      <c r="C19" s="72" t="s">
        <v>23</v>
      </c>
      <c r="D19" s="73" t="s">
        <v>27</v>
      </c>
      <c r="E19" s="44" t="s">
        <v>24</v>
      </c>
      <c r="F19" s="44" t="s">
        <v>25</v>
      </c>
      <c r="G19" s="75" t="s">
        <v>28</v>
      </c>
      <c r="H19" s="80">
        <v>4000</v>
      </c>
      <c r="I19" s="10">
        <v>15000</v>
      </c>
      <c r="J19" s="10">
        <v>16057</v>
      </c>
      <c r="K19" s="11">
        <v>45668</v>
      </c>
      <c r="L19" s="80">
        <v>4000</v>
      </c>
      <c r="M19" s="12" t="s">
        <v>154</v>
      </c>
    </row>
    <row r="20" spans="1:13" x14ac:dyDescent="0.35">
      <c r="A20" s="5">
        <v>9</v>
      </c>
      <c r="B20" s="71" t="s">
        <v>30</v>
      </c>
      <c r="C20" s="72" t="s">
        <v>23</v>
      </c>
      <c r="D20" s="44" t="s">
        <v>31</v>
      </c>
      <c r="E20" s="44" t="s">
        <v>32</v>
      </c>
      <c r="F20" s="44" t="s">
        <v>25</v>
      </c>
      <c r="G20" s="44" t="s">
        <v>33</v>
      </c>
      <c r="H20" s="80">
        <v>25000</v>
      </c>
      <c r="I20" s="10">
        <v>70352</v>
      </c>
      <c r="J20" s="10">
        <v>86852</v>
      </c>
      <c r="K20" s="11">
        <v>45663</v>
      </c>
      <c r="L20" s="80">
        <v>35000</v>
      </c>
      <c r="M20" s="17" t="s">
        <v>104</v>
      </c>
    </row>
    <row r="21" spans="1:13" x14ac:dyDescent="0.35">
      <c r="A21" s="5">
        <v>10</v>
      </c>
      <c r="B21" s="71" t="s">
        <v>22</v>
      </c>
      <c r="C21" s="72" t="s">
        <v>23</v>
      </c>
      <c r="D21" s="44" t="s">
        <v>205</v>
      </c>
      <c r="E21" s="44" t="s">
        <v>24</v>
      </c>
      <c r="F21" s="44" t="s">
        <v>25</v>
      </c>
      <c r="G21" s="44" t="s">
        <v>105</v>
      </c>
      <c r="H21" s="80">
        <v>5000</v>
      </c>
      <c r="I21" s="10">
        <v>35447</v>
      </c>
      <c r="J21" s="10">
        <v>37847</v>
      </c>
      <c r="K21" s="11">
        <v>45668</v>
      </c>
      <c r="L21" s="80">
        <v>9000</v>
      </c>
      <c r="M21" s="17" t="s">
        <v>96</v>
      </c>
    </row>
    <row r="22" spans="1:13" x14ac:dyDescent="0.35">
      <c r="A22" s="5">
        <v>11</v>
      </c>
      <c r="B22" s="71" t="s">
        <v>36</v>
      </c>
      <c r="C22" s="76" t="s">
        <v>23</v>
      </c>
      <c r="D22" s="77">
        <v>1311</v>
      </c>
      <c r="E22" s="44" t="s">
        <v>24</v>
      </c>
      <c r="F22" s="77" t="s">
        <v>25</v>
      </c>
      <c r="G22" s="75" t="s">
        <v>37</v>
      </c>
      <c r="H22" s="80">
        <v>9000</v>
      </c>
      <c r="I22" s="10">
        <v>11000</v>
      </c>
      <c r="J22" s="10">
        <v>14411</v>
      </c>
      <c r="K22" s="11">
        <v>45668</v>
      </c>
      <c r="L22" s="80">
        <v>10000</v>
      </c>
      <c r="M22" s="12" t="s">
        <v>154</v>
      </c>
    </row>
    <row r="23" spans="1:13" x14ac:dyDescent="0.35">
      <c r="A23" s="5">
        <v>12</v>
      </c>
      <c r="B23" s="71" t="s">
        <v>38</v>
      </c>
      <c r="C23" s="72" t="s">
        <v>23</v>
      </c>
      <c r="D23" s="73" t="s">
        <v>39</v>
      </c>
      <c r="E23" s="44" t="s">
        <v>24</v>
      </c>
      <c r="F23" s="44" t="s">
        <v>25</v>
      </c>
      <c r="G23" s="73" t="s">
        <v>40</v>
      </c>
      <c r="H23" s="80">
        <v>6000</v>
      </c>
      <c r="I23" s="10">
        <v>11522</v>
      </c>
      <c r="J23" s="10">
        <v>12785</v>
      </c>
      <c r="K23" s="11">
        <v>45668</v>
      </c>
      <c r="L23" s="80">
        <v>5000</v>
      </c>
      <c r="M23" s="12" t="s">
        <v>154</v>
      </c>
    </row>
    <row r="24" spans="1:13" x14ac:dyDescent="0.35">
      <c r="A24" s="5">
        <v>13</v>
      </c>
      <c r="B24" s="74" t="s">
        <v>155</v>
      </c>
      <c r="C24" s="72" t="s">
        <v>23</v>
      </c>
      <c r="D24" s="73">
        <v>731</v>
      </c>
      <c r="E24" s="44" t="s">
        <v>24</v>
      </c>
      <c r="F24" s="44" t="s">
        <v>25</v>
      </c>
      <c r="G24" s="73" t="s">
        <v>131</v>
      </c>
      <c r="H24" s="80">
        <v>4000</v>
      </c>
      <c r="I24" s="10">
        <v>18303</v>
      </c>
      <c r="J24" s="10">
        <v>19632</v>
      </c>
      <c r="K24" s="11">
        <v>45668</v>
      </c>
      <c r="L24" s="80">
        <v>4000</v>
      </c>
      <c r="M24" s="12" t="s">
        <v>154</v>
      </c>
    </row>
    <row r="25" spans="1:13" x14ac:dyDescent="0.35">
      <c r="A25" s="5">
        <v>14</v>
      </c>
      <c r="B25" s="6" t="s">
        <v>34</v>
      </c>
      <c r="C25" s="14" t="s">
        <v>23</v>
      </c>
      <c r="D25" s="15">
        <v>1149</v>
      </c>
      <c r="E25" s="15" t="s">
        <v>24</v>
      </c>
      <c r="F25" s="15" t="s">
        <v>25</v>
      </c>
      <c r="G25" s="13" t="s">
        <v>35</v>
      </c>
      <c r="H25" s="80">
        <v>4000</v>
      </c>
      <c r="I25" s="10">
        <v>19550</v>
      </c>
      <c r="J25" s="10">
        <v>22874</v>
      </c>
      <c r="K25" s="11">
        <v>45663</v>
      </c>
      <c r="L25" s="80">
        <v>5000</v>
      </c>
      <c r="M25" s="17" t="s">
        <v>29</v>
      </c>
    </row>
    <row r="26" spans="1:13" x14ac:dyDescent="0.35">
      <c r="A26" s="96">
        <v>15</v>
      </c>
      <c r="B26" s="97" t="s">
        <v>293</v>
      </c>
      <c r="C26" s="98" t="s">
        <v>23</v>
      </c>
      <c r="D26">
        <v>815</v>
      </c>
      <c r="E26" s="99" t="s">
        <v>24</v>
      </c>
      <c r="F26" s="99" t="s">
        <v>130</v>
      </c>
      <c r="G26" s="100" t="s">
        <v>287</v>
      </c>
      <c r="H26" s="101">
        <v>15000</v>
      </c>
      <c r="I26" s="102">
        <v>2636</v>
      </c>
      <c r="J26" s="102">
        <v>4636</v>
      </c>
      <c r="K26" s="103">
        <v>45667</v>
      </c>
      <c r="L26" s="104">
        <v>5000</v>
      </c>
      <c r="M26" s="17" t="s">
        <v>132</v>
      </c>
    </row>
    <row r="27" spans="1:13" x14ac:dyDescent="0.35">
      <c r="A27" s="5">
        <v>16</v>
      </c>
      <c r="B27" s="74" t="s">
        <v>41</v>
      </c>
      <c r="C27" s="72" t="s">
        <v>42</v>
      </c>
      <c r="D27" s="73" t="s">
        <v>43</v>
      </c>
      <c r="E27" s="44" t="s">
        <v>24</v>
      </c>
      <c r="F27" s="44" t="s">
        <v>44</v>
      </c>
      <c r="G27" s="44">
        <v>24024723</v>
      </c>
      <c r="H27" s="78">
        <v>30000</v>
      </c>
      <c r="I27" s="42">
        <v>29845</v>
      </c>
      <c r="J27" s="42">
        <v>42395</v>
      </c>
      <c r="K27" s="11">
        <v>45628</v>
      </c>
      <c r="L27" s="80">
        <v>30000</v>
      </c>
      <c r="M27" s="12" t="s">
        <v>237</v>
      </c>
    </row>
    <row r="28" spans="1:13" x14ac:dyDescent="0.35">
      <c r="A28" s="386" t="s">
        <v>8</v>
      </c>
      <c r="B28" s="386"/>
      <c r="C28" s="386"/>
      <c r="D28" s="386"/>
      <c r="E28" s="386"/>
      <c r="F28" s="386"/>
      <c r="G28" s="386"/>
      <c r="H28" s="81">
        <f>SUM(H12:H27)</f>
        <v>277000</v>
      </c>
      <c r="I28" s="24"/>
      <c r="J28" s="25"/>
      <c r="K28" s="43"/>
      <c r="L28" s="26"/>
      <c r="M28" s="26"/>
    </row>
    <row r="29" spans="1:13" x14ac:dyDescent="0.35">
      <c r="A29" s="26"/>
      <c r="B29" s="26"/>
      <c r="C29" s="26"/>
      <c r="D29" s="26"/>
      <c r="E29" s="26"/>
      <c r="F29" s="26"/>
      <c r="G29" s="26"/>
      <c r="H29" s="26"/>
      <c r="I29" s="26"/>
      <c r="J29" s="26"/>
      <c r="K29" s="26"/>
      <c r="L29" s="26"/>
      <c r="M29" s="26"/>
    </row>
    <row r="30" spans="1:13" x14ac:dyDescent="0.35">
      <c r="A30" s="26"/>
      <c r="B30" s="26" t="s">
        <v>294</v>
      </c>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ht="15" thickBot="1" x14ac:dyDescent="0.4">
      <c r="A35" s="420" t="s">
        <v>66</v>
      </c>
      <c r="B35" s="420"/>
      <c r="C35" s="26"/>
      <c r="D35" s="26"/>
      <c r="E35" s="407" t="s">
        <v>67</v>
      </c>
      <c r="F35" s="407"/>
      <c r="G35" s="49"/>
      <c r="H35" s="49"/>
      <c r="I35" s="408"/>
      <c r="J35" s="408"/>
      <c r="K35" s="28"/>
      <c r="L35" s="29"/>
      <c r="M35" s="29"/>
    </row>
    <row r="36" spans="1:13" ht="15" thickTop="1" x14ac:dyDescent="0.35">
      <c r="A36" s="421" t="s">
        <v>69</v>
      </c>
      <c r="B36" s="421"/>
      <c r="D36" s="30"/>
      <c r="E36" s="410" t="s">
        <v>70</v>
      </c>
      <c r="F36" s="410"/>
      <c r="G36" s="410" t="s">
        <v>71</v>
      </c>
      <c r="H36" s="410"/>
      <c r="I36" s="29"/>
      <c r="J36" s="29"/>
      <c r="K36" s="29" t="s">
        <v>72</v>
      </c>
      <c r="L36" s="31"/>
      <c r="M36" s="31"/>
    </row>
    <row r="37" spans="1:13" x14ac:dyDescent="0.35">
      <c r="A37" s="414" t="s">
        <v>92</v>
      </c>
      <c r="B37" s="414"/>
      <c r="D37" s="32"/>
      <c r="E37" s="414" t="s">
        <v>73</v>
      </c>
      <c r="F37" s="414"/>
      <c r="G37" s="414" t="s">
        <v>74</v>
      </c>
      <c r="H37" s="414"/>
      <c r="I37" s="31"/>
      <c r="J37" s="31"/>
      <c r="K37" s="31" t="s">
        <v>75</v>
      </c>
      <c r="L37" s="33"/>
      <c r="M37" s="33"/>
    </row>
    <row r="38" spans="1:13" x14ac:dyDescent="0.35">
      <c r="A38" s="412" t="s">
        <v>94</v>
      </c>
      <c r="B38" s="412"/>
      <c r="D38" s="34"/>
      <c r="E38" s="414" t="s">
        <v>78</v>
      </c>
      <c r="F38" s="414"/>
      <c r="G38" s="414" t="s">
        <v>79</v>
      </c>
      <c r="H38" s="414"/>
      <c r="I38" s="33"/>
      <c r="J38" s="33"/>
      <c r="K38" s="33" t="s">
        <v>80</v>
      </c>
      <c r="L38" s="34"/>
      <c r="M38" s="34"/>
    </row>
    <row r="39" spans="1:13" x14ac:dyDescent="0.35">
      <c r="A39" s="412" t="s">
        <v>76</v>
      </c>
      <c r="B39" s="412"/>
      <c r="D39" s="34"/>
      <c r="E39" s="412" t="s">
        <v>76</v>
      </c>
      <c r="F39" s="412"/>
      <c r="G39" s="412" t="s">
        <v>76</v>
      </c>
      <c r="H39" s="412"/>
      <c r="I39" s="33"/>
      <c r="J39" s="33"/>
      <c r="K39" s="33"/>
    </row>
    <row r="44" spans="1:13" ht="15" thickBot="1" x14ac:dyDescent="0.4"/>
    <row r="45" spans="1:13" ht="15" thickTop="1" x14ac:dyDescent="0.35">
      <c r="A45" s="417" t="s">
        <v>114</v>
      </c>
      <c r="B45" s="417"/>
      <c r="C45" s="429" t="s">
        <v>282</v>
      </c>
      <c r="D45" s="429"/>
      <c r="E45" s="429"/>
    </row>
    <row r="46" spans="1:13" x14ac:dyDescent="0.35">
      <c r="A46" s="418" t="s">
        <v>115</v>
      </c>
      <c r="B46" s="418"/>
      <c r="C46" s="430" t="s">
        <v>7</v>
      </c>
      <c r="D46" s="430"/>
      <c r="E46" s="430"/>
    </row>
    <row r="47" spans="1:13" x14ac:dyDescent="0.35">
      <c r="A47" s="422" t="s">
        <v>116</v>
      </c>
      <c r="B47" s="418"/>
      <c r="C47" s="431" t="s">
        <v>77</v>
      </c>
      <c r="D47" s="431"/>
      <c r="E47" s="431"/>
    </row>
    <row r="48" spans="1:13" x14ac:dyDescent="0.35">
      <c r="A48" s="416" t="s">
        <v>117</v>
      </c>
      <c r="B48" s="416"/>
      <c r="C48" s="412" t="s">
        <v>81</v>
      </c>
      <c r="D48" s="412"/>
      <c r="E48" s="412"/>
    </row>
  </sheetData>
  <mergeCells count="42">
    <mergeCell ref="A4:B4"/>
    <mergeCell ref="C4:M4"/>
    <mergeCell ref="A1:M1"/>
    <mergeCell ref="A2:B2"/>
    <mergeCell ref="C2:M2"/>
    <mergeCell ref="A3:B3"/>
    <mergeCell ref="C3:M3"/>
    <mergeCell ref="A28:G28"/>
    <mergeCell ref="A5:B5"/>
    <mergeCell ref="C5:M5"/>
    <mergeCell ref="A6:B6"/>
    <mergeCell ref="C6:M6"/>
    <mergeCell ref="A7:B7"/>
    <mergeCell ref="C7:M7"/>
    <mergeCell ref="A8:B8"/>
    <mergeCell ref="C8:M8"/>
    <mergeCell ref="A9:B9"/>
    <mergeCell ref="C9:M9"/>
    <mergeCell ref="A10:M10"/>
    <mergeCell ref="A35:B35"/>
    <mergeCell ref="E35:F35"/>
    <mergeCell ref="I35:J35"/>
    <mergeCell ref="A36:B36"/>
    <mergeCell ref="E36:F36"/>
    <mergeCell ref="G36:H36"/>
    <mergeCell ref="A37:B37"/>
    <mergeCell ref="E37:F37"/>
    <mergeCell ref="G37:H37"/>
    <mergeCell ref="A38:B38"/>
    <mergeCell ref="E38:F38"/>
    <mergeCell ref="G38:H38"/>
    <mergeCell ref="A48:B48"/>
    <mergeCell ref="A39:B39"/>
    <mergeCell ref="E39:F39"/>
    <mergeCell ref="G39:H39"/>
    <mergeCell ref="A45:B45"/>
    <mergeCell ref="A46:B46"/>
    <mergeCell ref="A47:B47"/>
    <mergeCell ref="C45:E45"/>
    <mergeCell ref="C46:E46"/>
    <mergeCell ref="C47:E47"/>
    <mergeCell ref="C48:E48"/>
  </mergeCells>
  <printOptions horizontalCentered="1"/>
  <pageMargins left="0.25" right="0.25" top="0.75" bottom="0.75" header="0.3" footer="0.3"/>
  <pageSetup scale="66" fitToWidth="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C3E1-8880-4BA1-AC42-55D3CFDF9BF1}">
  <sheetPr>
    <pageSetUpPr fitToPage="1"/>
  </sheetPr>
  <dimension ref="A1:M48"/>
  <sheetViews>
    <sheetView topLeftCell="A16" workbookViewId="0">
      <selection sqref="A1:M48"/>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319</v>
      </c>
      <c r="D3" s="403"/>
      <c r="E3" s="403"/>
      <c r="F3" s="403"/>
      <c r="G3" s="403"/>
      <c r="H3" s="403"/>
      <c r="I3" s="403"/>
      <c r="J3" s="403"/>
      <c r="K3" s="403"/>
      <c r="L3" s="403"/>
      <c r="M3" s="385"/>
    </row>
    <row r="4" spans="1:13" x14ac:dyDescent="0.35">
      <c r="A4" s="384" t="s">
        <v>4</v>
      </c>
      <c r="B4" s="385"/>
      <c r="C4" s="393" t="s">
        <v>318</v>
      </c>
      <c r="D4" s="394"/>
      <c r="E4" s="394"/>
      <c r="F4" s="394"/>
      <c r="G4" s="394"/>
      <c r="H4" s="394"/>
      <c r="I4" s="394"/>
      <c r="J4" s="394"/>
      <c r="K4" s="394"/>
      <c r="L4" s="394"/>
      <c r="M4" s="395"/>
    </row>
    <row r="5" spans="1:13" x14ac:dyDescent="0.35">
      <c r="A5" s="384" t="s">
        <v>5</v>
      </c>
      <c r="B5" s="385"/>
      <c r="C5" s="387">
        <v>45708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H28</f>
        <v>252000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320</v>
      </c>
      <c r="J11" s="3" t="s">
        <v>18</v>
      </c>
      <c r="K11" s="3" t="s">
        <v>19</v>
      </c>
      <c r="L11" s="3" t="s">
        <v>20</v>
      </c>
      <c r="M11" s="4" t="s">
        <v>21</v>
      </c>
    </row>
    <row r="12" spans="1:13" x14ac:dyDescent="0.35">
      <c r="A12" s="5">
        <v>1</v>
      </c>
      <c r="B12" s="69" t="s">
        <v>119</v>
      </c>
      <c r="C12" s="69" t="s">
        <v>49</v>
      </c>
      <c r="D12" s="70" t="s">
        <v>63</v>
      </c>
      <c r="E12" s="70" t="s">
        <v>24</v>
      </c>
      <c r="F12" s="68" t="s">
        <v>25</v>
      </c>
      <c r="G12" s="68" t="s">
        <v>65</v>
      </c>
      <c r="H12" s="79">
        <v>50000</v>
      </c>
      <c r="I12" s="82">
        <v>42100</v>
      </c>
      <c r="J12" s="82">
        <v>50892</v>
      </c>
      <c r="K12" s="11">
        <v>45700</v>
      </c>
      <c r="L12" s="79">
        <v>50000</v>
      </c>
      <c r="M12" s="84" t="s">
        <v>176</v>
      </c>
    </row>
    <row r="13" spans="1:13" x14ac:dyDescent="0.35">
      <c r="A13" s="5">
        <v>2</v>
      </c>
      <c r="B13" s="71" t="s">
        <v>227</v>
      </c>
      <c r="C13" s="72" t="s">
        <v>49</v>
      </c>
      <c r="D13" s="73" t="s">
        <v>54</v>
      </c>
      <c r="E13" s="44" t="s">
        <v>24</v>
      </c>
      <c r="F13" s="44" t="s">
        <v>25</v>
      </c>
      <c r="G13" s="73" t="s">
        <v>55</v>
      </c>
      <c r="H13" s="80">
        <v>10000</v>
      </c>
      <c r="I13" s="10">
        <v>44110</v>
      </c>
      <c r="J13" s="10">
        <v>48510</v>
      </c>
      <c r="K13" s="11">
        <v>45693</v>
      </c>
      <c r="L13" s="80">
        <v>10000</v>
      </c>
      <c r="M13" s="17" t="s">
        <v>204</v>
      </c>
    </row>
    <row r="14" spans="1:13" x14ac:dyDescent="0.35">
      <c r="A14" s="5">
        <v>3</v>
      </c>
      <c r="B14" s="16" t="s">
        <v>228</v>
      </c>
      <c r="C14" s="7" t="s">
        <v>49</v>
      </c>
      <c r="D14" s="8" t="s">
        <v>57</v>
      </c>
      <c r="E14" s="5" t="s">
        <v>24</v>
      </c>
      <c r="F14" s="5" t="s">
        <v>25</v>
      </c>
      <c r="G14" s="8" t="s">
        <v>58</v>
      </c>
      <c r="H14" s="80">
        <v>10000</v>
      </c>
      <c r="I14" s="10">
        <v>51900</v>
      </c>
      <c r="J14" s="10">
        <v>56718</v>
      </c>
      <c r="K14" s="11">
        <v>45693</v>
      </c>
      <c r="L14" s="80">
        <v>15000</v>
      </c>
      <c r="M14" s="17" t="s">
        <v>204</v>
      </c>
    </row>
    <row r="15" spans="1:13" x14ac:dyDescent="0.35">
      <c r="A15" s="5">
        <v>4</v>
      </c>
      <c r="B15" s="71" t="s">
        <v>229</v>
      </c>
      <c r="C15" s="72" t="s">
        <v>23</v>
      </c>
      <c r="D15" s="44" t="s">
        <v>47</v>
      </c>
      <c r="E15" s="44" t="s">
        <v>24</v>
      </c>
      <c r="F15" s="44" t="s">
        <v>25</v>
      </c>
      <c r="G15" s="44" t="s">
        <v>102</v>
      </c>
      <c r="H15" s="80">
        <v>15000</v>
      </c>
      <c r="I15" s="10">
        <v>33800</v>
      </c>
      <c r="J15" s="10">
        <v>37491</v>
      </c>
      <c r="K15" s="11">
        <v>45693</v>
      </c>
      <c r="L15" s="80">
        <v>15000</v>
      </c>
      <c r="M15" s="17" t="s">
        <v>204</v>
      </c>
    </row>
    <row r="16" spans="1:13" x14ac:dyDescent="0.35">
      <c r="A16" s="5">
        <v>5</v>
      </c>
      <c r="B16" s="16" t="s">
        <v>230</v>
      </c>
      <c r="C16" s="7" t="s">
        <v>49</v>
      </c>
      <c r="D16" s="8" t="s">
        <v>50</v>
      </c>
      <c r="E16" s="5" t="s">
        <v>24</v>
      </c>
      <c r="F16" s="5" t="s">
        <v>25</v>
      </c>
      <c r="G16" s="8" t="s">
        <v>51</v>
      </c>
      <c r="H16" s="80">
        <v>25000</v>
      </c>
      <c r="I16" s="10">
        <v>13600</v>
      </c>
      <c r="J16" s="10">
        <v>20134</v>
      </c>
      <c r="K16" s="11">
        <v>45693</v>
      </c>
      <c r="L16" s="80">
        <v>20000</v>
      </c>
      <c r="M16" s="17" t="s">
        <v>132</v>
      </c>
    </row>
    <row r="17" spans="1:13" x14ac:dyDescent="0.35">
      <c r="A17" s="5">
        <v>6</v>
      </c>
      <c r="B17" s="16" t="s">
        <v>231</v>
      </c>
      <c r="C17" s="7" t="s">
        <v>49</v>
      </c>
      <c r="D17" s="8" t="s">
        <v>60</v>
      </c>
      <c r="E17" s="5" t="s">
        <v>24</v>
      </c>
      <c r="F17" s="5" t="s">
        <v>25</v>
      </c>
      <c r="G17" s="8" t="s">
        <v>61</v>
      </c>
      <c r="H17" s="80">
        <v>10000</v>
      </c>
      <c r="I17" s="10">
        <v>52200</v>
      </c>
      <c r="J17" s="10">
        <v>58247</v>
      </c>
      <c r="K17" s="11">
        <v>45693</v>
      </c>
      <c r="L17" s="80">
        <v>15000</v>
      </c>
      <c r="M17" s="17" t="s">
        <v>132</v>
      </c>
    </row>
    <row r="18" spans="1:13" x14ac:dyDescent="0.35">
      <c r="A18" s="5">
        <v>7</v>
      </c>
      <c r="B18" s="71" t="s">
        <v>232</v>
      </c>
      <c r="C18" s="72" t="s">
        <v>233</v>
      </c>
      <c r="D18" s="44" t="s">
        <v>234</v>
      </c>
      <c r="E18" s="5" t="s">
        <v>24</v>
      </c>
      <c r="F18" s="5" t="s">
        <v>25</v>
      </c>
      <c r="G18" s="44" t="s">
        <v>235</v>
      </c>
      <c r="H18" s="80">
        <v>40000</v>
      </c>
      <c r="I18" s="10">
        <v>91400</v>
      </c>
      <c r="J18" s="10">
        <v>121400</v>
      </c>
      <c r="K18" s="11">
        <v>45693</v>
      </c>
      <c r="L18" s="80">
        <v>50000</v>
      </c>
      <c r="M18" s="17" t="s">
        <v>236</v>
      </c>
    </row>
    <row r="19" spans="1:13" x14ac:dyDescent="0.35">
      <c r="A19" s="5">
        <v>8</v>
      </c>
      <c r="B19" s="71" t="s">
        <v>26</v>
      </c>
      <c r="C19" s="72" t="s">
        <v>23</v>
      </c>
      <c r="D19" s="73" t="s">
        <v>27</v>
      </c>
      <c r="E19" s="44" t="s">
        <v>24</v>
      </c>
      <c r="F19" s="44" t="s">
        <v>25</v>
      </c>
      <c r="G19" s="75" t="s">
        <v>28</v>
      </c>
      <c r="H19" s="80">
        <v>4000</v>
      </c>
      <c r="I19" s="10">
        <v>11250</v>
      </c>
      <c r="J19" s="10">
        <v>14554</v>
      </c>
      <c r="K19" s="11">
        <v>45700</v>
      </c>
      <c r="L19" s="80">
        <v>4000</v>
      </c>
      <c r="M19" s="12" t="s">
        <v>154</v>
      </c>
    </row>
    <row r="20" spans="1:13" x14ac:dyDescent="0.35">
      <c r="A20" s="5">
        <v>9</v>
      </c>
      <c r="B20" s="71" t="s">
        <v>30</v>
      </c>
      <c r="C20" s="72" t="s">
        <v>23</v>
      </c>
      <c r="D20" s="44" t="s">
        <v>31</v>
      </c>
      <c r="E20" s="44" t="s">
        <v>32</v>
      </c>
      <c r="F20" s="44" t="s">
        <v>25</v>
      </c>
      <c r="G20" s="44" t="s">
        <v>33</v>
      </c>
      <c r="H20" s="80">
        <v>25000</v>
      </c>
      <c r="I20" s="10">
        <v>67979</v>
      </c>
      <c r="J20" s="10">
        <v>81479</v>
      </c>
      <c r="K20" s="11">
        <v>45693</v>
      </c>
      <c r="L20" s="80">
        <v>25000</v>
      </c>
      <c r="M20" s="17" t="s">
        <v>321</v>
      </c>
    </row>
    <row r="21" spans="1:13" x14ac:dyDescent="0.35">
      <c r="A21" s="5">
        <v>10</v>
      </c>
      <c r="B21" s="71" t="s">
        <v>22</v>
      </c>
      <c r="C21" s="72" t="s">
        <v>23</v>
      </c>
      <c r="D21" s="44" t="s">
        <v>205</v>
      </c>
      <c r="E21" s="44" t="s">
        <v>24</v>
      </c>
      <c r="F21" s="44" t="s">
        <v>25</v>
      </c>
      <c r="G21" s="44" t="s">
        <v>105</v>
      </c>
      <c r="H21" s="80">
        <v>5000</v>
      </c>
      <c r="I21" s="10">
        <v>28211</v>
      </c>
      <c r="J21" s="10">
        <v>32711</v>
      </c>
      <c r="K21" s="11">
        <v>45693</v>
      </c>
      <c r="L21" s="80">
        <v>5000</v>
      </c>
      <c r="M21" s="17" t="s">
        <v>132</v>
      </c>
    </row>
    <row r="22" spans="1:13" x14ac:dyDescent="0.35">
      <c r="A22" s="5">
        <v>11</v>
      </c>
      <c r="B22" s="71" t="s">
        <v>36</v>
      </c>
      <c r="C22" s="76" t="s">
        <v>23</v>
      </c>
      <c r="D22" s="77">
        <v>1311</v>
      </c>
      <c r="E22" s="44" t="s">
        <v>24</v>
      </c>
      <c r="F22" s="77" t="s">
        <v>25</v>
      </c>
      <c r="G22" s="75" t="s">
        <v>37</v>
      </c>
      <c r="H22" s="80">
        <v>7000</v>
      </c>
      <c r="I22" s="10">
        <v>12000</v>
      </c>
      <c r="J22" s="10">
        <v>17206</v>
      </c>
      <c r="K22" s="11">
        <v>45693</v>
      </c>
      <c r="L22" s="80">
        <v>9000</v>
      </c>
      <c r="M22" s="12" t="s">
        <v>132</v>
      </c>
    </row>
    <row r="23" spans="1:13" x14ac:dyDescent="0.35">
      <c r="A23" s="5">
        <v>12</v>
      </c>
      <c r="B23" s="71" t="s">
        <v>38</v>
      </c>
      <c r="C23" s="72" t="s">
        <v>23</v>
      </c>
      <c r="D23" s="73" t="s">
        <v>39</v>
      </c>
      <c r="E23" s="44" t="s">
        <v>24</v>
      </c>
      <c r="F23" s="44" t="s">
        <v>25</v>
      </c>
      <c r="G23" s="73" t="s">
        <v>40</v>
      </c>
      <c r="H23" s="80">
        <v>5000</v>
      </c>
      <c r="I23" s="10">
        <v>11200</v>
      </c>
      <c r="J23" s="10">
        <v>13670</v>
      </c>
      <c r="K23" s="11">
        <v>45693</v>
      </c>
      <c r="L23" s="80">
        <v>6000</v>
      </c>
      <c r="M23" s="12" t="s">
        <v>132</v>
      </c>
    </row>
    <row r="24" spans="1:13" x14ac:dyDescent="0.35">
      <c r="A24" s="5">
        <v>13</v>
      </c>
      <c r="B24" s="74" t="s">
        <v>155</v>
      </c>
      <c r="C24" s="72" t="s">
        <v>23</v>
      </c>
      <c r="D24" s="73">
        <v>731</v>
      </c>
      <c r="E24" s="44" t="s">
        <v>24</v>
      </c>
      <c r="F24" s="44" t="s">
        <v>25</v>
      </c>
      <c r="G24" s="73" t="s">
        <v>131</v>
      </c>
      <c r="H24" s="80">
        <v>6000</v>
      </c>
      <c r="I24" s="10">
        <v>11000</v>
      </c>
      <c r="J24" s="10">
        <v>20121</v>
      </c>
      <c r="K24" s="11">
        <v>45693</v>
      </c>
      <c r="L24" s="80">
        <v>4000</v>
      </c>
      <c r="M24" s="12" t="s">
        <v>29</v>
      </c>
    </row>
    <row r="25" spans="1:13" x14ac:dyDescent="0.35">
      <c r="A25" s="5">
        <v>14</v>
      </c>
      <c r="B25" s="6" t="s">
        <v>34</v>
      </c>
      <c r="C25" s="14" t="s">
        <v>23</v>
      </c>
      <c r="D25" s="15">
        <v>1149</v>
      </c>
      <c r="E25" s="15" t="s">
        <v>24</v>
      </c>
      <c r="F25" s="15" t="s">
        <v>25</v>
      </c>
      <c r="G25" s="13" t="s">
        <v>35</v>
      </c>
      <c r="H25" s="80">
        <v>4000</v>
      </c>
      <c r="I25" s="10">
        <v>20068</v>
      </c>
      <c r="J25" s="10">
        <v>22318</v>
      </c>
      <c r="K25" s="11">
        <v>45693</v>
      </c>
      <c r="L25" s="80">
        <v>4000</v>
      </c>
      <c r="M25" s="17" t="s">
        <v>29</v>
      </c>
    </row>
    <row r="26" spans="1:13" x14ac:dyDescent="0.35">
      <c r="A26" s="96">
        <v>15</v>
      </c>
      <c r="B26" s="97" t="s">
        <v>293</v>
      </c>
      <c r="C26" s="98" t="s">
        <v>23</v>
      </c>
      <c r="D26">
        <v>815</v>
      </c>
      <c r="E26" s="99" t="s">
        <v>24</v>
      </c>
      <c r="F26" s="99" t="s">
        <v>130</v>
      </c>
      <c r="G26" s="100" t="s">
        <v>287</v>
      </c>
      <c r="H26" s="101">
        <v>6000</v>
      </c>
      <c r="I26" s="102">
        <v>12792</v>
      </c>
      <c r="J26" s="102">
        <v>15542</v>
      </c>
      <c r="K26" s="103">
        <v>45686</v>
      </c>
      <c r="L26" s="101">
        <v>15000</v>
      </c>
      <c r="M26" s="64" t="s">
        <v>29</v>
      </c>
    </row>
    <row r="27" spans="1:13" x14ac:dyDescent="0.35">
      <c r="A27" s="5">
        <v>17</v>
      </c>
      <c r="B27" s="74" t="s">
        <v>330</v>
      </c>
      <c r="C27" s="72" t="s">
        <v>42</v>
      </c>
      <c r="D27" s="73" t="s">
        <v>43</v>
      </c>
      <c r="E27" s="44" t="s">
        <v>24</v>
      </c>
      <c r="F27" s="44" t="s">
        <v>44</v>
      </c>
      <c r="G27" s="44">
        <v>24024723</v>
      </c>
      <c r="H27" s="78">
        <v>30000</v>
      </c>
      <c r="I27" s="42">
        <v>35545</v>
      </c>
      <c r="J27" s="42">
        <v>52562</v>
      </c>
      <c r="K27" s="11">
        <v>45680</v>
      </c>
      <c r="L27" s="78">
        <v>30000</v>
      </c>
      <c r="M27" s="12" t="s">
        <v>238</v>
      </c>
    </row>
    <row r="28" spans="1:13" x14ac:dyDescent="0.35">
      <c r="A28" s="386" t="s">
        <v>8</v>
      </c>
      <c r="B28" s="386"/>
      <c r="C28" s="386"/>
      <c r="D28" s="386"/>
      <c r="E28" s="386"/>
      <c r="F28" s="386"/>
      <c r="G28" s="386"/>
      <c r="H28" s="81">
        <f>SUM(H12:H27)</f>
        <v>252000</v>
      </c>
      <c r="I28" s="24"/>
      <c r="J28" s="25"/>
      <c r="K28" s="43"/>
      <c r="L28" s="26"/>
      <c r="M28" s="26"/>
    </row>
    <row r="29" spans="1:13" x14ac:dyDescent="0.35">
      <c r="A29" s="26"/>
      <c r="B29" s="26"/>
      <c r="C29" s="26"/>
      <c r="D29" s="26"/>
      <c r="E29" s="26"/>
      <c r="F29" s="26"/>
      <c r="G29" s="26"/>
      <c r="H29" s="26"/>
      <c r="I29" s="26"/>
      <c r="J29" s="26"/>
      <c r="K29" s="26"/>
      <c r="L29" s="26"/>
      <c r="M29" s="26"/>
    </row>
    <row r="30" spans="1:13" x14ac:dyDescent="0.35">
      <c r="A30" s="26"/>
      <c r="B30" s="26" t="s">
        <v>322</v>
      </c>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ht="15" thickBot="1" x14ac:dyDescent="0.4">
      <c r="A35" s="420" t="s">
        <v>66</v>
      </c>
      <c r="B35" s="420"/>
      <c r="C35" s="26"/>
      <c r="D35" s="26"/>
      <c r="E35" s="407" t="s">
        <v>67</v>
      </c>
      <c r="F35" s="407"/>
      <c r="G35" s="49"/>
      <c r="H35" s="49"/>
      <c r="I35" s="408"/>
      <c r="J35" s="408"/>
      <c r="K35" s="28"/>
      <c r="L35" s="29"/>
      <c r="M35" s="29"/>
    </row>
    <row r="36" spans="1:13" ht="15" thickTop="1" x14ac:dyDescent="0.35">
      <c r="A36" s="421" t="s">
        <v>69</v>
      </c>
      <c r="B36" s="421"/>
      <c r="D36" s="30"/>
      <c r="E36" s="410" t="s">
        <v>70</v>
      </c>
      <c r="F36" s="410"/>
      <c r="G36" s="410" t="s">
        <v>71</v>
      </c>
      <c r="H36" s="410"/>
      <c r="I36" s="29"/>
      <c r="J36" s="29"/>
      <c r="K36" s="29" t="s">
        <v>72</v>
      </c>
      <c r="L36" s="31"/>
      <c r="M36" s="31"/>
    </row>
    <row r="37" spans="1:13" x14ac:dyDescent="0.35">
      <c r="A37" s="414" t="s">
        <v>92</v>
      </c>
      <c r="B37" s="414"/>
      <c r="D37" s="32"/>
      <c r="E37" s="414" t="s">
        <v>73</v>
      </c>
      <c r="F37" s="414"/>
      <c r="G37" s="414" t="s">
        <v>74</v>
      </c>
      <c r="H37" s="414"/>
      <c r="I37" s="31"/>
      <c r="J37" s="31"/>
      <c r="K37" s="31" t="s">
        <v>75</v>
      </c>
      <c r="L37" s="33"/>
      <c r="M37" s="33"/>
    </row>
    <row r="38" spans="1:13" x14ac:dyDescent="0.35">
      <c r="A38" s="412" t="s">
        <v>94</v>
      </c>
      <c r="B38" s="412"/>
      <c r="D38" s="34"/>
      <c r="E38" s="414" t="s">
        <v>78</v>
      </c>
      <c r="F38" s="414"/>
      <c r="G38" s="414" t="s">
        <v>79</v>
      </c>
      <c r="H38" s="414"/>
      <c r="I38" s="33"/>
      <c r="J38" s="33"/>
      <c r="K38" s="33" t="s">
        <v>80</v>
      </c>
      <c r="L38" s="34"/>
      <c r="M38" s="34"/>
    </row>
    <row r="39" spans="1:13" x14ac:dyDescent="0.35">
      <c r="A39" s="412" t="s">
        <v>76</v>
      </c>
      <c r="B39" s="412"/>
      <c r="D39" s="34"/>
      <c r="E39" s="412" t="s">
        <v>76</v>
      </c>
      <c r="F39" s="412"/>
      <c r="G39" s="412" t="s">
        <v>76</v>
      </c>
      <c r="H39" s="412"/>
      <c r="I39" s="33"/>
      <c r="J39" s="33"/>
      <c r="K39" s="33"/>
    </row>
    <row r="44" spans="1:13" ht="15" thickBot="1" x14ac:dyDescent="0.4"/>
    <row r="45" spans="1:13" ht="15" thickTop="1" x14ac:dyDescent="0.35">
      <c r="A45" s="417" t="s">
        <v>114</v>
      </c>
      <c r="B45" s="417"/>
      <c r="C45" s="429" t="s">
        <v>282</v>
      </c>
      <c r="D45" s="429"/>
      <c r="E45" s="429"/>
    </row>
    <row r="46" spans="1:13" x14ac:dyDescent="0.35">
      <c r="A46" s="418" t="s">
        <v>115</v>
      </c>
      <c r="B46" s="418"/>
      <c r="C46" s="430" t="s">
        <v>7</v>
      </c>
      <c r="D46" s="430"/>
      <c r="E46" s="430"/>
    </row>
    <row r="47" spans="1:13" x14ac:dyDescent="0.35">
      <c r="A47" s="422" t="s">
        <v>116</v>
      </c>
      <c r="B47" s="418"/>
      <c r="C47" s="431" t="s">
        <v>77</v>
      </c>
      <c r="D47" s="431"/>
      <c r="E47" s="431"/>
    </row>
    <row r="48" spans="1:13" x14ac:dyDescent="0.35">
      <c r="A48" s="416" t="s">
        <v>117</v>
      </c>
      <c r="B48" s="416"/>
      <c r="C48" s="412" t="s">
        <v>81</v>
      </c>
      <c r="D48" s="412"/>
      <c r="E48" s="412"/>
    </row>
  </sheetData>
  <mergeCells count="42">
    <mergeCell ref="A47:B47"/>
    <mergeCell ref="C47:E47"/>
    <mergeCell ref="A48:B48"/>
    <mergeCell ref="C48:E48"/>
    <mergeCell ref="A39:B39"/>
    <mergeCell ref="E39:F39"/>
    <mergeCell ref="G39:H39"/>
    <mergeCell ref="A45:B45"/>
    <mergeCell ref="C45:E45"/>
    <mergeCell ref="A46:B46"/>
    <mergeCell ref="C46:E46"/>
    <mergeCell ref="A37:B37"/>
    <mergeCell ref="E37:F37"/>
    <mergeCell ref="G37:H37"/>
    <mergeCell ref="A38:B38"/>
    <mergeCell ref="E38:F38"/>
    <mergeCell ref="G38:H38"/>
    <mergeCell ref="A35:B35"/>
    <mergeCell ref="E35:F35"/>
    <mergeCell ref="I35:J35"/>
    <mergeCell ref="A36:B36"/>
    <mergeCell ref="E36:F36"/>
    <mergeCell ref="G36:H36"/>
    <mergeCell ref="A28:G28"/>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scale="66" fitToWidth="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24F25-2F00-43E1-984C-E03D9D6831C7}">
  <sheetPr>
    <pageSetUpPr fitToPage="1"/>
  </sheetPr>
  <dimension ref="A1:M49"/>
  <sheetViews>
    <sheetView topLeftCell="A10" workbookViewId="0">
      <selection activeCell="B17" sqref="B17:G1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337</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45733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H29</f>
        <v>354000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336</v>
      </c>
      <c r="J11" s="3" t="s">
        <v>18</v>
      </c>
      <c r="K11" s="3" t="s">
        <v>19</v>
      </c>
      <c r="L11" s="3" t="s">
        <v>20</v>
      </c>
      <c r="M11" s="4" t="s">
        <v>21</v>
      </c>
    </row>
    <row r="12" spans="1:13" x14ac:dyDescent="0.35">
      <c r="A12" s="5">
        <v>1</v>
      </c>
      <c r="B12" s="69" t="s">
        <v>119</v>
      </c>
      <c r="C12" s="69" t="s">
        <v>49</v>
      </c>
      <c r="D12" s="70" t="s">
        <v>63</v>
      </c>
      <c r="E12" s="70" t="s">
        <v>24</v>
      </c>
      <c r="F12" s="68" t="s">
        <v>25</v>
      </c>
      <c r="G12" s="68" t="s">
        <v>65</v>
      </c>
      <c r="H12" s="79">
        <v>55000</v>
      </c>
      <c r="I12" s="82">
        <v>57200</v>
      </c>
      <c r="J12" s="82">
        <v>58807</v>
      </c>
      <c r="K12" s="11">
        <v>45732</v>
      </c>
      <c r="L12" s="79">
        <v>50000</v>
      </c>
      <c r="M12" s="84" t="s">
        <v>176</v>
      </c>
    </row>
    <row r="13" spans="1:13" x14ac:dyDescent="0.35">
      <c r="A13" s="5">
        <v>2</v>
      </c>
      <c r="B13" s="71" t="s">
        <v>227</v>
      </c>
      <c r="C13" s="72" t="s">
        <v>49</v>
      </c>
      <c r="D13" s="73" t="s">
        <v>54</v>
      </c>
      <c r="E13" s="44" t="s">
        <v>24</v>
      </c>
      <c r="F13" s="44" t="s">
        <v>25</v>
      </c>
      <c r="G13" s="73" t="s">
        <v>55</v>
      </c>
      <c r="H13" s="80">
        <v>15000</v>
      </c>
      <c r="I13" s="10">
        <v>18235</v>
      </c>
      <c r="J13" s="10">
        <v>25735</v>
      </c>
      <c r="K13" s="11">
        <v>45721</v>
      </c>
      <c r="L13" s="80">
        <v>10000</v>
      </c>
      <c r="M13" s="17" t="s">
        <v>132</v>
      </c>
    </row>
    <row r="14" spans="1:13" x14ac:dyDescent="0.35">
      <c r="A14" s="5">
        <v>3</v>
      </c>
      <c r="B14" s="16" t="s">
        <v>228</v>
      </c>
      <c r="C14" s="7" t="s">
        <v>49</v>
      </c>
      <c r="D14" s="8" t="s">
        <v>57</v>
      </c>
      <c r="E14" s="5" t="s">
        <v>24</v>
      </c>
      <c r="F14" s="5" t="s">
        <v>25</v>
      </c>
      <c r="G14" s="8" t="s">
        <v>58</v>
      </c>
      <c r="H14" s="80">
        <v>15000</v>
      </c>
      <c r="I14" s="10">
        <v>54600</v>
      </c>
      <c r="J14" s="10">
        <v>57459</v>
      </c>
      <c r="K14" s="11">
        <v>45726</v>
      </c>
      <c r="L14" s="80">
        <v>10000</v>
      </c>
      <c r="M14" s="17" t="s">
        <v>204</v>
      </c>
    </row>
    <row r="15" spans="1:13" x14ac:dyDescent="0.35">
      <c r="A15" s="5">
        <v>4</v>
      </c>
      <c r="B15" s="71" t="s">
        <v>229</v>
      </c>
      <c r="C15" s="72" t="s">
        <v>23</v>
      </c>
      <c r="D15" s="44" t="s">
        <v>47</v>
      </c>
      <c r="E15" s="44" t="s">
        <v>24</v>
      </c>
      <c r="F15" s="44" t="s">
        <v>25</v>
      </c>
      <c r="G15" s="44" t="s">
        <v>102</v>
      </c>
      <c r="H15" s="80">
        <v>18000</v>
      </c>
      <c r="I15" s="10">
        <v>41889</v>
      </c>
      <c r="J15" s="10">
        <v>45489</v>
      </c>
      <c r="K15" s="11">
        <v>45724</v>
      </c>
      <c r="L15" s="80">
        <v>15000</v>
      </c>
      <c r="M15" s="17" t="s">
        <v>204</v>
      </c>
    </row>
    <row r="16" spans="1:13" x14ac:dyDescent="0.35">
      <c r="A16" s="5">
        <v>5</v>
      </c>
      <c r="B16" s="16" t="s">
        <v>230</v>
      </c>
      <c r="C16" s="7" t="s">
        <v>49</v>
      </c>
      <c r="D16" s="8" t="s">
        <v>50</v>
      </c>
      <c r="E16" s="5" t="s">
        <v>24</v>
      </c>
      <c r="F16" s="5" t="s">
        <v>25</v>
      </c>
      <c r="G16" s="8" t="s">
        <v>51</v>
      </c>
      <c r="H16" s="80">
        <v>30000</v>
      </c>
      <c r="I16" s="10">
        <v>16900</v>
      </c>
      <c r="J16" s="10">
        <v>22416</v>
      </c>
      <c r="K16" s="11">
        <v>45722</v>
      </c>
      <c r="L16" s="80">
        <v>25000</v>
      </c>
      <c r="M16" s="17" t="s">
        <v>132</v>
      </c>
    </row>
    <row r="17" spans="1:13" x14ac:dyDescent="0.35">
      <c r="A17" s="5">
        <v>6</v>
      </c>
      <c r="B17" s="16" t="s">
        <v>231</v>
      </c>
      <c r="C17" s="7" t="s">
        <v>49</v>
      </c>
      <c r="D17" s="8" t="s">
        <v>60</v>
      </c>
      <c r="E17" s="5" t="s">
        <v>24</v>
      </c>
      <c r="F17" s="5" t="s">
        <v>25</v>
      </c>
      <c r="G17" s="8" t="s">
        <v>61</v>
      </c>
      <c r="H17" s="80">
        <v>15000</v>
      </c>
      <c r="I17" s="10">
        <v>53495</v>
      </c>
      <c r="J17" s="10">
        <v>58495</v>
      </c>
      <c r="K17" s="11">
        <v>45723</v>
      </c>
      <c r="L17" s="80">
        <v>10000</v>
      </c>
      <c r="M17" s="17" t="s">
        <v>132</v>
      </c>
    </row>
    <row r="18" spans="1:13" x14ac:dyDescent="0.35">
      <c r="A18" s="5">
        <v>7</v>
      </c>
      <c r="B18" s="71" t="s">
        <v>232</v>
      </c>
      <c r="C18" s="72" t="s">
        <v>233</v>
      </c>
      <c r="D18" s="44" t="s">
        <v>234</v>
      </c>
      <c r="E18" s="5" t="s">
        <v>24</v>
      </c>
      <c r="F18" s="5" t="s">
        <v>25</v>
      </c>
      <c r="G18" s="44" t="s">
        <v>235</v>
      </c>
      <c r="H18" s="80">
        <v>40000</v>
      </c>
      <c r="I18" s="10">
        <v>91400</v>
      </c>
      <c r="J18" s="10">
        <v>121400</v>
      </c>
      <c r="K18" s="11">
        <v>45693</v>
      </c>
      <c r="L18" s="80">
        <v>40000</v>
      </c>
      <c r="M18" s="17" t="s">
        <v>236</v>
      </c>
    </row>
    <row r="19" spans="1:13" x14ac:dyDescent="0.35">
      <c r="A19" s="5">
        <v>8</v>
      </c>
      <c r="B19" s="71" t="s">
        <v>26</v>
      </c>
      <c r="C19" s="72" t="s">
        <v>23</v>
      </c>
      <c r="D19" s="73" t="s">
        <v>27</v>
      </c>
      <c r="E19" s="44" t="s">
        <v>24</v>
      </c>
      <c r="F19" s="44" t="s">
        <v>25</v>
      </c>
      <c r="G19" s="73" t="s">
        <v>28</v>
      </c>
      <c r="H19" s="80">
        <v>8000</v>
      </c>
      <c r="I19" s="10">
        <v>10154</v>
      </c>
      <c r="J19" s="10">
        <v>14154</v>
      </c>
      <c r="K19" s="11">
        <v>45721</v>
      </c>
      <c r="L19" s="80">
        <v>4000</v>
      </c>
      <c r="M19" s="17" t="s">
        <v>154</v>
      </c>
    </row>
    <row r="20" spans="1:13" x14ac:dyDescent="0.35">
      <c r="A20" s="5">
        <v>9</v>
      </c>
      <c r="B20" s="71" t="s">
        <v>30</v>
      </c>
      <c r="C20" s="72" t="s">
        <v>23</v>
      </c>
      <c r="D20" s="44" t="s">
        <v>31</v>
      </c>
      <c r="E20" s="44" t="s">
        <v>32</v>
      </c>
      <c r="F20" s="44" t="s">
        <v>25</v>
      </c>
      <c r="G20" s="44" t="s">
        <v>33</v>
      </c>
      <c r="H20" s="80">
        <v>35000</v>
      </c>
      <c r="I20" s="10">
        <v>58860</v>
      </c>
      <c r="J20" s="10">
        <v>73860</v>
      </c>
      <c r="K20" s="11">
        <v>45720</v>
      </c>
      <c r="L20" s="80">
        <v>25000</v>
      </c>
      <c r="M20" s="17" t="s">
        <v>321</v>
      </c>
    </row>
    <row r="21" spans="1:13" x14ac:dyDescent="0.35">
      <c r="A21" s="5">
        <v>10</v>
      </c>
      <c r="B21" s="71" t="s">
        <v>22</v>
      </c>
      <c r="C21" s="72" t="s">
        <v>23</v>
      </c>
      <c r="D21" s="44" t="s">
        <v>205</v>
      </c>
      <c r="E21" s="44" t="s">
        <v>24</v>
      </c>
      <c r="F21" s="44" t="s">
        <v>25</v>
      </c>
      <c r="G21" s="44" t="s">
        <v>105</v>
      </c>
      <c r="H21" s="80">
        <v>18000</v>
      </c>
      <c r="I21" s="10">
        <v>18235</v>
      </c>
      <c r="J21" s="10">
        <v>25735</v>
      </c>
      <c r="K21" s="11">
        <v>45716</v>
      </c>
      <c r="L21" s="80">
        <v>5000</v>
      </c>
      <c r="M21" s="17" t="s">
        <v>132</v>
      </c>
    </row>
    <row r="22" spans="1:13" x14ac:dyDescent="0.35">
      <c r="A22" s="5">
        <v>11</v>
      </c>
      <c r="B22" s="71" t="s">
        <v>36</v>
      </c>
      <c r="C22" s="72" t="s">
        <v>23</v>
      </c>
      <c r="D22" s="44">
        <v>1311</v>
      </c>
      <c r="E22" s="44" t="s">
        <v>24</v>
      </c>
      <c r="F22" s="44" t="s">
        <v>25</v>
      </c>
      <c r="G22" s="73" t="s">
        <v>37</v>
      </c>
      <c r="H22" s="80">
        <v>7000</v>
      </c>
      <c r="I22" s="10">
        <v>12052</v>
      </c>
      <c r="J22" s="10">
        <v>18052</v>
      </c>
      <c r="K22" s="11">
        <v>45716</v>
      </c>
      <c r="L22" s="80">
        <v>7000</v>
      </c>
      <c r="M22" s="17" t="s">
        <v>132</v>
      </c>
    </row>
    <row r="23" spans="1:13" x14ac:dyDescent="0.35">
      <c r="A23" s="5">
        <v>12</v>
      </c>
      <c r="B23" s="71" t="s">
        <v>38</v>
      </c>
      <c r="C23" s="72" t="s">
        <v>23</v>
      </c>
      <c r="D23" s="73" t="s">
        <v>39</v>
      </c>
      <c r="E23" s="44" t="s">
        <v>24</v>
      </c>
      <c r="F23" s="44" t="s">
        <v>25</v>
      </c>
      <c r="G23" s="73" t="s">
        <v>40</v>
      </c>
      <c r="H23" s="80">
        <v>7000</v>
      </c>
      <c r="I23" s="10">
        <v>9471</v>
      </c>
      <c r="J23" s="10">
        <v>13670</v>
      </c>
      <c r="K23" s="11">
        <v>45716</v>
      </c>
      <c r="L23" s="80">
        <v>5000</v>
      </c>
      <c r="M23" s="17" t="s">
        <v>132</v>
      </c>
    </row>
    <row r="24" spans="1:13" x14ac:dyDescent="0.35">
      <c r="A24" s="5">
        <v>13</v>
      </c>
      <c r="B24" s="71" t="s">
        <v>155</v>
      </c>
      <c r="C24" s="72" t="s">
        <v>23</v>
      </c>
      <c r="D24" s="73">
        <v>731</v>
      </c>
      <c r="E24" s="44" t="s">
        <v>24</v>
      </c>
      <c r="F24" s="44" t="s">
        <v>25</v>
      </c>
      <c r="G24" s="73" t="s">
        <v>131</v>
      </c>
      <c r="H24" s="80">
        <v>6000</v>
      </c>
      <c r="I24" s="10">
        <v>18975</v>
      </c>
      <c r="J24" s="10">
        <v>21975</v>
      </c>
      <c r="K24" s="11">
        <v>45719</v>
      </c>
      <c r="L24" s="80">
        <v>6000</v>
      </c>
      <c r="M24" s="17" t="s">
        <v>154</v>
      </c>
    </row>
    <row r="25" spans="1:13" x14ac:dyDescent="0.35">
      <c r="A25" s="5">
        <v>14</v>
      </c>
      <c r="B25" s="6" t="s">
        <v>34</v>
      </c>
      <c r="C25" s="14" t="s">
        <v>23</v>
      </c>
      <c r="D25" s="15">
        <v>1149</v>
      </c>
      <c r="E25" s="15" t="s">
        <v>24</v>
      </c>
      <c r="F25" s="15" t="s">
        <v>25</v>
      </c>
      <c r="G25" s="13" t="s">
        <v>35</v>
      </c>
      <c r="H25" s="80">
        <v>5000</v>
      </c>
      <c r="I25" s="10">
        <v>20068</v>
      </c>
      <c r="J25" s="10">
        <v>22318</v>
      </c>
      <c r="K25" s="11">
        <v>45693</v>
      </c>
      <c r="L25" s="80">
        <v>4000</v>
      </c>
      <c r="M25" s="17" t="s">
        <v>29</v>
      </c>
    </row>
    <row r="26" spans="1:13" x14ac:dyDescent="0.35">
      <c r="A26" s="96">
        <v>15</v>
      </c>
      <c r="B26" s="97" t="s">
        <v>293</v>
      </c>
      <c r="C26" s="98" t="s">
        <v>23</v>
      </c>
      <c r="D26">
        <v>815</v>
      </c>
      <c r="E26" s="99" t="s">
        <v>24</v>
      </c>
      <c r="F26" s="99" t="s">
        <v>130</v>
      </c>
      <c r="G26" s="100" t="s">
        <v>287</v>
      </c>
      <c r="H26" s="101">
        <v>20000</v>
      </c>
      <c r="I26" s="102">
        <v>5583</v>
      </c>
      <c r="J26" s="102">
        <v>5583</v>
      </c>
      <c r="K26" s="103">
        <v>45729</v>
      </c>
      <c r="L26" s="101">
        <v>6000</v>
      </c>
      <c r="M26" s="64" t="s">
        <v>132</v>
      </c>
    </row>
    <row r="27" spans="1:13" x14ac:dyDescent="0.35">
      <c r="A27" s="5">
        <v>17</v>
      </c>
      <c r="B27" s="74" t="s">
        <v>330</v>
      </c>
      <c r="C27" s="72" t="s">
        <v>42</v>
      </c>
      <c r="D27" s="73" t="s">
        <v>43</v>
      </c>
      <c r="E27" s="44" t="s">
        <v>24</v>
      </c>
      <c r="F27" s="44" t="s">
        <v>44</v>
      </c>
      <c r="G27" s="44">
        <v>24024723</v>
      </c>
      <c r="H27" s="78">
        <v>35000</v>
      </c>
      <c r="I27" s="42">
        <v>38300</v>
      </c>
      <c r="J27" s="42">
        <v>49071</v>
      </c>
      <c r="K27" s="11">
        <v>45714</v>
      </c>
      <c r="L27" s="78">
        <v>30000</v>
      </c>
      <c r="M27" s="12" t="s">
        <v>237</v>
      </c>
    </row>
    <row r="28" spans="1:13" x14ac:dyDescent="0.35">
      <c r="A28" s="22">
        <v>18</v>
      </c>
      <c r="B28" s="85" t="s">
        <v>331</v>
      </c>
      <c r="C28" s="86" t="s">
        <v>332</v>
      </c>
      <c r="D28" s="53" t="s">
        <v>333</v>
      </c>
      <c r="E28" s="87" t="s">
        <v>24</v>
      </c>
      <c r="F28" s="87" t="s">
        <v>44</v>
      </c>
      <c r="G28" s="87" t="s">
        <v>335</v>
      </c>
      <c r="H28" s="78">
        <v>25000</v>
      </c>
      <c r="I28" s="42">
        <v>3398</v>
      </c>
      <c r="J28" s="42">
        <v>3634</v>
      </c>
      <c r="K28" s="11">
        <v>45732</v>
      </c>
      <c r="L28" s="78">
        <v>5000</v>
      </c>
      <c r="M28" s="12" t="s">
        <v>334</v>
      </c>
    </row>
    <row r="29" spans="1:13" x14ac:dyDescent="0.35">
      <c r="A29" s="386" t="s">
        <v>8</v>
      </c>
      <c r="B29" s="386"/>
      <c r="C29" s="386"/>
      <c r="D29" s="386"/>
      <c r="E29" s="386"/>
      <c r="F29" s="386"/>
      <c r="G29" s="386"/>
      <c r="H29" s="81">
        <f>SUM(H12:H28)</f>
        <v>354000</v>
      </c>
      <c r="I29" s="24"/>
      <c r="J29" s="25"/>
      <c r="K29" s="43"/>
      <c r="L29" s="26"/>
      <c r="M29" s="26"/>
    </row>
    <row r="30" spans="1:13" x14ac:dyDescent="0.35">
      <c r="A30" s="26"/>
      <c r="B30" s="26"/>
      <c r="C30" s="26"/>
      <c r="D30" s="26"/>
      <c r="E30" s="26"/>
      <c r="F30" s="26"/>
      <c r="G30" s="26"/>
      <c r="H30" s="26"/>
      <c r="I30" s="26"/>
      <c r="J30" s="26"/>
      <c r="K30" s="26"/>
      <c r="L30" s="26"/>
      <c r="M30" s="26"/>
    </row>
    <row r="31" spans="1:13" x14ac:dyDescent="0.35">
      <c r="A31" s="26"/>
      <c r="B31" s="26" t="s">
        <v>339</v>
      </c>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x14ac:dyDescent="0.35">
      <c r="A35" s="26"/>
      <c r="B35" s="26"/>
      <c r="C35" s="26"/>
      <c r="D35" s="26"/>
      <c r="E35" s="26"/>
      <c r="F35" s="26"/>
      <c r="G35" s="26"/>
      <c r="H35" s="26"/>
      <c r="I35" s="26"/>
      <c r="J35" s="26"/>
      <c r="K35" s="26"/>
      <c r="L35" s="26"/>
      <c r="M35" s="26"/>
    </row>
    <row r="36" spans="1:13" ht="15" thickBot="1" x14ac:dyDescent="0.4">
      <c r="A36" s="420" t="s">
        <v>66</v>
      </c>
      <c r="B36" s="420"/>
      <c r="C36" s="26"/>
      <c r="D36" s="26"/>
      <c r="E36" s="407" t="s">
        <v>67</v>
      </c>
      <c r="F36" s="407"/>
      <c r="G36" s="49"/>
      <c r="H36" s="49"/>
      <c r="I36" s="408"/>
      <c r="J36" s="408"/>
      <c r="K36" s="28"/>
      <c r="L36" s="29"/>
      <c r="M36" s="29"/>
    </row>
    <row r="37" spans="1:13" ht="15" thickTop="1" x14ac:dyDescent="0.35">
      <c r="A37" s="421" t="s">
        <v>69</v>
      </c>
      <c r="B37" s="421"/>
      <c r="D37" s="30"/>
      <c r="E37" s="410" t="s">
        <v>70</v>
      </c>
      <c r="F37" s="410"/>
      <c r="G37" s="410" t="s">
        <v>71</v>
      </c>
      <c r="H37" s="410"/>
      <c r="I37" s="29"/>
      <c r="J37" s="29"/>
      <c r="K37" s="29" t="s">
        <v>72</v>
      </c>
      <c r="L37" s="31"/>
      <c r="M37" s="31"/>
    </row>
    <row r="38" spans="1:13" x14ac:dyDescent="0.35">
      <c r="A38" s="414" t="s">
        <v>92</v>
      </c>
      <c r="B38" s="414"/>
      <c r="D38" s="32"/>
      <c r="E38" s="414" t="s">
        <v>73</v>
      </c>
      <c r="F38" s="414"/>
      <c r="G38" s="414" t="s">
        <v>74</v>
      </c>
      <c r="H38" s="414"/>
      <c r="I38" s="31"/>
      <c r="J38" s="31"/>
      <c r="K38" s="31" t="s">
        <v>75</v>
      </c>
      <c r="L38" s="33"/>
      <c r="M38" s="33"/>
    </row>
    <row r="39" spans="1:13" x14ac:dyDescent="0.35">
      <c r="A39" s="412" t="s">
        <v>94</v>
      </c>
      <c r="B39" s="412"/>
      <c r="D39" s="34"/>
      <c r="E39" s="414" t="s">
        <v>78</v>
      </c>
      <c r="F39" s="414"/>
      <c r="G39" s="414" t="s">
        <v>79</v>
      </c>
      <c r="H39" s="414"/>
      <c r="I39" s="33"/>
      <c r="J39" s="33"/>
      <c r="K39" s="33" t="s">
        <v>80</v>
      </c>
      <c r="L39" s="34"/>
      <c r="M39" s="34"/>
    </row>
    <row r="40" spans="1:13" x14ac:dyDescent="0.35">
      <c r="A40" s="412" t="s">
        <v>76</v>
      </c>
      <c r="B40" s="412"/>
      <c r="D40" s="34"/>
      <c r="E40" s="412" t="s">
        <v>76</v>
      </c>
      <c r="F40" s="412"/>
      <c r="G40" s="412" t="s">
        <v>76</v>
      </c>
      <c r="H40" s="412"/>
      <c r="I40" s="33"/>
      <c r="J40" s="33"/>
      <c r="K40" s="33"/>
    </row>
    <row r="45" spans="1:13" ht="15" thickBot="1" x14ac:dyDescent="0.4"/>
    <row r="46" spans="1:13" ht="15" thickTop="1" x14ac:dyDescent="0.35">
      <c r="A46" s="417" t="s">
        <v>114</v>
      </c>
      <c r="B46" s="417"/>
      <c r="C46" s="429" t="s">
        <v>282</v>
      </c>
      <c r="D46" s="429"/>
      <c r="E46" s="429"/>
    </row>
    <row r="47" spans="1:13" x14ac:dyDescent="0.35">
      <c r="A47" s="418" t="s">
        <v>115</v>
      </c>
      <c r="B47" s="418"/>
      <c r="C47" s="430" t="s">
        <v>7</v>
      </c>
      <c r="D47" s="430"/>
      <c r="E47" s="430"/>
    </row>
    <row r="48" spans="1:13" x14ac:dyDescent="0.35">
      <c r="A48" s="422" t="s">
        <v>116</v>
      </c>
      <c r="B48" s="418"/>
      <c r="C48" s="431" t="s">
        <v>77</v>
      </c>
      <c r="D48" s="431"/>
      <c r="E48" s="431"/>
    </row>
    <row r="49" spans="1:5" x14ac:dyDescent="0.35">
      <c r="A49" s="416" t="s">
        <v>117</v>
      </c>
      <c r="B49" s="416"/>
      <c r="C49" s="412" t="s">
        <v>81</v>
      </c>
      <c r="D49" s="412"/>
      <c r="E49" s="412"/>
    </row>
  </sheetData>
  <mergeCells count="42">
    <mergeCell ref="A4:B4"/>
    <mergeCell ref="C4:M4"/>
    <mergeCell ref="A1:M1"/>
    <mergeCell ref="A2:B2"/>
    <mergeCell ref="C2:M2"/>
    <mergeCell ref="A3:B3"/>
    <mergeCell ref="C3:M3"/>
    <mergeCell ref="A29:G29"/>
    <mergeCell ref="A5:B5"/>
    <mergeCell ref="C5:M5"/>
    <mergeCell ref="A6:B6"/>
    <mergeCell ref="C6:M6"/>
    <mergeCell ref="A7:B7"/>
    <mergeCell ref="C7:M7"/>
    <mergeCell ref="A8:B8"/>
    <mergeCell ref="C8:M8"/>
    <mergeCell ref="A9:B9"/>
    <mergeCell ref="C9:M9"/>
    <mergeCell ref="A10:M10"/>
    <mergeCell ref="A36:B36"/>
    <mergeCell ref="E36:F36"/>
    <mergeCell ref="I36:J36"/>
    <mergeCell ref="A37:B37"/>
    <mergeCell ref="E37:F37"/>
    <mergeCell ref="G37:H37"/>
    <mergeCell ref="A38:B38"/>
    <mergeCell ref="E38:F38"/>
    <mergeCell ref="G38:H38"/>
    <mergeCell ref="A39:B39"/>
    <mergeCell ref="E39:F39"/>
    <mergeCell ref="G39:H39"/>
    <mergeCell ref="G40:H40"/>
    <mergeCell ref="A46:B46"/>
    <mergeCell ref="C46:E46"/>
    <mergeCell ref="A47:B47"/>
    <mergeCell ref="C47:E47"/>
    <mergeCell ref="A48:B48"/>
    <mergeCell ref="C48:E48"/>
    <mergeCell ref="A49:B49"/>
    <mergeCell ref="C49:E49"/>
    <mergeCell ref="A40:B40"/>
    <mergeCell ref="E40:F40"/>
  </mergeCells>
  <printOptions horizontalCentered="1"/>
  <pageMargins left="0" right="0" top="0.25" bottom="0.25" header="0.3" footer="0.3"/>
  <pageSetup scale="73"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4D53-4D39-4958-9E5A-2FD08A87D3A3}">
  <sheetPr>
    <pageSetUpPr fitToPage="1"/>
  </sheetPr>
  <dimension ref="A1:M48"/>
  <sheetViews>
    <sheetView topLeftCell="A9" workbookViewId="0">
      <selection sqref="A1:M49"/>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337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45771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H28</f>
        <v>368000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363</v>
      </c>
      <c r="J11" s="3" t="s">
        <v>18</v>
      </c>
      <c r="K11" s="3" t="s">
        <v>19</v>
      </c>
      <c r="L11" s="3" t="s">
        <v>20</v>
      </c>
      <c r="M11" s="4" t="s">
        <v>21</v>
      </c>
    </row>
    <row r="12" spans="1:13" x14ac:dyDescent="0.35">
      <c r="A12" s="5">
        <v>1</v>
      </c>
      <c r="B12" s="69" t="s">
        <v>119</v>
      </c>
      <c r="C12" s="69" t="s">
        <v>49</v>
      </c>
      <c r="D12" s="70" t="s">
        <v>63</v>
      </c>
      <c r="E12" s="70" t="s">
        <v>24</v>
      </c>
      <c r="F12" s="68" t="s">
        <v>25</v>
      </c>
      <c r="G12" s="68" t="s">
        <v>65</v>
      </c>
      <c r="H12" s="79">
        <v>50000</v>
      </c>
      <c r="I12" s="82">
        <v>44160</v>
      </c>
      <c r="J12" s="82">
        <v>58160</v>
      </c>
      <c r="K12" s="11">
        <v>45759</v>
      </c>
      <c r="L12" s="79">
        <v>55000</v>
      </c>
      <c r="M12" s="84" t="s">
        <v>176</v>
      </c>
    </row>
    <row r="13" spans="1:13" x14ac:dyDescent="0.35">
      <c r="A13" s="5">
        <v>2</v>
      </c>
      <c r="B13" s="71" t="s">
        <v>227</v>
      </c>
      <c r="C13" s="72" t="s">
        <v>49</v>
      </c>
      <c r="D13" s="73" t="s">
        <v>54</v>
      </c>
      <c r="E13" s="44" t="s">
        <v>24</v>
      </c>
      <c r="F13" s="44" t="s">
        <v>25</v>
      </c>
      <c r="G13" s="73" t="s">
        <v>55</v>
      </c>
      <c r="H13" s="80">
        <v>10000</v>
      </c>
      <c r="I13" s="10">
        <v>40051</v>
      </c>
      <c r="J13" s="10">
        <v>42451</v>
      </c>
      <c r="K13" s="11">
        <v>45759</v>
      </c>
      <c r="L13" s="80">
        <v>15000</v>
      </c>
      <c r="M13" s="17" t="s">
        <v>204</v>
      </c>
    </row>
    <row r="14" spans="1:13" x14ac:dyDescent="0.35">
      <c r="A14" s="5">
        <v>3</v>
      </c>
      <c r="B14" s="71" t="s">
        <v>229</v>
      </c>
      <c r="C14" s="72" t="s">
        <v>23</v>
      </c>
      <c r="D14" s="44" t="s">
        <v>47</v>
      </c>
      <c r="E14" s="44" t="s">
        <v>24</v>
      </c>
      <c r="F14" s="44" t="s">
        <v>25</v>
      </c>
      <c r="G14" s="44" t="s">
        <v>102</v>
      </c>
      <c r="H14" s="80">
        <v>10000</v>
      </c>
      <c r="I14" s="10">
        <v>51371</v>
      </c>
      <c r="J14" s="10">
        <v>56171</v>
      </c>
      <c r="K14" s="11">
        <v>45759</v>
      </c>
      <c r="L14" s="80">
        <v>15000</v>
      </c>
      <c r="M14" s="17" t="s">
        <v>204</v>
      </c>
    </row>
    <row r="15" spans="1:13" x14ac:dyDescent="0.35">
      <c r="A15" s="5">
        <v>4</v>
      </c>
      <c r="B15" s="16" t="s">
        <v>230</v>
      </c>
      <c r="C15" s="7" t="s">
        <v>49</v>
      </c>
      <c r="D15" s="8" t="s">
        <v>50</v>
      </c>
      <c r="E15" s="5" t="s">
        <v>24</v>
      </c>
      <c r="F15" s="5" t="s">
        <v>25</v>
      </c>
      <c r="G15" s="8" t="s">
        <v>51</v>
      </c>
      <c r="H15" s="80">
        <v>30000</v>
      </c>
      <c r="I15" s="10">
        <v>25985</v>
      </c>
      <c r="J15" s="10">
        <v>31185</v>
      </c>
      <c r="K15" s="11">
        <v>45753</v>
      </c>
      <c r="L15" s="80">
        <v>30000</v>
      </c>
      <c r="M15" s="17" t="s">
        <v>132</v>
      </c>
    </row>
    <row r="16" spans="1:13" x14ac:dyDescent="0.35">
      <c r="A16" s="5">
        <v>6</v>
      </c>
      <c r="B16" s="71" t="s">
        <v>232</v>
      </c>
      <c r="C16" s="72" t="s">
        <v>233</v>
      </c>
      <c r="D16" s="44" t="s">
        <v>234</v>
      </c>
      <c r="E16" s="5" t="s">
        <v>24</v>
      </c>
      <c r="F16" s="5" t="s">
        <v>25</v>
      </c>
      <c r="G16" s="44" t="s">
        <v>235</v>
      </c>
      <c r="H16" s="80">
        <v>70000</v>
      </c>
      <c r="I16" s="10">
        <v>46626</v>
      </c>
      <c r="J16" s="10">
        <v>81626</v>
      </c>
      <c r="K16" s="11">
        <v>45753</v>
      </c>
      <c r="L16" s="80">
        <v>40000</v>
      </c>
      <c r="M16" s="17" t="s">
        <v>236</v>
      </c>
    </row>
    <row r="17" spans="1:13" x14ac:dyDescent="0.35">
      <c r="A17" s="5">
        <v>7</v>
      </c>
      <c r="B17" s="71" t="s">
        <v>26</v>
      </c>
      <c r="C17" s="72" t="s">
        <v>23</v>
      </c>
      <c r="D17" s="73" t="s">
        <v>27</v>
      </c>
      <c r="E17" s="44" t="s">
        <v>24</v>
      </c>
      <c r="F17" s="44" t="s">
        <v>25</v>
      </c>
      <c r="G17" s="73" t="s">
        <v>28</v>
      </c>
      <c r="H17" s="80">
        <v>6000</v>
      </c>
      <c r="I17" s="10">
        <v>14527</v>
      </c>
      <c r="J17" s="10">
        <v>15527</v>
      </c>
      <c r="K17" s="11">
        <v>45758</v>
      </c>
      <c r="L17" s="80">
        <v>5000</v>
      </c>
      <c r="M17" s="17" t="s">
        <v>154</v>
      </c>
    </row>
    <row r="18" spans="1:13" x14ac:dyDescent="0.35">
      <c r="A18" s="5">
        <v>8</v>
      </c>
      <c r="B18" s="71" t="s">
        <v>30</v>
      </c>
      <c r="C18" s="72" t="s">
        <v>23</v>
      </c>
      <c r="D18" s="44" t="s">
        <v>31</v>
      </c>
      <c r="E18" s="44" t="s">
        <v>32</v>
      </c>
      <c r="F18" s="44" t="s">
        <v>25</v>
      </c>
      <c r="G18" s="44" t="s">
        <v>33</v>
      </c>
      <c r="H18" s="80">
        <v>50000</v>
      </c>
      <c r="I18" s="10">
        <v>48186</v>
      </c>
      <c r="J18" s="10">
        <v>58686</v>
      </c>
      <c r="K18" s="11">
        <v>45754</v>
      </c>
      <c r="L18" s="80">
        <v>32000</v>
      </c>
      <c r="M18" s="17" t="s">
        <v>104</v>
      </c>
    </row>
    <row r="19" spans="1:13" x14ac:dyDescent="0.35">
      <c r="A19" s="5">
        <v>9</v>
      </c>
      <c r="B19" s="71" t="s">
        <v>22</v>
      </c>
      <c r="C19" s="72" t="s">
        <v>23</v>
      </c>
      <c r="D19" s="44" t="s">
        <v>205</v>
      </c>
      <c r="E19" s="44" t="s">
        <v>24</v>
      </c>
      <c r="F19" s="44" t="s">
        <v>25</v>
      </c>
      <c r="G19" s="44" t="s">
        <v>105</v>
      </c>
      <c r="H19" s="80">
        <v>18000</v>
      </c>
      <c r="I19" s="10">
        <v>17373</v>
      </c>
      <c r="J19" s="10">
        <v>25573</v>
      </c>
      <c r="K19" s="11">
        <v>45743</v>
      </c>
      <c r="L19" s="80">
        <v>15000</v>
      </c>
      <c r="M19" s="17" t="s">
        <v>364</v>
      </c>
    </row>
    <row r="20" spans="1:13" x14ac:dyDescent="0.35">
      <c r="A20" s="5">
        <v>10</v>
      </c>
      <c r="B20" s="71" t="s">
        <v>36</v>
      </c>
      <c r="C20" s="72" t="s">
        <v>23</v>
      </c>
      <c r="D20" s="44">
        <v>1311</v>
      </c>
      <c r="E20" s="44" t="s">
        <v>24</v>
      </c>
      <c r="F20" s="44" t="s">
        <v>25</v>
      </c>
      <c r="G20" s="73" t="s">
        <v>37</v>
      </c>
      <c r="H20" s="80">
        <v>5000</v>
      </c>
      <c r="I20" s="10">
        <v>9066</v>
      </c>
      <c r="J20" s="10">
        <v>18066</v>
      </c>
      <c r="K20" s="11">
        <v>45743</v>
      </c>
      <c r="L20" s="80">
        <v>5000</v>
      </c>
      <c r="M20" s="17" t="s">
        <v>204</v>
      </c>
    </row>
    <row r="21" spans="1:13" x14ac:dyDescent="0.35">
      <c r="A21" s="5">
        <v>11</v>
      </c>
      <c r="B21" s="71" t="s">
        <v>38</v>
      </c>
      <c r="C21" s="72" t="s">
        <v>23</v>
      </c>
      <c r="D21" s="73" t="s">
        <v>39</v>
      </c>
      <c r="E21" s="44" t="s">
        <v>24</v>
      </c>
      <c r="F21" s="44" t="s">
        <v>25</v>
      </c>
      <c r="G21" s="73" t="s">
        <v>40</v>
      </c>
      <c r="H21" s="80">
        <v>6000</v>
      </c>
      <c r="I21" s="10">
        <v>11312</v>
      </c>
      <c r="J21" s="10">
        <v>12212</v>
      </c>
      <c r="K21" s="11">
        <v>45758</v>
      </c>
      <c r="L21" s="80">
        <v>5000</v>
      </c>
      <c r="M21" s="17" t="s">
        <v>154</v>
      </c>
    </row>
    <row r="22" spans="1:13" x14ac:dyDescent="0.35">
      <c r="A22" s="5">
        <v>12</v>
      </c>
      <c r="B22" s="71" t="s">
        <v>155</v>
      </c>
      <c r="C22" s="72" t="s">
        <v>23</v>
      </c>
      <c r="D22" s="73">
        <v>731</v>
      </c>
      <c r="E22" s="44" t="s">
        <v>24</v>
      </c>
      <c r="F22" s="44" t="s">
        <v>25</v>
      </c>
      <c r="G22" s="73" t="s">
        <v>131</v>
      </c>
      <c r="H22" s="80">
        <v>4000</v>
      </c>
      <c r="I22" s="10">
        <v>18155</v>
      </c>
      <c r="J22" s="10">
        <v>24155</v>
      </c>
      <c r="K22" s="11">
        <v>45741</v>
      </c>
      <c r="L22" s="80">
        <v>5000</v>
      </c>
      <c r="M22" s="17" t="s">
        <v>154</v>
      </c>
    </row>
    <row r="23" spans="1:13" x14ac:dyDescent="0.35">
      <c r="A23" s="5">
        <v>13</v>
      </c>
      <c r="B23" s="6" t="s">
        <v>34</v>
      </c>
      <c r="C23" s="14" t="s">
        <v>23</v>
      </c>
      <c r="D23" s="15">
        <v>1149</v>
      </c>
      <c r="E23" s="15" t="s">
        <v>24</v>
      </c>
      <c r="F23" s="15" t="s">
        <v>25</v>
      </c>
      <c r="G23" s="13" t="s">
        <v>35</v>
      </c>
      <c r="H23" s="80">
        <v>6000</v>
      </c>
      <c r="I23" s="10">
        <v>14000</v>
      </c>
      <c r="J23" s="10">
        <v>21436</v>
      </c>
      <c r="K23" s="11">
        <v>45720</v>
      </c>
      <c r="L23" s="80">
        <v>4000</v>
      </c>
      <c r="M23" s="17" t="s">
        <v>154</v>
      </c>
    </row>
    <row r="24" spans="1:13" x14ac:dyDescent="0.35">
      <c r="A24" s="5">
        <v>14</v>
      </c>
      <c r="B24" s="97" t="s">
        <v>293</v>
      </c>
      <c r="C24" s="98" t="s">
        <v>23</v>
      </c>
      <c r="D24">
        <v>815</v>
      </c>
      <c r="E24" s="99" t="s">
        <v>24</v>
      </c>
      <c r="F24" s="99" t="s">
        <v>130</v>
      </c>
      <c r="G24" s="100" t="s">
        <v>287</v>
      </c>
      <c r="H24" s="101">
        <v>18000</v>
      </c>
      <c r="I24" s="102">
        <v>10682</v>
      </c>
      <c r="J24" s="102">
        <v>18282</v>
      </c>
      <c r="K24" s="103">
        <v>45742</v>
      </c>
      <c r="L24" s="101">
        <v>20000</v>
      </c>
      <c r="M24" s="64" t="s">
        <v>132</v>
      </c>
    </row>
    <row r="25" spans="1:13" x14ac:dyDescent="0.35">
      <c r="A25" s="5">
        <v>15</v>
      </c>
      <c r="B25" s="74" t="s">
        <v>330</v>
      </c>
      <c r="C25" s="72" t="s">
        <v>42</v>
      </c>
      <c r="D25" s="73" t="s">
        <v>43</v>
      </c>
      <c r="E25" s="44" t="s">
        <v>24</v>
      </c>
      <c r="F25" s="44" t="s">
        <v>44</v>
      </c>
      <c r="G25" s="44">
        <v>24024723</v>
      </c>
      <c r="H25" s="78">
        <v>35000</v>
      </c>
      <c r="I25" s="42">
        <v>36727</v>
      </c>
      <c r="J25" s="42">
        <v>62506</v>
      </c>
      <c r="K25" s="11">
        <v>45739</v>
      </c>
      <c r="L25" s="78">
        <v>30000</v>
      </c>
      <c r="M25" s="12" t="s">
        <v>365</v>
      </c>
    </row>
    <row r="26" spans="1:13" x14ac:dyDescent="0.35">
      <c r="A26" s="5">
        <v>16</v>
      </c>
      <c r="B26" s="85" t="s">
        <v>206</v>
      </c>
      <c r="C26" s="86" t="s">
        <v>144</v>
      </c>
      <c r="D26" s="53" t="s">
        <v>207</v>
      </c>
      <c r="E26" s="87" t="s">
        <v>24</v>
      </c>
      <c r="F26" s="87" t="s">
        <v>44</v>
      </c>
      <c r="G26" s="87" t="s">
        <v>208</v>
      </c>
      <c r="H26" s="78">
        <v>30000</v>
      </c>
      <c r="I26" s="42">
        <v>31677</v>
      </c>
      <c r="J26" s="42">
        <v>66086</v>
      </c>
      <c r="K26" s="11">
        <v>45967</v>
      </c>
      <c r="L26" s="78">
        <v>20000</v>
      </c>
      <c r="M26" s="12" t="s">
        <v>366</v>
      </c>
    </row>
    <row r="27" spans="1:13" x14ac:dyDescent="0.35">
      <c r="A27" s="5">
        <v>17</v>
      </c>
      <c r="B27" s="85" t="s">
        <v>331</v>
      </c>
      <c r="C27" s="86" t="s">
        <v>332</v>
      </c>
      <c r="D27" s="53" t="s">
        <v>333</v>
      </c>
      <c r="E27" s="87" t="s">
        <v>24</v>
      </c>
      <c r="F27" s="87" t="s">
        <v>44</v>
      </c>
      <c r="G27" s="87" t="s">
        <v>335</v>
      </c>
      <c r="H27" s="78">
        <v>20000</v>
      </c>
      <c r="I27" s="42">
        <v>6041</v>
      </c>
      <c r="J27" s="42">
        <v>26303</v>
      </c>
      <c r="K27" s="11">
        <v>45734</v>
      </c>
      <c r="L27" s="78">
        <v>20000</v>
      </c>
      <c r="M27" s="12" t="s">
        <v>367</v>
      </c>
    </row>
    <row r="28" spans="1:13" x14ac:dyDescent="0.35">
      <c r="A28" s="386" t="s">
        <v>8</v>
      </c>
      <c r="B28" s="386"/>
      <c r="C28" s="386"/>
      <c r="D28" s="386"/>
      <c r="E28" s="386"/>
      <c r="F28" s="386"/>
      <c r="G28" s="386"/>
      <c r="H28" s="81">
        <f>SUM(H12:H27)</f>
        <v>368000</v>
      </c>
      <c r="I28" s="24"/>
      <c r="J28" s="25"/>
      <c r="K28" s="43"/>
      <c r="L28" s="26"/>
      <c r="M28" s="26"/>
    </row>
    <row r="29" spans="1:13" x14ac:dyDescent="0.35">
      <c r="A29" s="26"/>
      <c r="B29" s="26"/>
      <c r="C29" s="26"/>
      <c r="D29" s="26"/>
      <c r="E29" s="26"/>
      <c r="F29" s="26"/>
      <c r="G29" s="26"/>
      <c r="H29" s="26"/>
      <c r="I29" s="26"/>
      <c r="J29" s="26"/>
      <c r="K29" s="26"/>
      <c r="L29" s="26"/>
      <c r="M29" s="26"/>
    </row>
    <row r="30" spans="1:13" x14ac:dyDescent="0.35">
      <c r="A30" s="26"/>
      <c r="B30" s="26" t="s">
        <v>368</v>
      </c>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ht="15" thickBot="1" x14ac:dyDescent="0.4">
      <c r="A35" s="420" t="s">
        <v>66</v>
      </c>
      <c r="B35" s="420"/>
      <c r="C35" s="26"/>
      <c r="D35" s="26"/>
      <c r="E35" s="407" t="s">
        <v>67</v>
      </c>
      <c r="F35" s="407"/>
      <c r="G35" s="49"/>
      <c r="H35" s="49"/>
      <c r="I35" s="408"/>
      <c r="J35" s="408"/>
      <c r="K35" s="28"/>
      <c r="L35" s="29"/>
      <c r="M35" s="29"/>
    </row>
    <row r="36" spans="1:13" ht="15" thickTop="1" x14ac:dyDescent="0.35">
      <c r="A36" s="421" t="s">
        <v>69</v>
      </c>
      <c r="B36" s="421"/>
      <c r="D36" s="30"/>
      <c r="E36" s="410" t="s">
        <v>70</v>
      </c>
      <c r="F36" s="410"/>
      <c r="G36" s="410" t="s">
        <v>71</v>
      </c>
      <c r="H36" s="410"/>
      <c r="I36" s="29"/>
      <c r="J36" s="29"/>
      <c r="K36" s="29" t="s">
        <v>72</v>
      </c>
      <c r="L36" s="31"/>
      <c r="M36" s="31"/>
    </row>
    <row r="37" spans="1:13" x14ac:dyDescent="0.35">
      <c r="A37" s="414" t="s">
        <v>92</v>
      </c>
      <c r="B37" s="414"/>
      <c r="D37" s="32"/>
      <c r="E37" s="414" t="s">
        <v>73</v>
      </c>
      <c r="F37" s="414"/>
      <c r="G37" s="414" t="s">
        <v>74</v>
      </c>
      <c r="H37" s="414"/>
      <c r="I37" s="31"/>
      <c r="J37" s="31"/>
      <c r="K37" s="31" t="s">
        <v>75</v>
      </c>
      <c r="L37" s="33"/>
      <c r="M37" s="33"/>
    </row>
    <row r="38" spans="1:13" x14ac:dyDescent="0.35">
      <c r="A38" s="412" t="s">
        <v>94</v>
      </c>
      <c r="B38" s="412"/>
      <c r="D38" s="34"/>
      <c r="E38" s="414" t="s">
        <v>78</v>
      </c>
      <c r="F38" s="414"/>
      <c r="G38" s="414" t="s">
        <v>79</v>
      </c>
      <c r="H38" s="414"/>
      <c r="I38" s="33"/>
      <c r="J38" s="33"/>
      <c r="K38" s="33" t="s">
        <v>80</v>
      </c>
      <c r="L38" s="34"/>
      <c r="M38" s="34"/>
    </row>
    <row r="39" spans="1:13" x14ac:dyDescent="0.35">
      <c r="A39" s="412" t="s">
        <v>76</v>
      </c>
      <c r="B39" s="412"/>
      <c r="D39" s="34"/>
      <c r="E39" s="412" t="s">
        <v>76</v>
      </c>
      <c r="F39" s="412"/>
      <c r="G39" s="412" t="s">
        <v>76</v>
      </c>
      <c r="H39" s="412"/>
      <c r="I39" s="33"/>
      <c r="J39" s="33"/>
      <c r="K39" s="33"/>
    </row>
    <row r="44" spans="1:13" ht="15" thickBot="1" x14ac:dyDescent="0.4"/>
    <row r="45" spans="1:13" ht="15" thickTop="1" x14ac:dyDescent="0.35">
      <c r="A45" s="417" t="s">
        <v>114</v>
      </c>
      <c r="B45" s="417"/>
      <c r="C45" s="429" t="s">
        <v>282</v>
      </c>
      <c r="D45" s="429"/>
      <c r="E45" s="429"/>
    </row>
    <row r="46" spans="1:13" x14ac:dyDescent="0.35">
      <c r="A46" s="418" t="s">
        <v>115</v>
      </c>
      <c r="B46" s="418"/>
      <c r="C46" s="430" t="s">
        <v>7</v>
      </c>
      <c r="D46" s="430"/>
      <c r="E46" s="430"/>
    </row>
    <row r="47" spans="1:13" x14ac:dyDescent="0.35">
      <c r="A47" s="422" t="s">
        <v>116</v>
      </c>
      <c r="B47" s="418"/>
      <c r="C47" s="431" t="s">
        <v>77</v>
      </c>
      <c r="D47" s="431"/>
      <c r="E47" s="431"/>
    </row>
    <row r="48" spans="1:13" x14ac:dyDescent="0.35">
      <c r="A48" s="416" t="s">
        <v>117</v>
      </c>
      <c r="B48" s="416"/>
      <c r="C48" s="412" t="s">
        <v>81</v>
      </c>
      <c r="D48" s="412"/>
      <c r="E48" s="412"/>
    </row>
  </sheetData>
  <mergeCells count="42">
    <mergeCell ref="A47:B47"/>
    <mergeCell ref="C47:E47"/>
    <mergeCell ref="A48:B48"/>
    <mergeCell ref="C48:E48"/>
    <mergeCell ref="A39:B39"/>
    <mergeCell ref="E39:F39"/>
    <mergeCell ref="G39:H39"/>
    <mergeCell ref="A45:B45"/>
    <mergeCell ref="C45:E45"/>
    <mergeCell ref="A46:B46"/>
    <mergeCell ref="C46:E46"/>
    <mergeCell ref="A37:B37"/>
    <mergeCell ref="E37:F37"/>
    <mergeCell ref="G37:H37"/>
    <mergeCell ref="A38:B38"/>
    <mergeCell ref="E38:F38"/>
    <mergeCell ref="G38:H38"/>
    <mergeCell ref="A35:B35"/>
    <mergeCell ref="E35:F35"/>
    <mergeCell ref="I35:J35"/>
    <mergeCell ref="A36:B36"/>
    <mergeCell ref="E36:F36"/>
    <mergeCell ref="G36:H36"/>
    <mergeCell ref="A28:G28"/>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scale="66"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1A251-F6F5-4D58-ABCB-12FB44CE80B5}">
  <sheetPr>
    <pageSetUpPr fitToPage="1"/>
  </sheetPr>
  <dimension ref="A1:M51"/>
  <sheetViews>
    <sheetView topLeftCell="A7" workbookViewId="0">
      <selection activeCell="B17" sqref="B1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4.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404</v>
      </c>
      <c r="D4" s="394"/>
      <c r="E4" s="394"/>
      <c r="F4" s="394"/>
      <c r="G4" s="394"/>
      <c r="H4" s="394"/>
      <c r="I4" s="394"/>
      <c r="J4" s="394"/>
      <c r="K4" s="394"/>
      <c r="L4" s="394"/>
      <c r="M4" s="395"/>
    </row>
    <row r="5" spans="1:13" x14ac:dyDescent="0.35">
      <c r="A5" s="384" t="s">
        <v>5</v>
      </c>
      <c r="B5" s="385"/>
      <c r="C5" s="387">
        <v>45796</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H31</f>
        <v>427000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405</v>
      </c>
      <c r="J11" s="3" t="s">
        <v>18</v>
      </c>
      <c r="K11" s="3" t="s">
        <v>19</v>
      </c>
      <c r="L11" s="3" t="s">
        <v>20</v>
      </c>
      <c r="M11" s="4" t="s">
        <v>21</v>
      </c>
    </row>
    <row r="12" spans="1:13" x14ac:dyDescent="0.35">
      <c r="A12" s="5">
        <v>1</v>
      </c>
      <c r="B12" s="69" t="s">
        <v>119</v>
      </c>
      <c r="C12" s="69" t="s">
        <v>49</v>
      </c>
      <c r="D12" s="70" t="s">
        <v>63</v>
      </c>
      <c r="E12" s="70" t="s">
        <v>24</v>
      </c>
      <c r="F12" s="68" t="s">
        <v>25</v>
      </c>
      <c r="G12" s="68" t="s">
        <v>65</v>
      </c>
      <c r="H12" s="79">
        <v>40000</v>
      </c>
      <c r="I12" s="82">
        <v>50023</v>
      </c>
      <c r="J12" s="82">
        <v>67523</v>
      </c>
      <c r="K12" s="11">
        <v>45784</v>
      </c>
      <c r="L12" s="79">
        <v>50000</v>
      </c>
      <c r="M12" s="84" t="s">
        <v>176</v>
      </c>
    </row>
    <row r="13" spans="1:13" x14ac:dyDescent="0.35">
      <c r="A13" s="5">
        <v>2</v>
      </c>
      <c r="B13" s="71" t="s">
        <v>227</v>
      </c>
      <c r="C13" s="72" t="s">
        <v>49</v>
      </c>
      <c r="D13" s="73" t="s">
        <v>54</v>
      </c>
      <c r="E13" s="44" t="s">
        <v>24</v>
      </c>
      <c r="F13" s="44" t="s">
        <v>25</v>
      </c>
      <c r="G13" s="73" t="s">
        <v>55</v>
      </c>
      <c r="H13" s="80">
        <v>10000</v>
      </c>
      <c r="I13" s="10">
        <v>38811</v>
      </c>
      <c r="J13" s="10">
        <v>44011</v>
      </c>
      <c r="K13" s="11">
        <v>45781</v>
      </c>
      <c r="L13" s="80">
        <v>10000</v>
      </c>
      <c r="M13" s="17" t="s">
        <v>204</v>
      </c>
    </row>
    <row r="14" spans="1:13" x14ac:dyDescent="0.35">
      <c r="A14" s="5">
        <v>3</v>
      </c>
      <c r="B14" s="16" t="s">
        <v>231</v>
      </c>
      <c r="C14" s="7" t="s">
        <v>49</v>
      </c>
      <c r="D14" s="8" t="s">
        <v>60</v>
      </c>
      <c r="E14" s="5" t="s">
        <v>24</v>
      </c>
      <c r="F14" s="5" t="s">
        <v>25</v>
      </c>
      <c r="G14" s="8" t="s">
        <v>61</v>
      </c>
      <c r="H14" s="80">
        <v>15000</v>
      </c>
      <c r="I14" s="10">
        <v>32665</v>
      </c>
      <c r="J14" s="10">
        <v>60165</v>
      </c>
      <c r="K14" s="11">
        <v>45752</v>
      </c>
      <c r="L14" s="80">
        <v>15000</v>
      </c>
      <c r="M14" s="17" t="s">
        <v>132</v>
      </c>
    </row>
    <row r="15" spans="1:13" x14ac:dyDescent="0.35">
      <c r="A15" s="5">
        <v>4</v>
      </c>
      <c r="B15" s="71" t="s">
        <v>229</v>
      </c>
      <c r="C15" s="72" t="s">
        <v>23</v>
      </c>
      <c r="D15" s="44" t="s">
        <v>47</v>
      </c>
      <c r="E15" s="44" t="s">
        <v>24</v>
      </c>
      <c r="F15" s="44" t="s">
        <v>25</v>
      </c>
      <c r="G15" s="44" t="s">
        <v>102</v>
      </c>
      <c r="H15" s="80">
        <v>10000</v>
      </c>
      <c r="I15" s="10">
        <v>51371</v>
      </c>
      <c r="J15" s="10">
        <v>56171</v>
      </c>
      <c r="K15" s="11">
        <v>45759</v>
      </c>
      <c r="L15" s="80">
        <v>10000</v>
      </c>
      <c r="M15" s="17" t="s">
        <v>204</v>
      </c>
    </row>
    <row r="16" spans="1:13" x14ac:dyDescent="0.35">
      <c r="A16" s="5">
        <v>5</v>
      </c>
      <c r="B16" s="16" t="s">
        <v>230</v>
      </c>
      <c r="C16" s="7" t="s">
        <v>49</v>
      </c>
      <c r="D16" s="8" t="s">
        <v>50</v>
      </c>
      <c r="E16" s="5" t="s">
        <v>24</v>
      </c>
      <c r="F16" s="5" t="s">
        <v>25</v>
      </c>
      <c r="G16" s="8" t="s">
        <v>51</v>
      </c>
      <c r="H16" s="80">
        <v>30000</v>
      </c>
      <c r="I16" s="10">
        <v>42565</v>
      </c>
      <c r="J16" s="10">
        <v>48065</v>
      </c>
      <c r="K16" s="11">
        <v>45783</v>
      </c>
      <c r="L16" s="80">
        <v>30000</v>
      </c>
      <c r="M16" s="17" t="s">
        <v>132</v>
      </c>
    </row>
    <row r="17" spans="1:13" x14ac:dyDescent="0.35">
      <c r="A17" s="5">
        <v>6</v>
      </c>
      <c r="B17" s="71" t="s">
        <v>232</v>
      </c>
      <c r="C17" s="72" t="s">
        <v>233</v>
      </c>
      <c r="D17" s="44" t="s">
        <v>234</v>
      </c>
      <c r="E17" s="5" t="s">
        <v>24</v>
      </c>
      <c r="F17" s="5" t="s">
        <v>25</v>
      </c>
      <c r="G17" s="44" t="s">
        <v>235</v>
      </c>
      <c r="H17" s="80">
        <v>70000</v>
      </c>
      <c r="I17" s="10">
        <v>58008</v>
      </c>
      <c r="J17" s="10">
        <v>80508</v>
      </c>
      <c r="K17" s="11">
        <v>45785</v>
      </c>
      <c r="L17" s="80">
        <v>70000</v>
      </c>
      <c r="M17" s="17" t="s">
        <v>236</v>
      </c>
    </row>
    <row r="18" spans="1:13" x14ac:dyDescent="0.35">
      <c r="A18" s="5">
        <v>7</v>
      </c>
      <c r="B18" s="71" t="s">
        <v>26</v>
      </c>
      <c r="C18" s="72" t="s">
        <v>23</v>
      </c>
      <c r="D18" s="73" t="s">
        <v>27</v>
      </c>
      <c r="E18" s="44" t="s">
        <v>24</v>
      </c>
      <c r="F18" s="44" t="s">
        <v>25</v>
      </c>
      <c r="G18" s="73" t="s">
        <v>28</v>
      </c>
      <c r="H18" s="80">
        <v>8000</v>
      </c>
      <c r="I18" s="10">
        <v>12746</v>
      </c>
      <c r="J18" s="10">
        <v>16746</v>
      </c>
      <c r="K18" s="11">
        <v>45782</v>
      </c>
      <c r="L18" s="80">
        <v>6000</v>
      </c>
      <c r="M18" s="17" t="s">
        <v>154</v>
      </c>
    </row>
    <row r="19" spans="1:13" x14ac:dyDescent="0.35">
      <c r="A19" s="5">
        <v>8</v>
      </c>
      <c r="B19" s="71" t="s">
        <v>30</v>
      </c>
      <c r="C19" s="72" t="s">
        <v>23</v>
      </c>
      <c r="D19" s="44" t="s">
        <v>31</v>
      </c>
      <c r="E19" s="44" t="s">
        <v>32</v>
      </c>
      <c r="F19" s="44" t="s">
        <v>25</v>
      </c>
      <c r="G19" s="44" t="s">
        <v>33</v>
      </c>
      <c r="H19" s="80">
        <v>60000</v>
      </c>
      <c r="I19" s="10">
        <v>44549</v>
      </c>
      <c r="J19" s="10">
        <v>65349</v>
      </c>
      <c r="K19" s="11">
        <v>45781</v>
      </c>
      <c r="L19" s="80">
        <v>50000</v>
      </c>
      <c r="M19" s="17" t="s">
        <v>104</v>
      </c>
    </row>
    <row r="20" spans="1:13" x14ac:dyDescent="0.35">
      <c r="A20" s="5">
        <v>9</v>
      </c>
      <c r="B20" s="71" t="s">
        <v>22</v>
      </c>
      <c r="C20" s="72" t="s">
        <v>23</v>
      </c>
      <c r="D20" s="44" t="s">
        <v>205</v>
      </c>
      <c r="E20" s="44" t="s">
        <v>24</v>
      </c>
      <c r="F20" s="44" t="s">
        <v>25</v>
      </c>
      <c r="G20" s="44" t="s">
        <v>105</v>
      </c>
      <c r="H20" s="80">
        <v>25000</v>
      </c>
      <c r="I20" s="10">
        <v>12908</v>
      </c>
      <c r="J20" s="10">
        <v>20904</v>
      </c>
      <c r="K20" s="11">
        <v>45781</v>
      </c>
      <c r="L20" s="80">
        <v>18000</v>
      </c>
      <c r="M20" s="17" t="s">
        <v>364</v>
      </c>
    </row>
    <row r="21" spans="1:13" x14ac:dyDescent="0.35">
      <c r="A21" s="5">
        <v>10</v>
      </c>
      <c r="B21" s="71" t="s">
        <v>36</v>
      </c>
      <c r="C21" s="72" t="s">
        <v>23</v>
      </c>
      <c r="D21" s="44">
        <v>1311</v>
      </c>
      <c r="E21" s="44" t="s">
        <v>24</v>
      </c>
      <c r="F21" s="44" t="s">
        <v>25</v>
      </c>
      <c r="G21" s="73" t="s">
        <v>37</v>
      </c>
      <c r="H21" s="80">
        <v>8000</v>
      </c>
      <c r="I21" s="10">
        <v>9612</v>
      </c>
      <c r="J21" s="10">
        <v>13612</v>
      </c>
      <c r="K21" s="11">
        <v>45781</v>
      </c>
      <c r="L21" s="80">
        <v>5000</v>
      </c>
      <c r="M21" s="17" t="s">
        <v>204</v>
      </c>
    </row>
    <row r="22" spans="1:13" x14ac:dyDescent="0.35">
      <c r="A22" s="5">
        <v>11</v>
      </c>
      <c r="B22" s="71" t="s">
        <v>38</v>
      </c>
      <c r="C22" s="72" t="s">
        <v>23</v>
      </c>
      <c r="D22" s="73" t="s">
        <v>39</v>
      </c>
      <c r="E22" s="44" t="s">
        <v>24</v>
      </c>
      <c r="F22" s="44" t="s">
        <v>25</v>
      </c>
      <c r="G22" s="73" t="s">
        <v>40</v>
      </c>
      <c r="H22" s="80">
        <v>8000</v>
      </c>
      <c r="I22" s="10">
        <v>10030</v>
      </c>
      <c r="J22" s="10">
        <v>13030</v>
      </c>
      <c r="K22" s="11">
        <v>45781</v>
      </c>
      <c r="L22" s="80">
        <v>6000</v>
      </c>
      <c r="M22" s="17" t="s">
        <v>154</v>
      </c>
    </row>
    <row r="23" spans="1:13" x14ac:dyDescent="0.35">
      <c r="A23" s="5">
        <v>12</v>
      </c>
      <c r="B23" s="71" t="s">
        <v>155</v>
      </c>
      <c r="C23" s="72" t="s">
        <v>23</v>
      </c>
      <c r="D23" s="73">
        <v>731</v>
      </c>
      <c r="E23" s="44" t="s">
        <v>24</v>
      </c>
      <c r="F23" s="44" t="s">
        <v>25</v>
      </c>
      <c r="G23" s="73" t="s">
        <v>131</v>
      </c>
      <c r="H23" s="80">
        <v>5000</v>
      </c>
      <c r="I23" s="10">
        <v>18457</v>
      </c>
      <c r="J23" s="10">
        <v>22457</v>
      </c>
      <c r="K23" s="11">
        <v>45781</v>
      </c>
      <c r="L23" s="80">
        <v>4000</v>
      </c>
      <c r="M23" s="17" t="s">
        <v>154</v>
      </c>
    </row>
    <row r="24" spans="1:13" x14ac:dyDescent="0.35">
      <c r="A24" s="5">
        <v>13</v>
      </c>
      <c r="B24" s="6" t="s">
        <v>34</v>
      </c>
      <c r="C24" s="14" t="s">
        <v>23</v>
      </c>
      <c r="D24" s="15">
        <v>1149</v>
      </c>
      <c r="E24" s="15" t="s">
        <v>24</v>
      </c>
      <c r="F24" s="15" t="s">
        <v>25</v>
      </c>
      <c r="G24" s="13" t="s">
        <v>35</v>
      </c>
      <c r="H24" s="80">
        <v>8000</v>
      </c>
      <c r="I24" s="10">
        <v>15810</v>
      </c>
      <c r="J24" s="10">
        <v>17856</v>
      </c>
      <c r="K24" s="11">
        <v>45720</v>
      </c>
      <c r="L24" s="80">
        <v>6000</v>
      </c>
      <c r="M24" s="17" t="s">
        <v>154</v>
      </c>
    </row>
    <row r="25" spans="1:13" x14ac:dyDescent="0.35">
      <c r="A25" s="5">
        <v>14</v>
      </c>
      <c r="B25" s="97" t="s">
        <v>293</v>
      </c>
      <c r="C25" s="98" t="s">
        <v>23</v>
      </c>
      <c r="D25">
        <v>815</v>
      </c>
      <c r="E25" s="99" t="s">
        <v>24</v>
      </c>
      <c r="F25" s="99" t="s">
        <v>130</v>
      </c>
      <c r="G25" s="100" t="s">
        <v>287</v>
      </c>
      <c r="H25" s="122">
        <v>20000</v>
      </c>
      <c r="I25" s="102">
        <v>10614</v>
      </c>
      <c r="J25" s="102">
        <v>16614</v>
      </c>
      <c r="K25" s="103">
        <v>45779</v>
      </c>
      <c r="L25" s="101">
        <v>18000</v>
      </c>
      <c r="M25" s="64" t="s">
        <v>132</v>
      </c>
    </row>
    <row r="26" spans="1:13" x14ac:dyDescent="0.35">
      <c r="A26" s="5">
        <v>15</v>
      </c>
      <c r="B26" s="14" t="s">
        <v>373</v>
      </c>
      <c r="C26" s="7" t="s">
        <v>23</v>
      </c>
      <c r="D26" s="8">
        <v>1161</v>
      </c>
      <c r="E26" s="5" t="s">
        <v>24</v>
      </c>
      <c r="F26" s="5" t="s">
        <v>25</v>
      </c>
      <c r="G26" s="125" t="s">
        <v>374</v>
      </c>
      <c r="H26" s="122">
        <v>20000</v>
      </c>
      <c r="I26" s="10">
        <v>15712</v>
      </c>
      <c r="J26" s="10">
        <v>17713</v>
      </c>
      <c r="K26" s="124">
        <v>45786</v>
      </c>
      <c r="L26" s="101">
        <v>18000</v>
      </c>
      <c r="M26" s="48" t="s">
        <v>375</v>
      </c>
    </row>
    <row r="27" spans="1:13" x14ac:dyDescent="0.35">
      <c r="A27" s="5">
        <v>16</v>
      </c>
      <c r="B27" s="14" t="s">
        <v>398</v>
      </c>
      <c r="C27" s="7" t="s">
        <v>23</v>
      </c>
      <c r="D27" s="8">
        <v>741</v>
      </c>
      <c r="E27" s="5" t="s">
        <v>24</v>
      </c>
      <c r="F27" s="5" t="s">
        <v>25</v>
      </c>
      <c r="G27" s="125" t="s">
        <v>399</v>
      </c>
      <c r="H27" s="122">
        <v>10000</v>
      </c>
      <c r="I27" s="10">
        <v>17668</v>
      </c>
      <c r="J27" s="10">
        <v>19555</v>
      </c>
      <c r="K27" s="123">
        <v>45792</v>
      </c>
      <c r="L27" s="122">
        <v>20000</v>
      </c>
      <c r="M27" s="17" t="s">
        <v>204</v>
      </c>
    </row>
    <row r="28" spans="1:13" x14ac:dyDescent="0.35">
      <c r="A28" s="5">
        <v>17</v>
      </c>
      <c r="B28" s="74" t="s">
        <v>330</v>
      </c>
      <c r="C28" s="72" t="s">
        <v>42</v>
      </c>
      <c r="D28" s="73" t="s">
        <v>43</v>
      </c>
      <c r="E28" s="44" t="s">
        <v>24</v>
      </c>
      <c r="F28" s="44" t="s">
        <v>44</v>
      </c>
      <c r="G28" s="44">
        <v>24024723</v>
      </c>
      <c r="H28" s="78">
        <v>35000</v>
      </c>
      <c r="I28" s="42">
        <v>34565</v>
      </c>
      <c r="J28" s="42">
        <v>55203</v>
      </c>
      <c r="K28" s="11">
        <v>45777</v>
      </c>
      <c r="L28" s="78">
        <v>35000</v>
      </c>
      <c r="M28" s="12" t="s">
        <v>365</v>
      </c>
    </row>
    <row r="29" spans="1:13" x14ac:dyDescent="0.35">
      <c r="A29" s="5">
        <v>18</v>
      </c>
      <c r="B29" s="85" t="s">
        <v>206</v>
      </c>
      <c r="C29" s="86" t="s">
        <v>144</v>
      </c>
      <c r="D29" s="53" t="s">
        <v>207</v>
      </c>
      <c r="E29" s="87" t="s">
        <v>24</v>
      </c>
      <c r="F29" s="87" t="s">
        <v>44</v>
      </c>
      <c r="G29" s="87" t="s">
        <v>208</v>
      </c>
      <c r="H29" s="78">
        <v>20000</v>
      </c>
      <c r="I29" s="42">
        <v>43975</v>
      </c>
      <c r="J29" s="42">
        <v>49562</v>
      </c>
      <c r="K29" s="11">
        <v>45777</v>
      </c>
      <c r="L29" s="78">
        <v>30000</v>
      </c>
      <c r="M29" s="12" t="s">
        <v>366</v>
      </c>
    </row>
    <row r="30" spans="1:13" x14ac:dyDescent="0.35">
      <c r="A30" s="5">
        <v>19</v>
      </c>
      <c r="B30" s="85" t="s">
        <v>331</v>
      </c>
      <c r="C30" s="86" t="s">
        <v>332</v>
      </c>
      <c r="D30" s="53" t="s">
        <v>333</v>
      </c>
      <c r="E30" s="87" t="s">
        <v>24</v>
      </c>
      <c r="F30" s="87" t="s">
        <v>44</v>
      </c>
      <c r="G30" s="87" t="s">
        <v>335</v>
      </c>
      <c r="H30" s="78">
        <v>25000</v>
      </c>
      <c r="I30" s="42">
        <v>7171</v>
      </c>
      <c r="J30" s="42">
        <v>17913</v>
      </c>
      <c r="K30" s="11">
        <v>45777</v>
      </c>
      <c r="L30" s="78">
        <v>20000</v>
      </c>
      <c r="M30" s="12" t="s">
        <v>406</v>
      </c>
    </row>
    <row r="31" spans="1:13" x14ac:dyDescent="0.35">
      <c r="A31" s="415" t="s">
        <v>8</v>
      </c>
      <c r="B31" s="415"/>
      <c r="C31" s="415"/>
      <c r="D31" s="415"/>
      <c r="E31" s="415"/>
      <c r="F31" s="415"/>
      <c r="G31" s="415"/>
      <c r="H31" s="81">
        <f>SUM(H12:H30)</f>
        <v>427000</v>
      </c>
      <c r="I31" s="24"/>
      <c r="J31" s="25"/>
      <c r="K31" s="43"/>
      <c r="L31" s="26"/>
      <c r="M31" s="26"/>
    </row>
    <row r="32" spans="1:13" x14ac:dyDescent="0.35">
      <c r="A32" s="26"/>
      <c r="B32" s="26"/>
      <c r="C32" s="26"/>
      <c r="D32" s="26"/>
      <c r="E32" s="26"/>
      <c r="F32" s="26"/>
      <c r="G32" s="26"/>
      <c r="H32" s="26"/>
      <c r="I32" s="26"/>
      <c r="J32" s="26"/>
      <c r="K32" s="26"/>
      <c r="L32" s="26"/>
      <c r="M32" s="26"/>
    </row>
    <row r="33" spans="1:13" x14ac:dyDescent="0.35">
      <c r="A33" s="26"/>
      <c r="B33" s="26" t="s">
        <v>407</v>
      </c>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x14ac:dyDescent="0.35">
      <c r="A35" s="26"/>
      <c r="B35" s="26"/>
      <c r="C35" s="26"/>
      <c r="D35" s="26"/>
      <c r="E35" s="26"/>
      <c r="F35" s="26"/>
      <c r="G35" s="26"/>
      <c r="H35" s="26"/>
      <c r="I35" s="26"/>
      <c r="J35" s="26"/>
      <c r="K35" s="26"/>
      <c r="L35" s="26"/>
      <c r="M35" s="26"/>
    </row>
    <row r="36" spans="1:13" x14ac:dyDescent="0.35">
      <c r="A36" s="26"/>
      <c r="B36" s="26"/>
      <c r="C36" s="26"/>
      <c r="D36" s="26"/>
      <c r="E36" s="26"/>
      <c r="F36" s="26"/>
      <c r="G36" s="26"/>
      <c r="H36" s="26"/>
      <c r="I36" s="26"/>
      <c r="J36" s="26"/>
      <c r="K36" s="26"/>
      <c r="L36" s="26"/>
      <c r="M36" s="26"/>
    </row>
    <row r="37" spans="1:13" x14ac:dyDescent="0.35">
      <c r="A37" s="26"/>
      <c r="B37" s="26"/>
      <c r="C37" s="26"/>
      <c r="D37" s="26"/>
      <c r="E37" s="26"/>
      <c r="F37" s="26"/>
      <c r="G37" s="26"/>
      <c r="H37" s="26"/>
      <c r="I37" s="26"/>
      <c r="J37" s="26"/>
      <c r="K37" s="26"/>
      <c r="L37" s="26"/>
      <c r="M37" s="26"/>
    </row>
    <row r="38" spans="1:13" ht="15" thickBot="1" x14ac:dyDescent="0.4">
      <c r="A38" s="420" t="s">
        <v>66</v>
      </c>
      <c r="B38" s="420"/>
      <c r="C38" s="26"/>
      <c r="D38" s="26"/>
      <c r="E38" s="407" t="s">
        <v>67</v>
      </c>
      <c r="F38" s="407"/>
      <c r="G38" s="49"/>
      <c r="H38" s="49"/>
      <c r="I38" s="408"/>
      <c r="J38" s="408"/>
      <c r="K38" s="28"/>
      <c r="L38" s="29"/>
      <c r="M38" s="29"/>
    </row>
    <row r="39" spans="1:13" ht="15" thickTop="1" x14ac:dyDescent="0.35">
      <c r="A39" s="421" t="s">
        <v>69</v>
      </c>
      <c r="B39" s="421"/>
      <c r="D39" s="30"/>
      <c r="E39" s="410" t="s">
        <v>70</v>
      </c>
      <c r="F39" s="410"/>
      <c r="G39" s="410" t="s">
        <v>71</v>
      </c>
      <c r="H39" s="410"/>
      <c r="I39" s="29"/>
      <c r="J39" s="29"/>
      <c r="K39" s="29" t="s">
        <v>72</v>
      </c>
      <c r="L39" s="31"/>
      <c r="M39" s="31"/>
    </row>
    <row r="40" spans="1:13" x14ac:dyDescent="0.35">
      <c r="A40" s="414" t="s">
        <v>92</v>
      </c>
      <c r="B40" s="414"/>
      <c r="D40" s="32"/>
      <c r="E40" s="414" t="s">
        <v>73</v>
      </c>
      <c r="F40" s="414"/>
      <c r="G40" s="414" t="s">
        <v>74</v>
      </c>
      <c r="H40" s="414"/>
      <c r="I40" s="31"/>
      <c r="J40" s="31"/>
      <c r="K40" s="31" t="s">
        <v>75</v>
      </c>
      <c r="L40" s="33"/>
      <c r="M40" s="33"/>
    </row>
    <row r="41" spans="1:13" x14ac:dyDescent="0.35">
      <c r="A41" s="412" t="s">
        <v>94</v>
      </c>
      <c r="B41" s="412"/>
      <c r="D41" s="34"/>
      <c r="E41" s="414" t="s">
        <v>78</v>
      </c>
      <c r="F41" s="414"/>
      <c r="G41" s="414" t="s">
        <v>79</v>
      </c>
      <c r="H41" s="414"/>
      <c r="I41" s="33"/>
      <c r="J41" s="33"/>
      <c r="K41" s="33" t="s">
        <v>80</v>
      </c>
      <c r="L41" s="34"/>
      <c r="M41" s="34"/>
    </row>
    <row r="42" spans="1:13" x14ac:dyDescent="0.35">
      <c r="A42" s="412" t="s">
        <v>76</v>
      </c>
      <c r="B42" s="412"/>
      <c r="D42" s="34"/>
      <c r="E42" s="412" t="s">
        <v>76</v>
      </c>
      <c r="F42" s="412"/>
      <c r="G42" s="412" t="s">
        <v>76</v>
      </c>
      <c r="H42" s="412"/>
      <c r="I42" s="33"/>
      <c r="J42" s="33"/>
      <c r="K42" s="33"/>
    </row>
    <row r="47" spans="1:13" ht="15" thickBot="1" x14ac:dyDescent="0.4"/>
    <row r="48" spans="1:13" ht="15" thickTop="1" x14ac:dyDescent="0.35">
      <c r="A48" s="417" t="s">
        <v>114</v>
      </c>
      <c r="B48" s="417"/>
      <c r="C48" s="429" t="s">
        <v>282</v>
      </c>
      <c r="D48" s="429"/>
      <c r="E48" s="429"/>
    </row>
    <row r="49" spans="1:5" x14ac:dyDescent="0.35">
      <c r="A49" s="418" t="s">
        <v>115</v>
      </c>
      <c r="B49" s="418"/>
      <c r="C49" s="430" t="s">
        <v>7</v>
      </c>
      <c r="D49" s="430"/>
      <c r="E49" s="430"/>
    </row>
    <row r="50" spans="1:5" x14ac:dyDescent="0.35">
      <c r="A50" s="422" t="s">
        <v>116</v>
      </c>
      <c r="B50" s="418"/>
      <c r="C50" s="431" t="s">
        <v>77</v>
      </c>
      <c r="D50" s="431"/>
      <c r="E50" s="431"/>
    </row>
    <row r="51" spans="1:5" x14ac:dyDescent="0.35">
      <c r="A51" s="416" t="s">
        <v>117</v>
      </c>
      <c r="B51" s="416"/>
      <c r="C51" s="412" t="s">
        <v>81</v>
      </c>
      <c r="D51" s="412"/>
      <c r="E51" s="412"/>
    </row>
  </sheetData>
  <mergeCells count="42">
    <mergeCell ref="A4:B4"/>
    <mergeCell ref="C4:M4"/>
    <mergeCell ref="A1:M1"/>
    <mergeCell ref="A2:B2"/>
    <mergeCell ref="C2:M2"/>
    <mergeCell ref="A3:B3"/>
    <mergeCell ref="C3:M3"/>
    <mergeCell ref="A31:G31"/>
    <mergeCell ref="A5:B5"/>
    <mergeCell ref="C5:M5"/>
    <mergeCell ref="A6:B6"/>
    <mergeCell ref="C6:M6"/>
    <mergeCell ref="A7:B7"/>
    <mergeCell ref="C7:M7"/>
    <mergeCell ref="A8:B8"/>
    <mergeCell ref="C8:M8"/>
    <mergeCell ref="A9:B9"/>
    <mergeCell ref="C9:M9"/>
    <mergeCell ref="A10:M10"/>
    <mergeCell ref="A38:B38"/>
    <mergeCell ref="E38:F38"/>
    <mergeCell ref="I38:J38"/>
    <mergeCell ref="A39:B39"/>
    <mergeCell ref="E39:F39"/>
    <mergeCell ref="G39:H39"/>
    <mergeCell ref="A40:B40"/>
    <mergeCell ref="E40:F40"/>
    <mergeCell ref="G40:H40"/>
    <mergeCell ref="A41:B41"/>
    <mergeCell ref="E41:F41"/>
    <mergeCell ref="G41:H41"/>
    <mergeCell ref="G42:H42"/>
    <mergeCell ref="A48:B48"/>
    <mergeCell ref="C48:E48"/>
    <mergeCell ref="A49:B49"/>
    <mergeCell ref="C49:E49"/>
    <mergeCell ref="A50:B50"/>
    <mergeCell ref="C50:E50"/>
    <mergeCell ref="A51:B51"/>
    <mergeCell ref="C51:E51"/>
    <mergeCell ref="A42:B42"/>
    <mergeCell ref="E42:F42"/>
  </mergeCells>
  <printOptions horizontalCentered="1"/>
  <pageMargins left="0.25" right="0.25" top="0.25" bottom="0.25" header="0.3" footer="0.3"/>
  <pageSetup scale="71"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96BA-33F0-40E4-8873-CDB4855F4FCD}">
  <sheetPr>
    <pageSetUpPr fitToPage="1"/>
  </sheetPr>
  <dimension ref="A1:M51"/>
  <sheetViews>
    <sheetView topLeftCell="A13" workbookViewId="0">
      <selection sqref="A1:M5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415</v>
      </c>
      <c r="D3" s="403"/>
      <c r="E3" s="403"/>
      <c r="F3" s="403"/>
      <c r="G3" s="403"/>
      <c r="H3" s="403"/>
      <c r="I3" s="403"/>
      <c r="J3" s="403"/>
      <c r="K3" s="403"/>
      <c r="L3" s="403"/>
      <c r="M3" s="385"/>
    </row>
    <row r="4" spans="1:13" x14ac:dyDescent="0.35">
      <c r="A4" s="384" t="s">
        <v>4</v>
      </c>
      <c r="B4" s="385"/>
      <c r="C4" s="393" t="s">
        <v>416</v>
      </c>
      <c r="D4" s="394"/>
      <c r="E4" s="394"/>
      <c r="F4" s="394"/>
      <c r="G4" s="394"/>
      <c r="H4" s="394"/>
      <c r="I4" s="394"/>
      <c r="J4" s="394"/>
      <c r="K4" s="394"/>
      <c r="L4" s="394"/>
      <c r="M4" s="395"/>
    </row>
    <row r="5" spans="1:13" x14ac:dyDescent="0.35">
      <c r="A5" s="384" t="s">
        <v>5</v>
      </c>
      <c r="B5" s="385"/>
      <c r="C5" s="387">
        <v>45830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H31</f>
        <v>428000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417</v>
      </c>
      <c r="J11" s="3" t="s">
        <v>18</v>
      </c>
      <c r="K11" s="3" t="s">
        <v>19</v>
      </c>
      <c r="L11" s="3" t="s">
        <v>20</v>
      </c>
      <c r="M11" s="4" t="s">
        <v>21</v>
      </c>
    </row>
    <row r="12" spans="1:13" x14ac:dyDescent="0.35">
      <c r="A12" s="5">
        <v>1</v>
      </c>
      <c r="B12" s="69" t="s">
        <v>119</v>
      </c>
      <c r="C12" s="69" t="s">
        <v>49</v>
      </c>
      <c r="D12" s="70" t="s">
        <v>63</v>
      </c>
      <c r="E12" s="70" t="s">
        <v>24</v>
      </c>
      <c r="F12" s="68" t="s">
        <v>25</v>
      </c>
      <c r="G12" s="68" t="s">
        <v>65</v>
      </c>
      <c r="H12" s="79">
        <v>50000</v>
      </c>
      <c r="I12" s="82">
        <v>36986</v>
      </c>
      <c r="J12" s="82">
        <v>59736</v>
      </c>
      <c r="K12" s="11">
        <v>45811</v>
      </c>
      <c r="L12" s="79">
        <v>40000</v>
      </c>
      <c r="M12" s="84" t="s">
        <v>176</v>
      </c>
    </row>
    <row r="13" spans="1:13" x14ac:dyDescent="0.35">
      <c r="A13" s="5">
        <v>2</v>
      </c>
      <c r="B13" s="71" t="s">
        <v>227</v>
      </c>
      <c r="C13" s="72" t="s">
        <v>49</v>
      </c>
      <c r="D13" s="73" t="s">
        <v>54</v>
      </c>
      <c r="E13" s="44" t="s">
        <v>24</v>
      </c>
      <c r="F13" s="44" t="s">
        <v>25</v>
      </c>
      <c r="G13" s="73" t="s">
        <v>55</v>
      </c>
      <c r="H13" s="80">
        <v>10000</v>
      </c>
      <c r="I13" s="10">
        <v>41999</v>
      </c>
      <c r="J13" s="10">
        <v>46799</v>
      </c>
      <c r="K13" s="11">
        <v>45812</v>
      </c>
      <c r="L13" s="80">
        <v>10000</v>
      </c>
      <c r="M13" s="17" t="s">
        <v>204</v>
      </c>
    </row>
    <row r="14" spans="1:13" x14ac:dyDescent="0.35">
      <c r="A14" s="5">
        <v>3</v>
      </c>
      <c r="B14" s="16" t="s">
        <v>231</v>
      </c>
      <c r="C14" s="7" t="s">
        <v>49</v>
      </c>
      <c r="D14" s="8" t="s">
        <v>60</v>
      </c>
      <c r="E14" s="5" t="s">
        <v>24</v>
      </c>
      <c r="F14" s="5" t="s">
        <v>25</v>
      </c>
      <c r="G14" s="8" t="s">
        <v>61</v>
      </c>
      <c r="H14" s="80">
        <v>10000</v>
      </c>
      <c r="I14" s="10">
        <v>42739</v>
      </c>
      <c r="J14" s="10">
        <v>50239</v>
      </c>
      <c r="K14" s="11">
        <v>45809</v>
      </c>
      <c r="L14" s="80">
        <v>15000</v>
      </c>
      <c r="M14" s="17" t="s">
        <v>132</v>
      </c>
    </row>
    <row r="15" spans="1:13" x14ac:dyDescent="0.35">
      <c r="A15" s="5">
        <v>4</v>
      </c>
      <c r="B15" s="71" t="s">
        <v>229</v>
      </c>
      <c r="C15" s="72" t="s">
        <v>23</v>
      </c>
      <c r="D15" s="44" t="s">
        <v>47</v>
      </c>
      <c r="E15" s="44" t="s">
        <v>24</v>
      </c>
      <c r="F15" s="44" t="s">
        <v>25</v>
      </c>
      <c r="G15" s="44" t="s">
        <v>102</v>
      </c>
      <c r="H15" s="80">
        <v>15000</v>
      </c>
      <c r="I15" s="10">
        <v>4327</v>
      </c>
      <c r="J15" s="10">
        <v>6007</v>
      </c>
      <c r="K15" s="11">
        <v>45781</v>
      </c>
      <c r="L15" s="80">
        <v>10000</v>
      </c>
      <c r="M15" s="17" t="s">
        <v>204</v>
      </c>
    </row>
    <row r="16" spans="1:13" x14ac:dyDescent="0.35">
      <c r="A16" s="5">
        <v>5</v>
      </c>
      <c r="B16" s="16" t="s">
        <v>230</v>
      </c>
      <c r="C16" s="7" t="s">
        <v>49</v>
      </c>
      <c r="D16" s="8" t="s">
        <v>50</v>
      </c>
      <c r="E16" s="5" t="s">
        <v>24</v>
      </c>
      <c r="F16" s="5" t="s">
        <v>25</v>
      </c>
      <c r="G16" s="8" t="s">
        <v>51</v>
      </c>
      <c r="H16" s="80">
        <v>25000</v>
      </c>
      <c r="I16" s="10">
        <v>51304</v>
      </c>
      <c r="J16" s="10">
        <v>30244</v>
      </c>
      <c r="K16" s="11">
        <v>45811</v>
      </c>
      <c r="L16" s="80">
        <v>30000</v>
      </c>
      <c r="M16" s="17" t="s">
        <v>132</v>
      </c>
    </row>
    <row r="17" spans="1:13" x14ac:dyDescent="0.35">
      <c r="A17" s="5">
        <v>6</v>
      </c>
      <c r="B17" s="71" t="s">
        <v>232</v>
      </c>
      <c r="C17" s="72" t="s">
        <v>233</v>
      </c>
      <c r="D17" s="44" t="s">
        <v>234</v>
      </c>
      <c r="E17" s="5" t="s">
        <v>24</v>
      </c>
      <c r="F17" s="5" t="s">
        <v>25</v>
      </c>
      <c r="G17" s="44" t="s">
        <v>235</v>
      </c>
      <c r="H17" s="80">
        <v>70000</v>
      </c>
      <c r="I17" s="10">
        <v>63575</v>
      </c>
      <c r="J17" s="10">
        <v>96075</v>
      </c>
      <c r="K17" s="11">
        <v>45811</v>
      </c>
      <c r="L17" s="80">
        <v>70000</v>
      </c>
      <c r="M17" s="17" t="s">
        <v>236</v>
      </c>
    </row>
    <row r="18" spans="1:13" x14ac:dyDescent="0.35">
      <c r="A18" s="5">
        <v>7</v>
      </c>
      <c r="B18" s="71" t="s">
        <v>26</v>
      </c>
      <c r="C18" s="72" t="s">
        <v>23</v>
      </c>
      <c r="D18" s="73" t="s">
        <v>27</v>
      </c>
      <c r="E18" s="44" t="s">
        <v>24</v>
      </c>
      <c r="F18" s="44" t="s">
        <v>25</v>
      </c>
      <c r="G18" s="73" t="s">
        <v>28</v>
      </c>
      <c r="H18" s="80">
        <v>15000</v>
      </c>
      <c r="I18" s="10">
        <v>5545</v>
      </c>
      <c r="J18" s="10">
        <v>15545</v>
      </c>
      <c r="K18" s="11">
        <v>45802</v>
      </c>
      <c r="L18" s="80">
        <v>8000</v>
      </c>
      <c r="M18" s="17" t="s">
        <v>154</v>
      </c>
    </row>
    <row r="19" spans="1:13" x14ac:dyDescent="0.35">
      <c r="A19" s="5">
        <v>8</v>
      </c>
      <c r="B19" s="71" t="s">
        <v>30</v>
      </c>
      <c r="C19" s="72" t="s">
        <v>23</v>
      </c>
      <c r="D19" s="44" t="s">
        <v>31</v>
      </c>
      <c r="E19" s="44" t="s">
        <v>32</v>
      </c>
      <c r="F19" s="44" t="s">
        <v>25</v>
      </c>
      <c r="G19" s="44" t="s">
        <v>33</v>
      </c>
      <c r="H19" s="80">
        <v>60000</v>
      </c>
      <c r="I19" s="10">
        <v>30894</v>
      </c>
      <c r="J19" s="10">
        <v>82094</v>
      </c>
      <c r="K19" s="11">
        <v>45838</v>
      </c>
      <c r="L19" s="80">
        <v>60000</v>
      </c>
      <c r="M19" s="17" t="s">
        <v>104</v>
      </c>
    </row>
    <row r="20" spans="1:13" x14ac:dyDescent="0.35">
      <c r="A20" s="5">
        <v>9</v>
      </c>
      <c r="B20" s="71" t="s">
        <v>22</v>
      </c>
      <c r="C20" s="72" t="s">
        <v>23</v>
      </c>
      <c r="D20" s="44" t="s">
        <v>205</v>
      </c>
      <c r="E20" s="44" t="s">
        <v>24</v>
      </c>
      <c r="F20" s="44" t="s">
        <v>25</v>
      </c>
      <c r="G20" s="44" t="s">
        <v>105</v>
      </c>
      <c r="H20" s="80">
        <v>25000</v>
      </c>
      <c r="I20" s="10">
        <v>9560</v>
      </c>
      <c r="J20" s="10">
        <v>28760</v>
      </c>
      <c r="K20" s="11">
        <v>45805</v>
      </c>
      <c r="L20" s="80">
        <v>25000</v>
      </c>
      <c r="M20" s="17" t="s">
        <v>96</v>
      </c>
    </row>
    <row r="21" spans="1:13" x14ac:dyDescent="0.35">
      <c r="A21" s="5">
        <v>10</v>
      </c>
      <c r="B21" s="71" t="s">
        <v>36</v>
      </c>
      <c r="C21" s="72" t="s">
        <v>23</v>
      </c>
      <c r="D21" s="44">
        <v>1311</v>
      </c>
      <c r="E21" s="44" t="s">
        <v>24</v>
      </c>
      <c r="F21" s="44" t="s">
        <v>25</v>
      </c>
      <c r="G21" s="73" t="s">
        <v>37</v>
      </c>
      <c r="H21" s="80">
        <v>8000</v>
      </c>
      <c r="I21" s="10">
        <v>5832</v>
      </c>
      <c r="J21" s="10">
        <v>15032</v>
      </c>
      <c r="K21" s="11">
        <v>45805</v>
      </c>
      <c r="L21" s="80">
        <v>8000</v>
      </c>
      <c r="M21" s="17" t="s">
        <v>204</v>
      </c>
    </row>
    <row r="22" spans="1:13" x14ac:dyDescent="0.35">
      <c r="A22" s="5">
        <v>11</v>
      </c>
      <c r="B22" s="71" t="s">
        <v>38</v>
      </c>
      <c r="C22" s="72" t="s">
        <v>23</v>
      </c>
      <c r="D22" s="73" t="s">
        <v>39</v>
      </c>
      <c r="E22" s="44" t="s">
        <v>24</v>
      </c>
      <c r="F22" s="44" t="s">
        <v>25</v>
      </c>
      <c r="G22" s="73" t="s">
        <v>40</v>
      </c>
      <c r="H22" s="80">
        <v>8000</v>
      </c>
      <c r="I22" s="10">
        <v>8382</v>
      </c>
      <c r="J22" s="10">
        <v>15582</v>
      </c>
      <c r="K22" s="11">
        <v>45805</v>
      </c>
      <c r="L22" s="80">
        <v>8000</v>
      </c>
      <c r="M22" s="17" t="s">
        <v>154</v>
      </c>
    </row>
    <row r="23" spans="1:13" x14ac:dyDescent="0.35">
      <c r="A23" s="5">
        <v>13</v>
      </c>
      <c r="B23" s="6" t="s">
        <v>34</v>
      </c>
      <c r="C23" s="14" t="s">
        <v>23</v>
      </c>
      <c r="D23" s="15">
        <v>1149</v>
      </c>
      <c r="E23" s="15" t="s">
        <v>24</v>
      </c>
      <c r="F23" s="15" t="s">
        <v>25</v>
      </c>
      <c r="G23" s="13" t="s">
        <v>35</v>
      </c>
      <c r="H23" s="80">
        <v>8000</v>
      </c>
      <c r="I23" s="10">
        <v>12112</v>
      </c>
      <c r="J23" s="10">
        <v>18412</v>
      </c>
      <c r="K23" s="11">
        <v>45807</v>
      </c>
      <c r="L23" s="80">
        <v>8000</v>
      </c>
      <c r="M23" s="17" t="s">
        <v>154</v>
      </c>
    </row>
    <row r="24" spans="1:13" x14ac:dyDescent="0.35">
      <c r="A24" s="5">
        <v>14</v>
      </c>
      <c r="B24" s="97" t="s">
        <v>293</v>
      </c>
      <c r="C24" s="98" t="s">
        <v>23</v>
      </c>
      <c r="D24">
        <v>815</v>
      </c>
      <c r="E24" s="99" t="s">
        <v>24</v>
      </c>
      <c r="F24" s="99" t="s">
        <v>130</v>
      </c>
      <c r="G24" s="100" t="s">
        <v>287</v>
      </c>
      <c r="H24" s="122">
        <v>20000</v>
      </c>
      <c r="I24" s="102">
        <v>8734</v>
      </c>
      <c r="J24" s="102">
        <v>20934</v>
      </c>
      <c r="K24" s="103">
        <v>45806</v>
      </c>
      <c r="L24" s="122">
        <v>20000</v>
      </c>
      <c r="M24" s="64" t="s">
        <v>132</v>
      </c>
    </row>
    <row r="25" spans="1:13" x14ac:dyDescent="0.35">
      <c r="A25" s="5">
        <v>15</v>
      </c>
      <c r="B25" s="14" t="s">
        <v>373</v>
      </c>
      <c r="C25" s="7" t="s">
        <v>23</v>
      </c>
      <c r="D25" s="8">
        <v>1161</v>
      </c>
      <c r="E25" s="5" t="s">
        <v>24</v>
      </c>
      <c r="F25" s="5" t="s">
        <v>25</v>
      </c>
      <c r="G25" s="125" t="s">
        <v>374</v>
      </c>
      <c r="H25" s="122">
        <v>8000</v>
      </c>
      <c r="I25" s="10">
        <v>24705</v>
      </c>
      <c r="J25" s="10">
        <v>33505</v>
      </c>
      <c r="K25" s="124">
        <v>45806</v>
      </c>
      <c r="L25" s="122">
        <v>20000</v>
      </c>
      <c r="M25" s="48" t="s">
        <v>375</v>
      </c>
    </row>
    <row r="26" spans="1:13" x14ac:dyDescent="0.35">
      <c r="A26" s="5">
        <v>16</v>
      </c>
      <c r="B26" s="14" t="s">
        <v>398</v>
      </c>
      <c r="C26" s="7" t="s">
        <v>23</v>
      </c>
      <c r="D26" s="8">
        <v>741</v>
      </c>
      <c r="E26" s="5" t="s">
        <v>24</v>
      </c>
      <c r="F26" s="5" t="s">
        <v>25</v>
      </c>
      <c r="G26" s="125" t="s">
        <v>399</v>
      </c>
      <c r="H26" s="122">
        <v>10000</v>
      </c>
      <c r="I26" s="10">
        <v>17668</v>
      </c>
      <c r="J26" s="10">
        <v>19555</v>
      </c>
      <c r="K26" s="123">
        <v>45792</v>
      </c>
      <c r="L26" s="122">
        <v>10000</v>
      </c>
      <c r="M26" s="17" t="s">
        <v>204</v>
      </c>
    </row>
    <row r="27" spans="1:13" x14ac:dyDescent="0.35">
      <c r="A27" s="5">
        <v>17</v>
      </c>
      <c r="B27" s="71" t="s">
        <v>155</v>
      </c>
      <c r="C27" s="72" t="s">
        <v>23</v>
      </c>
      <c r="D27" s="73">
        <v>731</v>
      </c>
      <c r="E27" s="44" t="s">
        <v>24</v>
      </c>
      <c r="F27" s="44" t="s">
        <v>25</v>
      </c>
      <c r="G27" s="73" t="s">
        <v>131</v>
      </c>
      <c r="H27" s="80">
        <v>6000</v>
      </c>
      <c r="I27" s="10">
        <v>18457</v>
      </c>
      <c r="J27" s="10">
        <v>22457</v>
      </c>
      <c r="K27" s="11">
        <v>45781</v>
      </c>
      <c r="L27" s="80">
        <v>4000</v>
      </c>
      <c r="M27" s="17" t="s">
        <v>154</v>
      </c>
    </row>
    <row r="28" spans="1:13" x14ac:dyDescent="0.35">
      <c r="A28" s="5">
        <v>18</v>
      </c>
      <c r="B28" s="74" t="s">
        <v>330</v>
      </c>
      <c r="C28" s="72" t="s">
        <v>42</v>
      </c>
      <c r="D28" s="73" t="s">
        <v>43</v>
      </c>
      <c r="E28" s="44" t="s">
        <v>24</v>
      </c>
      <c r="F28" s="44" t="s">
        <v>44</v>
      </c>
      <c r="G28" s="44">
        <v>24024723</v>
      </c>
      <c r="H28" s="78">
        <v>35000</v>
      </c>
      <c r="I28" s="42">
        <v>34565</v>
      </c>
      <c r="J28" s="42">
        <v>55203</v>
      </c>
      <c r="K28" s="11">
        <v>45777</v>
      </c>
      <c r="L28" s="78">
        <v>35000</v>
      </c>
      <c r="M28" s="12" t="s">
        <v>365</v>
      </c>
    </row>
    <row r="29" spans="1:13" x14ac:dyDescent="0.35">
      <c r="A29" s="5">
        <v>19</v>
      </c>
      <c r="B29" s="85" t="s">
        <v>206</v>
      </c>
      <c r="C29" s="86" t="s">
        <v>144</v>
      </c>
      <c r="D29" s="53" t="s">
        <v>207</v>
      </c>
      <c r="E29" s="87" t="s">
        <v>24</v>
      </c>
      <c r="F29" s="87" t="s">
        <v>44</v>
      </c>
      <c r="G29" s="87" t="s">
        <v>208</v>
      </c>
      <c r="H29" s="78">
        <v>20000</v>
      </c>
      <c r="I29" s="42">
        <v>43975</v>
      </c>
      <c r="J29" s="42">
        <v>49562</v>
      </c>
      <c r="K29" s="11">
        <v>45777</v>
      </c>
      <c r="L29" s="78">
        <v>20000</v>
      </c>
      <c r="M29" s="12" t="s">
        <v>366</v>
      </c>
    </row>
    <row r="30" spans="1:13" x14ac:dyDescent="0.35">
      <c r="A30" s="5">
        <v>20</v>
      </c>
      <c r="B30" s="85" t="s">
        <v>331</v>
      </c>
      <c r="C30" s="86" t="s">
        <v>332</v>
      </c>
      <c r="D30" s="53" t="s">
        <v>333</v>
      </c>
      <c r="E30" s="87" t="s">
        <v>24</v>
      </c>
      <c r="F30" s="87" t="s">
        <v>44</v>
      </c>
      <c r="G30" s="87" t="s">
        <v>335</v>
      </c>
      <c r="H30" s="78">
        <v>25000</v>
      </c>
      <c r="I30" s="42">
        <v>7171</v>
      </c>
      <c r="J30" s="42">
        <v>17913</v>
      </c>
      <c r="K30" s="11">
        <v>45777</v>
      </c>
      <c r="L30" s="78">
        <v>25000</v>
      </c>
      <c r="M30" s="12" t="s">
        <v>406</v>
      </c>
    </row>
    <row r="31" spans="1:13" x14ac:dyDescent="0.35">
      <c r="A31" s="415" t="s">
        <v>8</v>
      </c>
      <c r="B31" s="415"/>
      <c r="C31" s="415"/>
      <c r="D31" s="415"/>
      <c r="E31" s="415"/>
      <c r="F31" s="415"/>
      <c r="G31" s="415"/>
      <c r="H31" s="81">
        <f>SUM(H12:H30)</f>
        <v>428000</v>
      </c>
      <c r="I31" s="24"/>
      <c r="J31" s="25"/>
      <c r="K31" s="43"/>
      <c r="L31" s="26"/>
      <c r="M31" s="26"/>
    </row>
    <row r="32" spans="1:13" x14ac:dyDescent="0.35">
      <c r="A32" s="26"/>
      <c r="B32" s="26"/>
      <c r="C32" s="26"/>
      <c r="D32" s="26"/>
      <c r="E32" s="26"/>
      <c r="F32" s="26"/>
      <c r="G32" s="26"/>
      <c r="H32" s="26"/>
      <c r="I32" s="26"/>
      <c r="J32" s="26"/>
      <c r="K32" s="26"/>
      <c r="L32" s="26"/>
      <c r="M32" s="26"/>
    </row>
    <row r="33" spans="1:13" x14ac:dyDescent="0.35">
      <c r="A33" s="26"/>
      <c r="B33" s="26" t="s">
        <v>418</v>
      </c>
      <c r="C33" s="26"/>
      <c r="D33" s="26"/>
      <c r="E33" s="26"/>
      <c r="F33" s="26"/>
      <c r="G33" s="26"/>
      <c r="H33" s="26"/>
      <c r="I33" s="26"/>
      <c r="J33" s="26"/>
      <c r="K33" s="26"/>
      <c r="L33" s="26"/>
      <c r="M33" s="26"/>
    </row>
    <row r="34" spans="1:13" x14ac:dyDescent="0.35">
      <c r="A34" s="26"/>
      <c r="B34" s="26"/>
      <c r="C34" s="26"/>
      <c r="D34" s="26"/>
      <c r="E34" s="26"/>
      <c r="F34" s="26"/>
      <c r="G34" s="26"/>
      <c r="H34" s="26"/>
      <c r="I34" s="26"/>
      <c r="J34" s="26"/>
      <c r="K34" s="26"/>
      <c r="L34" s="26"/>
      <c r="M34" s="26"/>
    </row>
    <row r="35" spans="1:13" x14ac:dyDescent="0.35">
      <c r="A35" s="26"/>
      <c r="B35" s="26"/>
      <c r="C35" s="26"/>
      <c r="D35" s="26"/>
      <c r="E35" s="26"/>
      <c r="F35" s="26"/>
      <c r="G35" s="26"/>
      <c r="H35" s="26"/>
      <c r="I35" s="26"/>
      <c r="J35" s="26"/>
      <c r="K35" s="26"/>
      <c r="L35" s="26"/>
      <c r="M35" s="26"/>
    </row>
    <row r="36" spans="1:13" x14ac:dyDescent="0.35">
      <c r="A36" s="26"/>
      <c r="B36" s="26"/>
      <c r="C36" s="26"/>
      <c r="D36" s="26"/>
      <c r="E36" s="26"/>
      <c r="F36" s="26"/>
      <c r="G36" s="26"/>
      <c r="H36" s="26"/>
      <c r="I36" s="26"/>
      <c r="J36" s="26"/>
      <c r="K36" s="26"/>
      <c r="L36" s="26"/>
      <c r="M36" s="26"/>
    </row>
    <row r="37" spans="1:13" x14ac:dyDescent="0.35">
      <c r="A37" s="26"/>
      <c r="B37" s="26"/>
      <c r="C37" s="26"/>
      <c r="D37" s="26"/>
      <c r="E37" s="26"/>
      <c r="F37" s="26"/>
      <c r="G37" s="26"/>
      <c r="H37" s="26"/>
      <c r="I37" s="26"/>
      <c r="J37" s="26"/>
      <c r="K37" s="26"/>
      <c r="L37" s="26"/>
      <c r="M37" s="26"/>
    </row>
    <row r="38" spans="1:13" ht="15" thickBot="1" x14ac:dyDescent="0.4">
      <c r="A38" s="420" t="s">
        <v>66</v>
      </c>
      <c r="B38" s="420"/>
      <c r="C38" s="26"/>
      <c r="D38" s="26"/>
      <c r="E38" s="407" t="s">
        <v>67</v>
      </c>
      <c r="F38" s="407"/>
      <c r="G38" s="49"/>
      <c r="H38" s="49"/>
      <c r="I38" s="408"/>
      <c r="J38" s="408"/>
      <c r="K38" s="28"/>
      <c r="L38" s="29"/>
      <c r="M38" s="29"/>
    </row>
    <row r="39" spans="1:13" ht="15" thickTop="1" x14ac:dyDescent="0.35">
      <c r="A39" s="421" t="s">
        <v>69</v>
      </c>
      <c r="B39" s="421"/>
      <c r="D39" s="30"/>
      <c r="E39" s="410" t="s">
        <v>70</v>
      </c>
      <c r="F39" s="410"/>
      <c r="G39" s="410" t="s">
        <v>71</v>
      </c>
      <c r="H39" s="410"/>
      <c r="I39" s="29"/>
      <c r="J39" s="29"/>
      <c r="K39" s="29" t="s">
        <v>72</v>
      </c>
      <c r="L39" s="31"/>
      <c r="M39" s="31"/>
    </row>
    <row r="40" spans="1:13" x14ac:dyDescent="0.35">
      <c r="A40" s="414" t="s">
        <v>92</v>
      </c>
      <c r="B40" s="414"/>
      <c r="D40" s="32"/>
      <c r="E40" s="414" t="s">
        <v>73</v>
      </c>
      <c r="F40" s="414"/>
      <c r="G40" s="414" t="s">
        <v>74</v>
      </c>
      <c r="H40" s="414"/>
      <c r="I40" s="31"/>
      <c r="J40" s="31"/>
      <c r="K40" s="31" t="s">
        <v>75</v>
      </c>
      <c r="L40" s="33"/>
      <c r="M40" s="33"/>
    </row>
    <row r="41" spans="1:13" x14ac:dyDescent="0.35">
      <c r="A41" s="412" t="s">
        <v>94</v>
      </c>
      <c r="B41" s="412"/>
      <c r="D41" s="34"/>
      <c r="E41" s="414" t="s">
        <v>78</v>
      </c>
      <c r="F41" s="414"/>
      <c r="G41" s="414" t="s">
        <v>414</v>
      </c>
      <c r="H41" s="414"/>
      <c r="I41" s="33"/>
      <c r="J41" s="33"/>
      <c r="K41" s="33" t="s">
        <v>80</v>
      </c>
      <c r="L41" s="34"/>
      <c r="M41" s="34"/>
    </row>
    <row r="42" spans="1:13" x14ac:dyDescent="0.35">
      <c r="A42" s="412" t="s">
        <v>76</v>
      </c>
      <c r="B42" s="412"/>
      <c r="D42" s="34"/>
      <c r="E42" s="412" t="s">
        <v>76</v>
      </c>
      <c r="F42" s="412"/>
      <c r="G42" s="412" t="s">
        <v>76</v>
      </c>
      <c r="H42" s="412"/>
      <c r="I42" s="33"/>
      <c r="J42" s="33"/>
      <c r="K42" s="33"/>
    </row>
    <row r="47" spans="1:13" ht="15" thickBot="1" x14ac:dyDescent="0.4"/>
    <row r="48" spans="1:13" ht="15" thickTop="1" x14ac:dyDescent="0.35">
      <c r="A48" s="417" t="s">
        <v>114</v>
      </c>
      <c r="B48" s="417"/>
      <c r="C48" s="429" t="s">
        <v>282</v>
      </c>
      <c r="D48" s="429"/>
      <c r="E48" s="429"/>
    </row>
    <row r="49" spans="1:5" x14ac:dyDescent="0.35">
      <c r="A49" s="418" t="s">
        <v>115</v>
      </c>
      <c r="B49" s="418"/>
      <c r="C49" s="430" t="s">
        <v>7</v>
      </c>
      <c r="D49" s="430"/>
      <c r="E49" s="430"/>
    </row>
    <row r="50" spans="1:5" x14ac:dyDescent="0.35">
      <c r="A50" s="422" t="s">
        <v>116</v>
      </c>
      <c r="B50" s="418"/>
      <c r="C50" s="431" t="s">
        <v>77</v>
      </c>
      <c r="D50" s="431"/>
      <c r="E50" s="431"/>
    </row>
    <row r="51" spans="1:5" x14ac:dyDescent="0.35">
      <c r="A51" s="416" t="s">
        <v>117</v>
      </c>
      <c r="B51" s="416"/>
      <c r="C51" s="412" t="s">
        <v>81</v>
      </c>
      <c r="D51" s="412"/>
      <c r="E51" s="412"/>
    </row>
  </sheetData>
  <mergeCells count="42">
    <mergeCell ref="A50:B50"/>
    <mergeCell ref="C50:E50"/>
    <mergeCell ref="A51:B51"/>
    <mergeCell ref="C51:E51"/>
    <mergeCell ref="A42:B42"/>
    <mergeCell ref="E42:F42"/>
    <mergeCell ref="G42:H42"/>
    <mergeCell ref="A48:B48"/>
    <mergeCell ref="C48:E48"/>
    <mergeCell ref="A49:B49"/>
    <mergeCell ref="C49:E49"/>
    <mergeCell ref="A40:B40"/>
    <mergeCell ref="E40:F40"/>
    <mergeCell ref="G40:H40"/>
    <mergeCell ref="A41:B41"/>
    <mergeCell ref="E41:F41"/>
    <mergeCell ref="G41:H41"/>
    <mergeCell ref="A38:B38"/>
    <mergeCell ref="E38:F38"/>
    <mergeCell ref="I38:J38"/>
    <mergeCell ref="A39:B39"/>
    <mergeCell ref="E39:F39"/>
    <mergeCell ref="G39:H39"/>
    <mergeCell ref="A31:G31"/>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scale="6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2F848-B5A8-4913-98BC-7377312DFC86}">
  <sheetPr>
    <pageSetUpPr fitToPage="1"/>
  </sheetPr>
  <dimension ref="A1:M33"/>
  <sheetViews>
    <sheetView workbookViewId="0">
      <selection sqref="A1:M3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415</v>
      </c>
      <c r="D3" s="403"/>
      <c r="E3" s="403"/>
      <c r="F3" s="403"/>
      <c r="G3" s="403"/>
      <c r="H3" s="403"/>
      <c r="I3" s="403"/>
      <c r="J3" s="403"/>
      <c r="K3" s="403"/>
      <c r="L3" s="403"/>
      <c r="M3" s="385"/>
    </row>
    <row r="4" spans="1:13" x14ac:dyDescent="0.35">
      <c r="A4" s="384" t="s">
        <v>4</v>
      </c>
      <c r="B4" s="385"/>
      <c r="C4" s="393" t="s">
        <v>416</v>
      </c>
      <c r="D4" s="394"/>
      <c r="E4" s="394"/>
      <c r="F4" s="394"/>
      <c r="G4" s="394"/>
      <c r="H4" s="394"/>
      <c r="I4" s="394"/>
      <c r="J4" s="394"/>
      <c r="K4" s="394"/>
      <c r="L4" s="394"/>
      <c r="M4" s="395"/>
    </row>
    <row r="5" spans="1:13" x14ac:dyDescent="0.35">
      <c r="A5" s="384" t="s">
        <v>5</v>
      </c>
      <c r="B5" s="385"/>
      <c r="C5" s="387">
        <v>45833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40000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422</v>
      </c>
      <c r="J11" s="3" t="s">
        <v>18</v>
      </c>
      <c r="K11" s="3" t="s">
        <v>19</v>
      </c>
      <c r="L11" s="3" t="s">
        <v>20</v>
      </c>
      <c r="M11" s="4" t="s">
        <v>21</v>
      </c>
    </row>
    <row r="12" spans="1:13" x14ac:dyDescent="0.35">
      <c r="A12" s="5">
        <v>1</v>
      </c>
      <c r="B12" s="85" t="s">
        <v>419</v>
      </c>
      <c r="C12" s="86" t="s">
        <v>420</v>
      </c>
      <c r="D12" s="53" t="s">
        <v>424</v>
      </c>
      <c r="E12" s="87" t="s">
        <v>24</v>
      </c>
      <c r="F12" s="87" t="s">
        <v>44</v>
      </c>
      <c r="G12" s="87" t="s">
        <v>421</v>
      </c>
      <c r="H12" s="78">
        <v>40000</v>
      </c>
      <c r="I12" s="42"/>
      <c r="J12" s="42">
        <v>2134</v>
      </c>
      <c r="K12" s="11">
        <v>45832</v>
      </c>
      <c r="L12" s="78">
        <v>5000</v>
      </c>
      <c r="M12" s="12"/>
    </row>
    <row r="13" spans="1:13" x14ac:dyDescent="0.35">
      <c r="A13" s="415" t="s">
        <v>8</v>
      </c>
      <c r="B13" s="415"/>
      <c r="C13" s="415"/>
      <c r="D13" s="415"/>
      <c r="E13" s="415"/>
      <c r="F13" s="415"/>
      <c r="G13" s="415"/>
      <c r="H13" s="81">
        <f>SUM(H12:H12)</f>
        <v>40000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423</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ht="15" thickBot="1" x14ac:dyDescent="0.4">
      <c r="A20" s="420" t="s">
        <v>66</v>
      </c>
      <c r="B20" s="420"/>
      <c r="C20" s="26"/>
      <c r="D20" s="26"/>
      <c r="E20" s="407" t="s">
        <v>67</v>
      </c>
      <c r="F20" s="407"/>
      <c r="G20" s="49"/>
      <c r="H20" s="49"/>
      <c r="I20" s="408"/>
      <c r="J20" s="408"/>
      <c r="K20" s="28"/>
      <c r="L20" s="29"/>
      <c r="M20" s="29"/>
    </row>
    <row r="21" spans="1:13" ht="15" thickTop="1" x14ac:dyDescent="0.35">
      <c r="A21" s="421" t="s">
        <v>69</v>
      </c>
      <c r="B21" s="421"/>
      <c r="D21" s="30"/>
      <c r="E21" s="410" t="s">
        <v>70</v>
      </c>
      <c r="F21" s="410"/>
      <c r="G21" s="410" t="s">
        <v>71</v>
      </c>
      <c r="H21" s="410"/>
      <c r="I21" s="29"/>
      <c r="J21" s="29"/>
      <c r="K21" s="29" t="s">
        <v>72</v>
      </c>
      <c r="L21" s="31"/>
      <c r="M21" s="31"/>
    </row>
    <row r="22" spans="1:13" x14ac:dyDescent="0.35">
      <c r="A22" s="414" t="s">
        <v>92</v>
      </c>
      <c r="B22" s="414"/>
      <c r="D22" s="32"/>
      <c r="E22" s="414" t="s">
        <v>73</v>
      </c>
      <c r="F22" s="414"/>
      <c r="G22" s="414" t="s">
        <v>74</v>
      </c>
      <c r="H22" s="414"/>
      <c r="I22" s="31"/>
      <c r="J22" s="31"/>
      <c r="K22" s="31" t="s">
        <v>75</v>
      </c>
      <c r="L22" s="33"/>
      <c r="M22" s="33"/>
    </row>
    <row r="23" spans="1:13" x14ac:dyDescent="0.35">
      <c r="A23" s="412" t="s">
        <v>94</v>
      </c>
      <c r="B23" s="412"/>
      <c r="D23" s="34"/>
      <c r="E23" s="414" t="s">
        <v>78</v>
      </c>
      <c r="F23" s="414"/>
      <c r="G23" s="414" t="s">
        <v>414</v>
      </c>
      <c r="H23" s="414"/>
      <c r="I23" s="33"/>
      <c r="J23" s="33"/>
      <c r="K23" s="33" t="s">
        <v>80</v>
      </c>
      <c r="L23" s="34"/>
      <c r="M23" s="34"/>
    </row>
    <row r="24" spans="1:13" x14ac:dyDescent="0.35">
      <c r="A24" s="412" t="s">
        <v>76</v>
      </c>
      <c r="B24" s="412"/>
      <c r="D24" s="34"/>
      <c r="E24" s="412" t="s">
        <v>76</v>
      </c>
      <c r="F24" s="412"/>
      <c r="G24" s="412" t="s">
        <v>76</v>
      </c>
      <c r="H24" s="412"/>
      <c r="I24" s="33"/>
      <c r="J24" s="33"/>
      <c r="K24" s="3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32:B32"/>
    <mergeCell ref="C32:E32"/>
    <mergeCell ref="A33:B33"/>
    <mergeCell ref="C33:E33"/>
    <mergeCell ref="A24:B24"/>
    <mergeCell ref="E24:F24"/>
    <mergeCell ref="G24:H24"/>
    <mergeCell ref="A30:B30"/>
    <mergeCell ref="C30:E30"/>
    <mergeCell ref="A31:B31"/>
    <mergeCell ref="C31:E31"/>
    <mergeCell ref="A22:B22"/>
    <mergeCell ref="E22:F22"/>
    <mergeCell ref="G22:H22"/>
    <mergeCell ref="A23:B23"/>
    <mergeCell ref="E23:F23"/>
    <mergeCell ref="G23:H23"/>
    <mergeCell ref="A20:B20"/>
    <mergeCell ref="E20:F20"/>
    <mergeCell ref="I20:J20"/>
    <mergeCell ref="A21:B21"/>
    <mergeCell ref="E21:F21"/>
    <mergeCell ref="G21:H2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B3B9-A630-4B4A-8550-6FC2F5DD519E}">
  <sheetPr>
    <pageSetUpPr fitToPage="1"/>
  </sheetPr>
  <dimension ref="A1:M47"/>
  <sheetViews>
    <sheetView topLeftCell="A11" workbookViewId="0">
      <selection sqref="A1:M4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415</v>
      </c>
      <c r="D3" s="403"/>
      <c r="E3" s="403"/>
      <c r="F3" s="403"/>
      <c r="G3" s="403"/>
      <c r="H3" s="403"/>
      <c r="I3" s="403"/>
      <c r="J3" s="403"/>
      <c r="K3" s="403"/>
      <c r="L3" s="403"/>
      <c r="M3" s="385"/>
    </row>
    <row r="4" spans="1:13" x14ac:dyDescent="0.35">
      <c r="A4" s="384" t="s">
        <v>4</v>
      </c>
      <c r="B4" s="385"/>
      <c r="C4" s="393" t="s">
        <v>416</v>
      </c>
      <c r="D4" s="394"/>
      <c r="E4" s="394"/>
      <c r="F4" s="394"/>
      <c r="G4" s="394"/>
      <c r="H4" s="394"/>
      <c r="I4" s="394"/>
      <c r="J4" s="394"/>
      <c r="K4" s="394"/>
      <c r="L4" s="394"/>
      <c r="M4" s="395"/>
    </row>
    <row r="5" spans="1:13" x14ac:dyDescent="0.35">
      <c r="A5" s="384" t="s">
        <v>5</v>
      </c>
      <c r="B5" s="385"/>
      <c r="C5" s="387">
        <v>45839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ht="29" x14ac:dyDescent="0.35">
      <c r="A12" s="5">
        <v>1</v>
      </c>
      <c r="B12" s="85" t="s">
        <v>419</v>
      </c>
      <c r="C12" s="86" t="s">
        <v>420</v>
      </c>
      <c r="D12" s="53" t="s">
        <v>424</v>
      </c>
      <c r="E12" s="87" t="s">
        <v>24</v>
      </c>
      <c r="F12" s="87" t="s">
        <v>44</v>
      </c>
      <c r="G12" s="87" t="s">
        <v>421</v>
      </c>
      <c r="H12" s="78">
        <v>5000</v>
      </c>
      <c r="I12" s="61"/>
      <c r="J12" s="61">
        <f>-K1</f>
        <v>0</v>
      </c>
      <c r="K12" s="63"/>
      <c r="L12" s="129"/>
      <c r="M12" s="130" t="s">
        <v>289</v>
      </c>
    </row>
    <row r="13" spans="1:13" x14ac:dyDescent="0.35">
      <c r="A13" s="5">
        <v>2</v>
      </c>
      <c r="B13" s="85" t="s">
        <v>419</v>
      </c>
      <c r="C13" s="86" t="s">
        <v>420</v>
      </c>
      <c r="D13" s="53" t="s">
        <v>424</v>
      </c>
      <c r="E13" s="87" t="s">
        <v>24</v>
      </c>
      <c r="F13" s="87" t="s">
        <v>44</v>
      </c>
      <c r="G13" s="87" t="s">
        <v>421</v>
      </c>
      <c r="H13" s="128">
        <v>2000</v>
      </c>
      <c r="I13" s="42"/>
      <c r="J13" s="42"/>
      <c r="K13" s="11"/>
      <c r="L13" s="78"/>
      <c r="M13" s="12"/>
    </row>
    <row r="14" spans="1:13" x14ac:dyDescent="0.35">
      <c r="A14" s="415" t="s">
        <v>8</v>
      </c>
      <c r="B14" s="415"/>
      <c r="C14" s="415"/>
      <c r="D14" s="415"/>
      <c r="E14" s="415"/>
      <c r="F14" s="415"/>
      <c r="G14" s="415"/>
      <c r="H14" s="81">
        <f>SUM(H12:H13)</f>
        <v>7000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432</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26"/>
      <c r="C22" s="26"/>
      <c r="D22" s="26"/>
      <c r="E22" s="26"/>
      <c r="F22" s="26"/>
      <c r="G22" s="26"/>
      <c r="H22" s="26"/>
      <c r="I22" s="26"/>
      <c r="J22" s="26"/>
      <c r="K22" s="26"/>
      <c r="L22" s="26"/>
      <c r="M22" s="26"/>
    </row>
    <row r="23" spans="1:13" x14ac:dyDescent="0.35">
      <c r="A23" s="26"/>
      <c r="B23" s="26"/>
      <c r="C23" s="26"/>
      <c r="D23" s="26"/>
      <c r="E23" s="26"/>
      <c r="F23" s="26"/>
      <c r="G23" s="26"/>
      <c r="H23" s="26"/>
      <c r="I23" s="26"/>
      <c r="J23" s="26"/>
      <c r="K23" s="26"/>
      <c r="L23" s="26"/>
      <c r="M23" s="26"/>
    </row>
    <row r="24" spans="1:13" x14ac:dyDescent="0.35">
      <c r="A24" s="26"/>
      <c r="B24" s="26"/>
      <c r="C24" s="26"/>
      <c r="D24" s="26"/>
      <c r="E24" s="26"/>
      <c r="F24" s="26"/>
      <c r="G24" s="26"/>
      <c r="H24" s="26"/>
      <c r="I24" s="26"/>
      <c r="J24" s="26"/>
      <c r="K24" s="26"/>
      <c r="L24" s="26"/>
      <c r="M24" s="26"/>
    </row>
    <row r="25" spans="1:13" x14ac:dyDescent="0.35">
      <c r="A25" s="26"/>
      <c r="B25" s="432" t="s">
        <v>425</v>
      </c>
      <c r="C25" s="432"/>
      <c r="D25" s="432"/>
      <c r="E25" s="26"/>
      <c r="F25" s="26"/>
      <c r="G25" s="26"/>
      <c r="H25" s="26"/>
      <c r="I25" s="26"/>
      <c r="J25" s="26"/>
      <c r="K25" s="26"/>
      <c r="L25" s="26"/>
      <c r="M25" s="26"/>
    </row>
    <row r="26" spans="1:13" x14ac:dyDescent="0.35">
      <c r="A26" s="26"/>
      <c r="B26" s="48" t="s">
        <v>7</v>
      </c>
      <c r="C26" s="433" t="s">
        <v>304</v>
      </c>
      <c r="D26" s="433"/>
      <c r="E26" s="26"/>
      <c r="F26" s="26"/>
      <c r="G26" s="26"/>
      <c r="H26" s="26"/>
      <c r="I26" s="26"/>
      <c r="J26" s="26"/>
      <c r="K26" s="26"/>
      <c r="L26" s="26"/>
      <c r="M26" s="26"/>
    </row>
    <row r="27" spans="1:13" x14ac:dyDescent="0.35">
      <c r="A27" s="26"/>
      <c r="B27" s="48" t="s">
        <v>305</v>
      </c>
      <c r="C27" s="434" t="s">
        <v>306</v>
      </c>
      <c r="D27" s="435"/>
      <c r="E27" s="26"/>
      <c r="F27" s="26"/>
      <c r="G27" s="26"/>
      <c r="H27" s="26"/>
      <c r="I27" s="26"/>
      <c r="J27" s="26"/>
      <c r="K27" s="26"/>
      <c r="L27" s="26"/>
      <c r="M27" s="26"/>
    </row>
    <row r="28" spans="1:13" x14ac:dyDescent="0.35">
      <c r="A28" s="26"/>
      <c r="B28" s="48" t="s">
        <v>307</v>
      </c>
      <c r="C28" s="436" t="s">
        <v>308</v>
      </c>
      <c r="D28" s="437"/>
      <c r="E28" s="26"/>
      <c r="F28" s="26"/>
      <c r="G28" s="26"/>
      <c r="H28" s="26"/>
      <c r="I28" s="26"/>
      <c r="J28" s="26"/>
      <c r="K28" s="26"/>
      <c r="L28" s="26"/>
      <c r="M28" s="26"/>
    </row>
    <row r="29" spans="1:13" x14ac:dyDescent="0.35">
      <c r="A29" s="26"/>
      <c r="B29" s="59" t="s">
        <v>309</v>
      </c>
      <c r="C29" s="438" t="s">
        <v>310</v>
      </c>
      <c r="D29" s="438"/>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ht="15" thickBot="1" x14ac:dyDescent="0.4">
      <c r="A34" s="420" t="s">
        <v>66</v>
      </c>
      <c r="B34" s="420"/>
      <c r="C34" s="26"/>
      <c r="D34" s="26"/>
      <c r="E34" s="407" t="s">
        <v>67</v>
      </c>
      <c r="F34" s="407"/>
      <c r="G34" s="49"/>
      <c r="H34" s="49"/>
      <c r="I34" s="408"/>
      <c r="J34" s="408"/>
      <c r="K34" s="28"/>
      <c r="L34" s="29"/>
      <c r="M34" s="29"/>
    </row>
    <row r="35" spans="1:13" ht="15" thickTop="1" x14ac:dyDescent="0.35">
      <c r="A35" s="421" t="s">
        <v>69</v>
      </c>
      <c r="B35" s="421"/>
      <c r="D35" s="30"/>
      <c r="E35" s="410" t="s">
        <v>70</v>
      </c>
      <c r="F35" s="410"/>
      <c r="G35" s="410" t="s">
        <v>71</v>
      </c>
      <c r="H35" s="410"/>
      <c r="I35" s="29"/>
      <c r="J35" s="29"/>
      <c r="K35" s="29" t="s">
        <v>72</v>
      </c>
      <c r="L35" s="31"/>
      <c r="M35" s="31"/>
    </row>
    <row r="36" spans="1:13" x14ac:dyDescent="0.35">
      <c r="A36" s="414" t="s">
        <v>92</v>
      </c>
      <c r="B36" s="414"/>
      <c r="D36" s="32"/>
      <c r="E36" s="414" t="s">
        <v>73</v>
      </c>
      <c r="F36" s="414"/>
      <c r="G36" s="414" t="s">
        <v>74</v>
      </c>
      <c r="H36" s="414"/>
      <c r="I36" s="31"/>
      <c r="J36" s="31"/>
      <c r="K36" s="31" t="s">
        <v>75</v>
      </c>
      <c r="L36" s="33"/>
      <c r="M36" s="33"/>
    </row>
    <row r="37" spans="1:13" x14ac:dyDescent="0.35">
      <c r="A37" s="412" t="s">
        <v>94</v>
      </c>
      <c r="B37" s="412"/>
      <c r="D37" s="34"/>
      <c r="E37" s="414" t="s">
        <v>78</v>
      </c>
      <c r="F37" s="414"/>
      <c r="G37" s="414" t="s">
        <v>414</v>
      </c>
      <c r="H37" s="414"/>
      <c r="I37" s="33"/>
      <c r="J37" s="33"/>
      <c r="K37" s="33" t="s">
        <v>80</v>
      </c>
      <c r="L37" s="34"/>
      <c r="M37" s="34"/>
    </row>
    <row r="38" spans="1:13" x14ac:dyDescent="0.35">
      <c r="A38" s="412" t="s">
        <v>76</v>
      </c>
      <c r="B38" s="412"/>
      <c r="D38" s="34"/>
      <c r="E38" s="412" t="s">
        <v>76</v>
      </c>
      <c r="F38" s="412"/>
      <c r="G38" s="412" t="s">
        <v>76</v>
      </c>
      <c r="H38" s="412"/>
      <c r="I38" s="33"/>
      <c r="J38" s="33"/>
      <c r="K38" s="33"/>
    </row>
    <row r="43" spans="1:13" ht="15" thickBot="1" x14ac:dyDescent="0.4"/>
    <row r="44" spans="1:13" ht="15" thickTop="1" x14ac:dyDescent="0.35">
      <c r="A44" s="417" t="s">
        <v>114</v>
      </c>
      <c r="B44" s="417"/>
      <c r="C44" s="429" t="s">
        <v>282</v>
      </c>
      <c r="D44" s="429"/>
      <c r="E44" s="429"/>
    </row>
    <row r="45" spans="1:13" x14ac:dyDescent="0.35">
      <c r="A45" s="418" t="s">
        <v>115</v>
      </c>
      <c r="B45" s="418"/>
      <c r="C45" s="430" t="s">
        <v>7</v>
      </c>
      <c r="D45" s="430"/>
      <c r="E45" s="430"/>
    </row>
    <row r="46" spans="1:13" x14ac:dyDescent="0.35">
      <c r="A46" s="422" t="s">
        <v>116</v>
      </c>
      <c r="B46" s="418"/>
      <c r="C46" s="431" t="s">
        <v>77</v>
      </c>
      <c r="D46" s="431"/>
      <c r="E46" s="431"/>
    </row>
    <row r="47" spans="1:13" x14ac:dyDescent="0.35">
      <c r="A47" s="416" t="s">
        <v>117</v>
      </c>
      <c r="B47" s="416"/>
      <c r="C47" s="412" t="s">
        <v>81</v>
      </c>
      <c r="D47" s="412"/>
      <c r="E47" s="412"/>
    </row>
  </sheetData>
  <mergeCells count="47">
    <mergeCell ref="A4:B4"/>
    <mergeCell ref="C4:M4"/>
    <mergeCell ref="A1:M1"/>
    <mergeCell ref="A2:B2"/>
    <mergeCell ref="C2:M2"/>
    <mergeCell ref="A3:B3"/>
    <mergeCell ref="C3:M3"/>
    <mergeCell ref="A5:B5"/>
    <mergeCell ref="C5:M5"/>
    <mergeCell ref="A6:B6"/>
    <mergeCell ref="C6:M6"/>
    <mergeCell ref="A7:B7"/>
    <mergeCell ref="C7:M7"/>
    <mergeCell ref="I34:J34"/>
    <mergeCell ref="A35:B35"/>
    <mergeCell ref="E35:F35"/>
    <mergeCell ref="G35:H35"/>
    <mergeCell ref="A8:B8"/>
    <mergeCell ref="C8:M8"/>
    <mergeCell ref="A9:B9"/>
    <mergeCell ref="C9:M9"/>
    <mergeCell ref="A10:M10"/>
    <mergeCell ref="A14:G14"/>
    <mergeCell ref="G36:H36"/>
    <mergeCell ref="A37:B37"/>
    <mergeCell ref="E37:F37"/>
    <mergeCell ref="G37:H37"/>
    <mergeCell ref="A34:B34"/>
    <mergeCell ref="E34:F34"/>
    <mergeCell ref="G38:H38"/>
    <mergeCell ref="A44:B44"/>
    <mergeCell ref="C44:E44"/>
    <mergeCell ref="A45:B45"/>
    <mergeCell ref="C45:E45"/>
    <mergeCell ref="A46:B46"/>
    <mergeCell ref="C46:E46"/>
    <mergeCell ref="A47:B47"/>
    <mergeCell ref="C47:E47"/>
    <mergeCell ref="B25:D25"/>
    <mergeCell ref="C26:D26"/>
    <mergeCell ref="C27:D27"/>
    <mergeCell ref="C28:D28"/>
    <mergeCell ref="C29:D29"/>
    <mergeCell ref="A38:B38"/>
    <mergeCell ref="E38:F38"/>
    <mergeCell ref="A36:B36"/>
    <mergeCell ref="E36:F36"/>
  </mergeCells>
  <printOptions horizontalCentered="1"/>
  <pageMargins left="0" right="0" top="0.75" bottom="0.75" header="0.3" footer="0.3"/>
  <pageSetup scale="66"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A7FA-6E7D-4D6A-84F0-491DC771724E}">
  <sheetPr>
    <pageSetUpPr fitToPage="1"/>
  </sheetPr>
  <dimension ref="A1:M43"/>
  <sheetViews>
    <sheetView topLeftCell="A4" workbookViewId="0">
      <selection sqref="A1:M4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4"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427</v>
      </c>
      <c r="D3" s="403"/>
      <c r="E3" s="403"/>
      <c r="F3" s="403"/>
      <c r="G3" s="403"/>
      <c r="H3" s="403"/>
      <c r="I3" s="403"/>
      <c r="J3" s="403"/>
      <c r="K3" s="403"/>
      <c r="L3" s="403"/>
      <c r="M3" s="385"/>
    </row>
    <row r="4" spans="1:13" x14ac:dyDescent="0.35">
      <c r="A4" s="384" t="s">
        <v>4</v>
      </c>
      <c r="B4" s="385"/>
      <c r="C4" s="393" t="s">
        <v>426</v>
      </c>
      <c r="D4" s="394"/>
      <c r="E4" s="394"/>
      <c r="F4" s="394"/>
      <c r="G4" s="394"/>
      <c r="H4" s="394"/>
      <c r="I4" s="394"/>
      <c r="J4" s="394"/>
      <c r="K4" s="394"/>
      <c r="L4" s="394"/>
      <c r="M4" s="395"/>
    </row>
    <row r="5" spans="1:13" x14ac:dyDescent="0.35">
      <c r="A5" s="384" t="s">
        <v>5</v>
      </c>
      <c r="B5" s="385"/>
      <c r="C5" s="387">
        <v>45839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H15</f>
        <v>11000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s="18" customFormat="1" x14ac:dyDescent="0.35">
      <c r="A10" s="404" t="s">
        <v>9</v>
      </c>
      <c r="B10" s="405"/>
      <c r="C10" s="405"/>
      <c r="D10" s="405"/>
      <c r="E10" s="405"/>
      <c r="F10" s="405"/>
      <c r="G10" s="405"/>
      <c r="H10" s="405"/>
      <c r="I10" s="405"/>
      <c r="J10" s="405"/>
      <c r="K10" s="405"/>
      <c r="L10" s="405"/>
      <c r="M10" s="406"/>
    </row>
    <row r="11" spans="1:13" s="18" customFormat="1" ht="54" x14ac:dyDescent="0.35">
      <c r="A11" s="1" t="s">
        <v>10</v>
      </c>
      <c r="B11" s="2" t="s">
        <v>11</v>
      </c>
      <c r="C11" s="2" t="s">
        <v>12</v>
      </c>
      <c r="D11" s="2" t="s">
        <v>13</v>
      </c>
      <c r="E11" s="2" t="s">
        <v>14</v>
      </c>
      <c r="F11" s="3" t="s">
        <v>15</v>
      </c>
      <c r="G11" s="3" t="s">
        <v>16</v>
      </c>
      <c r="H11" s="3" t="s">
        <v>17</v>
      </c>
      <c r="I11" s="3" t="s">
        <v>379</v>
      </c>
      <c r="J11" s="3" t="s">
        <v>18</v>
      </c>
      <c r="K11" s="3" t="s">
        <v>428</v>
      </c>
      <c r="L11" s="3" t="s">
        <v>20</v>
      </c>
      <c r="M11" s="4" t="s">
        <v>21</v>
      </c>
    </row>
    <row r="12" spans="1:13" x14ac:dyDescent="0.35">
      <c r="A12" s="5">
        <v>1</v>
      </c>
      <c r="B12" s="69" t="s">
        <v>261</v>
      </c>
      <c r="C12" s="69" t="s">
        <v>49</v>
      </c>
      <c r="D12" s="70" t="s">
        <v>262</v>
      </c>
      <c r="E12" s="70" t="s">
        <v>24</v>
      </c>
      <c r="F12" s="68" t="s">
        <v>25</v>
      </c>
      <c r="G12" s="68" t="s">
        <v>430</v>
      </c>
      <c r="H12" s="79">
        <v>5000</v>
      </c>
      <c r="I12" s="82"/>
      <c r="J12" s="82" t="s">
        <v>97</v>
      </c>
      <c r="K12" s="11">
        <v>45831</v>
      </c>
      <c r="L12" s="83"/>
      <c r="M12" s="84" t="s">
        <v>344</v>
      </c>
    </row>
    <row r="13" spans="1:13" x14ac:dyDescent="0.35">
      <c r="A13" s="5">
        <v>2</v>
      </c>
      <c r="B13" s="69" t="s">
        <v>261</v>
      </c>
      <c r="C13" s="69" t="s">
        <v>49</v>
      </c>
      <c r="D13" s="70" t="s">
        <v>262</v>
      </c>
      <c r="E13" s="70" t="s">
        <v>24</v>
      </c>
      <c r="F13" s="68" t="s">
        <v>25</v>
      </c>
      <c r="G13" s="68" t="s">
        <v>430</v>
      </c>
      <c r="H13" s="127">
        <v>4000</v>
      </c>
      <c r="I13" s="82"/>
      <c r="J13" s="82"/>
      <c r="K13" s="11">
        <v>45834</v>
      </c>
      <c r="L13" s="79"/>
      <c r="M13" s="84" t="s">
        <v>344</v>
      </c>
    </row>
    <row r="14" spans="1:13" x14ac:dyDescent="0.35">
      <c r="A14" s="5">
        <v>3</v>
      </c>
      <c r="B14" s="69" t="s">
        <v>261</v>
      </c>
      <c r="C14" s="69" t="s">
        <v>49</v>
      </c>
      <c r="D14" s="70" t="s">
        <v>262</v>
      </c>
      <c r="E14" s="70" t="s">
        <v>24</v>
      </c>
      <c r="F14" s="68" t="s">
        <v>25</v>
      </c>
      <c r="G14" s="68" t="s">
        <v>430</v>
      </c>
      <c r="H14" s="127">
        <v>2000</v>
      </c>
      <c r="I14" s="82"/>
      <c r="J14" s="82"/>
      <c r="K14" s="11">
        <v>45833</v>
      </c>
      <c r="L14" s="79"/>
      <c r="M14" s="84" t="s">
        <v>344</v>
      </c>
    </row>
    <row r="15" spans="1:13" x14ac:dyDescent="0.35">
      <c r="A15" s="386" t="s">
        <v>8</v>
      </c>
      <c r="B15" s="386"/>
      <c r="C15" s="386"/>
      <c r="D15" s="386"/>
      <c r="E15" s="386"/>
      <c r="F15" s="386"/>
      <c r="G15" s="386"/>
      <c r="H15" s="81">
        <f>SUM(H12:H14)</f>
        <v>11000</v>
      </c>
      <c r="I15" s="24"/>
      <c r="J15" s="25"/>
      <c r="K15" s="43"/>
      <c r="L15" s="26"/>
      <c r="M15" s="26"/>
    </row>
    <row r="16" spans="1:13" x14ac:dyDescent="0.35">
      <c r="A16" s="26"/>
      <c r="B16" s="26"/>
      <c r="C16" s="26"/>
      <c r="D16" s="26"/>
      <c r="E16" s="26"/>
      <c r="F16" s="26"/>
      <c r="G16" s="26"/>
      <c r="H16" s="26"/>
      <c r="I16" s="26"/>
      <c r="J16" s="26"/>
      <c r="K16" s="26"/>
      <c r="L16" s="26"/>
      <c r="M16" s="26"/>
    </row>
    <row r="17" spans="1:13" x14ac:dyDescent="0.35">
      <c r="A17" s="26"/>
      <c r="B17" s="26" t="s">
        <v>431</v>
      </c>
      <c r="C17" s="26"/>
      <c r="D17" s="26"/>
      <c r="E17" s="26"/>
      <c r="F17" s="26"/>
      <c r="G17" s="26"/>
      <c r="H17" s="26"/>
      <c r="I17" s="26"/>
      <c r="J17" s="26"/>
      <c r="K17" s="26"/>
      <c r="L17" s="26"/>
      <c r="M17" s="26"/>
    </row>
    <row r="18" spans="1:13" ht="15" thickBot="1" x14ac:dyDescent="0.4">
      <c r="A18" s="26"/>
      <c r="B18" s="26"/>
      <c r="C18" s="26"/>
      <c r="D18" s="26"/>
      <c r="E18" s="26"/>
      <c r="F18" s="26"/>
      <c r="G18" s="26"/>
      <c r="H18" s="26"/>
      <c r="I18" s="26"/>
      <c r="J18" s="26"/>
      <c r="K18" s="26"/>
      <c r="L18" s="26"/>
      <c r="M18" s="26"/>
    </row>
    <row r="19" spans="1:13" ht="15" thickTop="1" x14ac:dyDescent="0.35">
      <c r="A19" s="26"/>
      <c r="B19" s="439" t="s">
        <v>429</v>
      </c>
      <c r="C19" s="440"/>
      <c r="D19" s="440"/>
      <c r="E19" s="441"/>
      <c r="F19" s="26"/>
      <c r="G19" s="26"/>
      <c r="H19" s="26"/>
      <c r="I19" s="26"/>
      <c r="J19" s="26"/>
      <c r="K19" s="26"/>
      <c r="L19" s="26"/>
      <c r="M19" s="26"/>
    </row>
    <row r="20" spans="1:13" x14ac:dyDescent="0.35">
      <c r="A20" s="26"/>
      <c r="B20" s="442"/>
      <c r="C20" s="412"/>
      <c r="D20" s="412"/>
      <c r="E20" s="443"/>
      <c r="F20" s="26"/>
      <c r="G20" s="26"/>
      <c r="H20" s="26"/>
      <c r="I20" s="26"/>
      <c r="J20" s="26"/>
      <c r="K20" s="26"/>
      <c r="L20" s="26"/>
      <c r="M20" s="26"/>
    </row>
    <row r="21" spans="1:13" ht="15" thickBot="1" x14ac:dyDescent="0.4">
      <c r="A21" s="26"/>
      <c r="B21" s="444"/>
      <c r="C21" s="445"/>
      <c r="D21" s="445"/>
      <c r="E21" s="446"/>
      <c r="F21" s="26"/>
      <c r="G21" s="26"/>
      <c r="H21" s="26"/>
      <c r="I21" s="26"/>
      <c r="J21" s="26"/>
      <c r="K21" s="26"/>
      <c r="L21" s="26"/>
      <c r="M21" s="26"/>
    </row>
    <row r="22" spans="1:13" ht="15.5" thickTop="1" thickBot="1" x14ac:dyDescent="0.4">
      <c r="A22" s="26"/>
      <c r="B22" s="26"/>
      <c r="C22" s="26"/>
      <c r="D22" s="26"/>
      <c r="E22" s="26"/>
      <c r="F22" s="26"/>
      <c r="G22" s="26"/>
      <c r="H22" s="26"/>
      <c r="I22" s="26"/>
      <c r="J22" s="26"/>
      <c r="K22" s="26"/>
      <c r="L22" s="26"/>
      <c r="M22" s="26"/>
    </row>
    <row r="23" spans="1:13" ht="15.5" thickTop="1" thickBot="1" x14ac:dyDescent="0.4">
      <c r="A23" s="26"/>
      <c r="B23" s="447" t="s">
        <v>267</v>
      </c>
      <c r="C23" s="448"/>
      <c r="D23" s="448"/>
      <c r="E23" s="448"/>
      <c r="F23" s="26"/>
      <c r="G23" s="26"/>
      <c r="H23" s="26"/>
      <c r="I23" s="26"/>
      <c r="J23" s="26"/>
      <c r="K23" s="26"/>
      <c r="L23" s="26"/>
      <c r="M23" s="26"/>
    </row>
    <row r="24" spans="1:13" ht="15.5" thickTop="1" thickBot="1" x14ac:dyDescent="0.4">
      <c r="A24" s="26"/>
      <c r="B24" s="448"/>
      <c r="C24" s="448"/>
      <c r="D24" s="448"/>
      <c r="E24" s="448"/>
      <c r="F24" s="26"/>
      <c r="G24" s="26"/>
      <c r="H24" s="26"/>
      <c r="I24" s="26"/>
      <c r="J24" s="26"/>
      <c r="K24" s="26"/>
      <c r="L24" s="26"/>
      <c r="M24" s="26"/>
    </row>
    <row r="25" spans="1:13" ht="31" customHeight="1" thickTop="1" thickBot="1" x14ac:dyDescent="0.4">
      <c r="A25" s="26"/>
      <c r="B25" s="448"/>
      <c r="C25" s="448"/>
      <c r="D25" s="448"/>
      <c r="E25" s="448"/>
      <c r="F25" s="26"/>
      <c r="G25" s="26"/>
      <c r="H25" s="26"/>
      <c r="I25" s="26"/>
      <c r="J25" s="26"/>
      <c r="K25" s="26"/>
      <c r="L25" s="26"/>
      <c r="M25" s="26"/>
    </row>
    <row r="26" spans="1:13" ht="15" thickTop="1"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39" spans="1:13" x14ac:dyDescent="0.35">
      <c r="B39" s="29" t="s">
        <v>113</v>
      </c>
    </row>
    <row r="40" spans="1:13" x14ac:dyDescent="0.35">
      <c r="A40" s="91"/>
      <c r="B40" s="32" t="s">
        <v>7</v>
      </c>
    </row>
    <row r="41" spans="1:13" x14ac:dyDescent="0.35">
      <c r="A41" s="92"/>
      <c r="B41" s="34" t="s">
        <v>77</v>
      </c>
    </row>
    <row r="42" spans="1:13" x14ac:dyDescent="0.35">
      <c r="A42" s="93"/>
      <c r="B42" s="34" t="s">
        <v>81</v>
      </c>
    </row>
    <row r="43" spans="1:13" x14ac:dyDescent="0.35">
      <c r="A43" s="416"/>
      <c r="B43" s="416"/>
    </row>
  </sheetData>
  <mergeCells count="37">
    <mergeCell ref="A4:B4"/>
    <mergeCell ref="C4:M4"/>
    <mergeCell ref="A1:M1"/>
    <mergeCell ref="A2:B2"/>
    <mergeCell ref="C2:M2"/>
    <mergeCell ref="A3:B3"/>
    <mergeCell ref="C3:M3"/>
    <mergeCell ref="A5:B5"/>
    <mergeCell ref="C5:M5"/>
    <mergeCell ref="A6:B6"/>
    <mergeCell ref="C6:M6"/>
    <mergeCell ref="A7:B7"/>
    <mergeCell ref="C7:M7"/>
    <mergeCell ref="I32:J32"/>
    <mergeCell ref="A33:B33"/>
    <mergeCell ref="E33:F33"/>
    <mergeCell ref="G33:H33"/>
    <mergeCell ref="A8:B8"/>
    <mergeCell ref="C8:M8"/>
    <mergeCell ref="A9:B9"/>
    <mergeCell ref="C9:M9"/>
    <mergeCell ref="A10:M10"/>
    <mergeCell ref="A15:G15"/>
    <mergeCell ref="A43:B43"/>
    <mergeCell ref="B19:E21"/>
    <mergeCell ref="A36:B36"/>
    <mergeCell ref="E36:F36"/>
    <mergeCell ref="G36:H36"/>
    <mergeCell ref="A34:B34"/>
    <mergeCell ref="E34:F34"/>
    <mergeCell ref="G34:H34"/>
    <mergeCell ref="A35:B35"/>
    <mergeCell ref="E35:F35"/>
    <mergeCell ref="G35:H35"/>
    <mergeCell ref="B23:E25"/>
    <mergeCell ref="A32:B32"/>
    <mergeCell ref="E32:F32"/>
  </mergeCells>
  <pageMargins left="0.25" right="0.25" top="0.75" bottom="0.75" header="0.3" footer="0.3"/>
  <pageSetup scale="7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2847-2C16-4376-811B-17D996A6D896}">
  <sheetPr>
    <pageSetUpPr fitToPage="1"/>
  </sheetPr>
  <dimension ref="A1:M46"/>
  <sheetViews>
    <sheetView topLeftCell="A2" workbookViewId="0">
      <selection sqref="A1:M4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42"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415</v>
      </c>
      <c r="D3" s="403"/>
      <c r="E3" s="403"/>
      <c r="F3" s="403"/>
      <c r="G3" s="403"/>
      <c r="H3" s="403"/>
      <c r="I3" s="403"/>
      <c r="J3" s="403"/>
      <c r="K3" s="403"/>
      <c r="L3" s="403"/>
      <c r="M3" s="385"/>
    </row>
    <row r="4" spans="1:13" x14ac:dyDescent="0.35">
      <c r="A4" s="384" t="s">
        <v>4</v>
      </c>
      <c r="B4" s="385"/>
      <c r="C4" s="393" t="s">
        <v>416</v>
      </c>
      <c r="D4" s="394"/>
      <c r="E4" s="394"/>
      <c r="F4" s="394"/>
      <c r="G4" s="394"/>
      <c r="H4" s="394"/>
      <c r="I4" s="394"/>
      <c r="J4" s="394"/>
      <c r="K4" s="394"/>
      <c r="L4" s="394"/>
      <c r="M4" s="395"/>
    </row>
    <row r="5" spans="1:13" x14ac:dyDescent="0.35">
      <c r="A5" s="384" t="s">
        <v>5</v>
      </c>
      <c r="B5" s="385"/>
      <c r="C5" s="387">
        <v>45839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ht="29" x14ac:dyDescent="0.35">
      <c r="A12" s="5">
        <v>1</v>
      </c>
      <c r="B12" s="85" t="s">
        <v>419</v>
      </c>
      <c r="C12" s="86" t="s">
        <v>420</v>
      </c>
      <c r="D12" s="53" t="s">
        <v>424</v>
      </c>
      <c r="E12" s="87" t="s">
        <v>24</v>
      </c>
      <c r="F12" s="87" t="s">
        <v>44</v>
      </c>
      <c r="G12" s="87" t="s">
        <v>421</v>
      </c>
      <c r="H12" s="78">
        <v>10000</v>
      </c>
      <c r="I12" s="42"/>
      <c r="J12" s="42">
        <f>-K1</f>
        <v>0</v>
      </c>
      <c r="K12" s="11"/>
      <c r="L12" s="78"/>
      <c r="M12" s="12" t="s">
        <v>289</v>
      </c>
    </row>
    <row r="13" spans="1:13" x14ac:dyDescent="0.35">
      <c r="A13" s="415" t="s">
        <v>8</v>
      </c>
      <c r="B13" s="415"/>
      <c r="C13" s="415"/>
      <c r="D13" s="415"/>
      <c r="E13" s="415"/>
      <c r="F13" s="415"/>
      <c r="G13" s="415"/>
      <c r="H13" s="81">
        <f>SUM(H12:H12)</f>
        <v>10000</v>
      </c>
      <c r="I13" s="131"/>
      <c r="J13" s="131"/>
      <c r="K13" s="132"/>
      <c r="L13" s="133"/>
      <c r="M13" s="133"/>
    </row>
    <row r="14" spans="1:13" x14ac:dyDescent="0.35">
      <c r="A14" s="26"/>
      <c r="B14" s="26"/>
      <c r="C14" s="26"/>
      <c r="D14" s="26"/>
      <c r="E14" s="26"/>
      <c r="F14" s="26"/>
      <c r="G14" s="26"/>
      <c r="H14" s="26"/>
      <c r="I14" s="26"/>
      <c r="J14" s="26"/>
      <c r="K14" s="26"/>
      <c r="L14" s="26"/>
      <c r="M14" s="26"/>
    </row>
    <row r="15" spans="1:13" x14ac:dyDescent="0.35">
      <c r="A15" s="26"/>
      <c r="B15" s="26" t="s">
        <v>433</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26"/>
      <c r="C22" s="26"/>
      <c r="D22" s="26"/>
      <c r="E22" s="26"/>
      <c r="F22" s="26"/>
      <c r="G22" s="26"/>
      <c r="H22" s="26"/>
      <c r="I22" s="26"/>
      <c r="J22" s="26"/>
      <c r="K22" s="26"/>
      <c r="L22" s="26"/>
      <c r="M22" s="26"/>
    </row>
    <row r="23" spans="1:13" x14ac:dyDescent="0.35">
      <c r="A23" s="26"/>
      <c r="B23" s="26"/>
      <c r="C23" s="26"/>
      <c r="D23" s="26"/>
      <c r="E23" s="26"/>
      <c r="F23" s="26"/>
      <c r="G23" s="26"/>
      <c r="H23" s="26"/>
      <c r="I23" s="26"/>
      <c r="J23" s="26"/>
      <c r="K23" s="26"/>
      <c r="L23" s="26"/>
      <c r="M23" s="26"/>
    </row>
    <row r="24" spans="1:13" x14ac:dyDescent="0.35">
      <c r="A24" s="26"/>
      <c r="B24" s="432" t="s">
        <v>425</v>
      </c>
      <c r="C24" s="432"/>
      <c r="D24" s="432"/>
      <c r="E24" s="26"/>
      <c r="F24" s="26"/>
      <c r="G24" s="26"/>
      <c r="H24" s="26"/>
      <c r="I24" s="26"/>
      <c r="J24" s="26"/>
      <c r="K24" s="26"/>
      <c r="L24" s="26"/>
      <c r="M24" s="26"/>
    </row>
    <row r="25" spans="1:13" x14ac:dyDescent="0.35">
      <c r="A25" s="26"/>
      <c r="B25" s="48" t="s">
        <v>7</v>
      </c>
      <c r="C25" s="433" t="s">
        <v>434</v>
      </c>
      <c r="D25" s="433"/>
      <c r="E25" s="26"/>
      <c r="F25" s="26"/>
      <c r="G25" s="26"/>
      <c r="H25" s="26"/>
      <c r="I25" s="26"/>
      <c r="J25" s="26"/>
      <c r="K25" s="26"/>
      <c r="L25" s="26"/>
      <c r="M25" s="26"/>
    </row>
    <row r="26" spans="1:13" x14ac:dyDescent="0.35">
      <c r="A26" s="26"/>
      <c r="B26" s="48" t="s">
        <v>305</v>
      </c>
      <c r="C26" s="434" t="s">
        <v>435</v>
      </c>
      <c r="D26" s="435"/>
      <c r="E26" s="26"/>
      <c r="F26" s="26"/>
      <c r="G26" s="26"/>
      <c r="H26" s="26"/>
      <c r="I26" s="26"/>
      <c r="J26" s="26"/>
      <c r="K26" s="26"/>
      <c r="L26" s="26"/>
      <c r="M26" s="26"/>
    </row>
    <row r="27" spans="1:13" x14ac:dyDescent="0.35">
      <c r="A27" s="26"/>
      <c r="B27" s="48" t="s">
        <v>307</v>
      </c>
      <c r="C27" s="436" t="s">
        <v>308</v>
      </c>
      <c r="D27" s="437"/>
      <c r="E27" s="26"/>
      <c r="F27" s="26"/>
      <c r="G27" s="26"/>
      <c r="H27" s="26"/>
      <c r="I27" s="26"/>
      <c r="J27" s="26"/>
      <c r="K27" s="26"/>
      <c r="L27" s="26"/>
      <c r="M27" s="26"/>
    </row>
    <row r="28" spans="1:13" x14ac:dyDescent="0.35">
      <c r="A28" s="26"/>
      <c r="B28" s="59" t="s">
        <v>309</v>
      </c>
      <c r="C28" s="438" t="s">
        <v>436</v>
      </c>
      <c r="D28" s="438"/>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ht="15" thickBot="1" x14ac:dyDescent="0.4">
      <c r="A33" s="420" t="s">
        <v>66</v>
      </c>
      <c r="B33" s="420"/>
      <c r="C33" s="26"/>
      <c r="D33" s="26"/>
      <c r="E33" s="407" t="s">
        <v>67</v>
      </c>
      <c r="F33" s="407"/>
      <c r="G33" s="49"/>
      <c r="H33" s="49"/>
      <c r="I33" s="408"/>
      <c r="J33" s="408"/>
      <c r="K33" s="28"/>
      <c r="L33" s="29"/>
      <c r="M33" s="29"/>
    </row>
    <row r="34" spans="1:13" ht="15" thickTop="1" x14ac:dyDescent="0.35">
      <c r="A34" s="421" t="s">
        <v>69</v>
      </c>
      <c r="B34" s="421"/>
      <c r="D34" s="30"/>
      <c r="E34" s="410" t="s">
        <v>70</v>
      </c>
      <c r="F34" s="410"/>
      <c r="G34" s="410" t="s">
        <v>71</v>
      </c>
      <c r="H34" s="410"/>
      <c r="I34" s="29"/>
      <c r="J34" s="29"/>
      <c r="K34" s="29" t="s">
        <v>72</v>
      </c>
      <c r="L34" s="31"/>
      <c r="M34" s="31"/>
    </row>
    <row r="35" spans="1:13" x14ac:dyDescent="0.35">
      <c r="A35" s="414" t="s">
        <v>92</v>
      </c>
      <c r="B35" s="414"/>
      <c r="D35" s="32"/>
      <c r="E35" s="414" t="s">
        <v>73</v>
      </c>
      <c r="F35" s="414"/>
      <c r="G35" s="414" t="s">
        <v>74</v>
      </c>
      <c r="H35" s="414"/>
      <c r="I35" s="31"/>
      <c r="J35" s="31"/>
      <c r="K35" s="31" t="s">
        <v>75</v>
      </c>
      <c r="L35" s="33"/>
      <c r="M35" s="33"/>
    </row>
    <row r="36" spans="1:13" x14ac:dyDescent="0.35">
      <c r="A36" s="412" t="s">
        <v>94</v>
      </c>
      <c r="B36" s="412"/>
      <c r="D36" s="34"/>
      <c r="E36" s="414" t="s">
        <v>78</v>
      </c>
      <c r="F36" s="414"/>
      <c r="G36" s="414" t="s">
        <v>414</v>
      </c>
      <c r="H36" s="414"/>
      <c r="I36" s="33"/>
      <c r="J36" s="33"/>
      <c r="K36" s="33" t="s">
        <v>80</v>
      </c>
      <c r="L36" s="34"/>
      <c r="M36" s="34"/>
    </row>
    <row r="37" spans="1:13" x14ac:dyDescent="0.35">
      <c r="A37" s="412" t="s">
        <v>76</v>
      </c>
      <c r="B37" s="412"/>
      <c r="D37" s="34"/>
      <c r="E37" s="412" t="s">
        <v>76</v>
      </c>
      <c r="F37" s="412"/>
      <c r="G37" s="412" t="s">
        <v>76</v>
      </c>
      <c r="H37" s="412"/>
      <c r="I37" s="33"/>
      <c r="J37" s="33"/>
      <c r="K37" s="33"/>
    </row>
    <row r="42" spans="1:13" ht="15" thickBot="1" x14ac:dyDescent="0.4"/>
    <row r="43" spans="1:13" ht="15" thickTop="1" x14ac:dyDescent="0.35">
      <c r="A43" s="417" t="s">
        <v>114</v>
      </c>
      <c r="B43" s="417"/>
      <c r="C43" s="429" t="s">
        <v>282</v>
      </c>
      <c r="D43" s="429"/>
      <c r="E43" s="429"/>
    </row>
    <row r="44" spans="1:13" x14ac:dyDescent="0.35">
      <c r="A44" s="418" t="s">
        <v>115</v>
      </c>
      <c r="B44" s="418"/>
      <c r="C44" s="430" t="s">
        <v>7</v>
      </c>
      <c r="D44" s="430"/>
      <c r="E44" s="430"/>
    </row>
    <row r="45" spans="1:13" x14ac:dyDescent="0.35">
      <c r="A45" s="422" t="s">
        <v>116</v>
      </c>
      <c r="B45" s="418"/>
      <c r="C45" s="431" t="s">
        <v>77</v>
      </c>
      <c r="D45" s="431"/>
      <c r="E45" s="431"/>
    </row>
    <row r="46" spans="1:13" x14ac:dyDescent="0.35">
      <c r="A46" s="416" t="s">
        <v>117</v>
      </c>
      <c r="B46" s="416"/>
      <c r="C46" s="412" t="s">
        <v>81</v>
      </c>
      <c r="D46" s="412"/>
      <c r="E46" s="412"/>
    </row>
  </sheetData>
  <mergeCells count="47">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4:D24"/>
    <mergeCell ref="C25:D25"/>
    <mergeCell ref="C26:D26"/>
    <mergeCell ref="C27:D27"/>
    <mergeCell ref="C28:D28"/>
    <mergeCell ref="I33:J33"/>
    <mergeCell ref="A34:B34"/>
    <mergeCell ref="E34:F34"/>
    <mergeCell ref="G34:H34"/>
    <mergeCell ref="A36:B36"/>
    <mergeCell ref="E36:F36"/>
    <mergeCell ref="G36:H36"/>
    <mergeCell ref="A35:B35"/>
    <mergeCell ref="E35:F35"/>
    <mergeCell ref="G35:H35"/>
    <mergeCell ref="A33:B33"/>
    <mergeCell ref="E33:F33"/>
    <mergeCell ref="A37:B37"/>
    <mergeCell ref="E37:F37"/>
    <mergeCell ref="G37:H37"/>
    <mergeCell ref="A46:B46"/>
    <mergeCell ref="C46:E46"/>
    <mergeCell ref="A43:B43"/>
    <mergeCell ref="C43:E43"/>
    <mergeCell ref="A44:B44"/>
    <mergeCell ref="C44:E44"/>
    <mergeCell ref="A45:B45"/>
    <mergeCell ref="C45:E45"/>
  </mergeCells>
  <printOptions horizontalCentered="1"/>
  <pageMargins left="0" right="0" top="0.75" bottom="0.75" header="0.3" footer="0.3"/>
  <pageSetup scale="66"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918C-A0E0-4D8B-A830-10A75C52CE55}">
  <sheetPr>
    <pageSetUpPr fitToPage="1"/>
  </sheetPr>
  <dimension ref="A1:M33"/>
  <sheetViews>
    <sheetView workbookViewId="0">
      <selection activeCell="B12" sqref="B12:G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360</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45768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358</v>
      </c>
      <c r="J11" s="3" t="s">
        <v>18</v>
      </c>
      <c r="K11" s="3" t="s">
        <v>19</v>
      </c>
      <c r="L11" s="3" t="s">
        <v>20</v>
      </c>
      <c r="M11" s="4" t="s">
        <v>21</v>
      </c>
    </row>
    <row r="12" spans="1:13" x14ac:dyDescent="0.35">
      <c r="A12" s="5">
        <v>1</v>
      </c>
      <c r="B12" s="16" t="s">
        <v>228</v>
      </c>
      <c r="C12" s="7" t="s">
        <v>49</v>
      </c>
      <c r="D12" s="8" t="s">
        <v>57</v>
      </c>
      <c r="E12" s="5" t="s">
        <v>24</v>
      </c>
      <c r="F12" s="5" t="s">
        <v>25</v>
      </c>
      <c r="G12" s="73" t="s">
        <v>359</v>
      </c>
      <c r="H12" s="80">
        <v>7000</v>
      </c>
      <c r="I12" s="10">
        <v>957</v>
      </c>
      <c r="J12" s="10">
        <v>1241</v>
      </c>
      <c r="K12" s="11">
        <v>45766</v>
      </c>
      <c r="L12" s="80">
        <v>1000</v>
      </c>
      <c r="M12" s="17" t="s">
        <v>204</v>
      </c>
    </row>
    <row r="13" spans="1:13" x14ac:dyDescent="0.35">
      <c r="A13" s="386" t="s">
        <v>8</v>
      </c>
      <c r="B13" s="386"/>
      <c r="C13" s="386"/>
      <c r="D13" s="386"/>
      <c r="E13" s="386"/>
      <c r="F13" s="386"/>
      <c r="G13" s="386"/>
      <c r="H13" s="81">
        <f>SUM(H12:H12)</f>
        <v>7000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361</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ht="15" thickBot="1" x14ac:dyDescent="0.4">
      <c r="A20" s="420" t="s">
        <v>66</v>
      </c>
      <c r="B20" s="420"/>
      <c r="C20" s="26"/>
      <c r="D20" s="26"/>
      <c r="E20" s="407" t="s">
        <v>67</v>
      </c>
      <c r="F20" s="407"/>
      <c r="G20" s="49"/>
      <c r="H20" s="49"/>
      <c r="I20" s="408"/>
      <c r="J20" s="408"/>
      <c r="K20" s="28"/>
      <c r="L20" s="29"/>
      <c r="M20" s="29"/>
    </row>
    <row r="21" spans="1:13" ht="15" thickTop="1" x14ac:dyDescent="0.35">
      <c r="A21" s="421" t="s">
        <v>69</v>
      </c>
      <c r="B21" s="421"/>
      <c r="D21" s="30"/>
      <c r="E21" s="410" t="s">
        <v>70</v>
      </c>
      <c r="F21" s="410"/>
      <c r="G21" s="410" t="s">
        <v>71</v>
      </c>
      <c r="H21" s="410"/>
      <c r="I21" s="29"/>
      <c r="J21" s="29"/>
      <c r="K21" s="29" t="s">
        <v>72</v>
      </c>
      <c r="L21" s="31"/>
      <c r="M21" s="31"/>
    </row>
    <row r="22" spans="1:13" x14ac:dyDescent="0.35">
      <c r="A22" s="414" t="s">
        <v>92</v>
      </c>
      <c r="B22" s="414"/>
      <c r="D22" s="32"/>
      <c r="E22" s="414" t="s">
        <v>73</v>
      </c>
      <c r="F22" s="414"/>
      <c r="G22" s="414" t="s">
        <v>74</v>
      </c>
      <c r="H22" s="414"/>
      <c r="I22" s="31"/>
      <c r="J22" s="31"/>
      <c r="K22" s="31" t="s">
        <v>75</v>
      </c>
      <c r="L22" s="33"/>
      <c r="M22" s="33"/>
    </row>
    <row r="23" spans="1:13" x14ac:dyDescent="0.35">
      <c r="A23" s="412" t="s">
        <v>94</v>
      </c>
      <c r="B23" s="412"/>
      <c r="D23" s="34"/>
      <c r="E23" s="414" t="s">
        <v>78</v>
      </c>
      <c r="F23" s="414"/>
      <c r="G23" s="414" t="s">
        <v>79</v>
      </c>
      <c r="H23" s="414"/>
      <c r="I23" s="33"/>
      <c r="J23" s="33"/>
      <c r="K23" s="33" t="s">
        <v>80</v>
      </c>
      <c r="L23" s="34"/>
      <c r="M23" s="34"/>
    </row>
    <row r="24" spans="1:13" x14ac:dyDescent="0.35">
      <c r="A24" s="412" t="s">
        <v>76</v>
      </c>
      <c r="B24" s="412"/>
      <c r="D24" s="34"/>
      <c r="E24" s="412" t="s">
        <v>76</v>
      </c>
      <c r="F24" s="412"/>
      <c r="G24" s="412" t="s">
        <v>76</v>
      </c>
      <c r="H24" s="412"/>
      <c r="I24" s="33"/>
      <c r="J24" s="33"/>
      <c r="K24" s="3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A20:B20"/>
    <mergeCell ref="E20:F20"/>
    <mergeCell ref="I20:J20"/>
    <mergeCell ref="A21:B21"/>
    <mergeCell ref="E21:F21"/>
    <mergeCell ref="G21:H21"/>
    <mergeCell ref="A22:B22"/>
    <mergeCell ref="E22:F22"/>
    <mergeCell ref="G22:H22"/>
    <mergeCell ref="A23:B23"/>
    <mergeCell ref="E23:F23"/>
    <mergeCell ref="G23:H23"/>
    <mergeCell ref="G24:H24"/>
    <mergeCell ref="A30:B30"/>
    <mergeCell ref="C30:E30"/>
    <mergeCell ref="A31:B31"/>
    <mergeCell ref="C31:E31"/>
    <mergeCell ref="A32:B32"/>
    <mergeCell ref="C32:E32"/>
    <mergeCell ref="A33:B33"/>
    <mergeCell ref="C33:E33"/>
    <mergeCell ref="A24:B24"/>
    <mergeCell ref="E24:F24"/>
  </mergeCells>
  <pageMargins left="0.25" right="0.25" top="0.75" bottom="0.75" header="0.3" footer="0.3"/>
  <pageSetup scale="7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AB6B-AA6A-410A-B249-51001E2A859A}">
  <sheetPr>
    <pageSetUpPr fitToPage="1"/>
  </sheetPr>
  <dimension ref="A1:M43"/>
  <sheetViews>
    <sheetView workbookViewId="0">
      <selection sqref="A1:M4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45790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H15</f>
        <v>4500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397</v>
      </c>
      <c r="L11" s="3" t="s">
        <v>20</v>
      </c>
      <c r="M11" s="4" t="s">
        <v>21</v>
      </c>
    </row>
    <row r="12" spans="1:13" x14ac:dyDescent="0.35">
      <c r="A12" s="5">
        <v>1</v>
      </c>
      <c r="B12" s="16" t="s">
        <v>228</v>
      </c>
      <c r="C12" s="7" t="s">
        <v>49</v>
      </c>
      <c r="D12" s="8" t="s">
        <v>57</v>
      </c>
      <c r="E12" s="5" t="s">
        <v>24</v>
      </c>
      <c r="F12" s="5" t="s">
        <v>25</v>
      </c>
      <c r="G12" s="73" t="s">
        <v>359</v>
      </c>
      <c r="H12" s="80">
        <v>1500</v>
      </c>
      <c r="I12" s="10"/>
      <c r="J12" s="10"/>
      <c r="K12" s="11">
        <v>45772</v>
      </c>
      <c r="L12" s="80"/>
      <c r="M12" s="449" t="s">
        <v>289</v>
      </c>
    </row>
    <row r="13" spans="1:13" x14ac:dyDescent="0.35">
      <c r="A13" s="5">
        <v>2</v>
      </c>
      <c r="B13" s="16" t="s">
        <v>228</v>
      </c>
      <c r="C13" s="7" t="s">
        <v>49</v>
      </c>
      <c r="D13" s="8" t="s">
        <v>57</v>
      </c>
      <c r="E13" s="5" t="s">
        <v>24</v>
      </c>
      <c r="F13" s="5" t="s">
        <v>25</v>
      </c>
      <c r="G13" s="73" t="s">
        <v>359</v>
      </c>
      <c r="H13" s="80">
        <v>1000</v>
      </c>
      <c r="I13" s="10"/>
      <c r="J13" s="10"/>
      <c r="K13" s="11">
        <v>45767</v>
      </c>
      <c r="L13" s="80"/>
      <c r="M13" s="450"/>
    </row>
    <row r="14" spans="1:13" x14ac:dyDescent="0.35">
      <c r="A14" s="5">
        <v>3</v>
      </c>
      <c r="B14" s="16" t="s">
        <v>228</v>
      </c>
      <c r="C14" s="7" t="s">
        <v>49</v>
      </c>
      <c r="D14" s="8" t="s">
        <v>57</v>
      </c>
      <c r="E14" s="5" t="s">
        <v>24</v>
      </c>
      <c r="F14" s="5" t="s">
        <v>25</v>
      </c>
      <c r="G14" s="73" t="s">
        <v>359</v>
      </c>
      <c r="H14" s="80">
        <v>2000</v>
      </c>
      <c r="I14" s="10"/>
      <c r="J14" s="10"/>
      <c r="K14" s="11">
        <v>45768</v>
      </c>
      <c r="L14" s="80"/>
      <c r="M14" s="451"/>
    </row>
    <row r="15" spans="1:13" x14ac:dyDescent="0.35">
      <c r="A15" s="386" t="s">
        <v>8</v>
      </c>
      <c r="B15" s="386"/>
      <c r="C15" s="386"/>
      <c r="D15" s="386"/>
      <c r="E15" s="386"/>
      <c r="F15" s="386"/>
      <c r="G15" s="386"/>
      <c r="H15" s="81">
        <f>SUM(H12:H14)</f>
        <v>4500</v>
      </c>
      <c r="I15" s="24"/>
      <c r="J15" s="25"/>
      <c r="K15" s="43"/>
      <c r="L15" s="26"/>
      <c r="M15" s="26"/>
    </row>
    <row r="16" spans="1:13" x14ac:dyDescent="0.35">
      <c r="A16" s="26"/>
      <c r="B16" s="26"/>
      <c r="C16" s="26"/>
      <c r="D16" s="26"/>
      <c r="E16" s="26"/>
      <c r="F16" s="26"/>
      <c r="G16" s="26"/>
      <c r="H16" s="26"/>
      <c r="I16" s="26"/>
      <c r="J16" s="26"/>
      <c r="K16" s="26"/>
      <c r="L16" s="26"/>
      <c r="M16" s="26"/>
    </row>
    <row r="17" spans="1:13" x14ac:dyDescent="0.35">
      <c r="A17" s="26"/>
      <c r="B17" s="26" t="s">
        <v>396</v>
      </c>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ht="15" thickBot="1" x14ac:dyDescent="0.4">
      <c r="A21" s="26"/>
      <c r="B21" s="26"/>
      <c r="C21" s="26"/>
      <c r="D21" s="26"/>
      <c r="E21" s="26"/>
      <c r="F21" s="26"/>
      <c r="G21" s="26"/>
      <c r="H21" s="26"/>
      <c r="I21" s="26"/>
      <c r="J21" s="26"/>
      <c r="K21" s="26"/>
      <c r="L21" s="26"/>
      <c r="M21" s="26"/>
    </row>
    <row r="22" spans="1:13" ht="15.5" thickTop="1" thickBot="1" x14ac:dyDescent="0.4">
      <c r="A22" s="26"/>
      <c r="B22" s="447" t="s">
        <v>267</v>
      </c>
      <c r="C22" s="448"/>
      <c r="D22" s="448"/>
      <c r="E22" s="448"/>
      <c r="F22" s="26"/>
      <c r="G22" s="26"/>
      <c r="H22" s="26"/>
      <c r="I22" s="26"/>
      <c r="J22" s="26"/>
      <c r="K22" s="26"/>
      <c r="L22" s="26"/>
      <c r="M22" s="26"/>
    </row>
    <row r="23" spans="1:13" ht="15.5" thickTop="1" thickBot="1" x14ac:dyDescent="0.4">
      <c r="A23" s="26"/>
      <c r="B23" s="448"/>
      <c r="C23" s="448"/>
      <c r="D23" s="448"/>
      <c r="E23" s="448"/>
      <c r="F23" s="26"/>
      <c r="G23" s="26"/>
      <c r="H23" s="26"/>
      <c r="I23" s="26"/>
      <c r="J23" s="26"/>
      <c r="K23" s="26"/>
      <c r="L23" s="26"/>
      <c r="M23" s="26"/>
    </row>
    <row r="24" spans="1:13" ht="27.5" customHeight="1" thickTop="1" thickBot="1" x14ac:dyDescent="0.4">
      <c r="A24" s="26"/>
      <c r="B24" s="448"/>
      <c r="C24" s="448"/>
      <c r="D24" s="448"/>
      <c r="E24" s="448"/>
      <c r="F24" s="26"/>
      <c r="G24" s="26"/>
      <c r="H24" s="26"/>
      <c r="I24" s="26"/>
      <c r="J24" s="26"/>
      <c r="K24" s="26"/>
      <c r="L24" s="26"/>
      <c r="M24" s="26"/>
    </row>
    <row r="25" spans="1:13" ht="15" thickTop="1"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26"/>
      <c r="D30" s="26"/>
      <c r="E30" s="407" t="s">
        <v>67</v>
      </c>
      <c r="F30" s="407"/>
      <c r="G30" s="49"/>
      <c r="H30" s="49"/>
      <c r="I30" s="408"/>
      <c r="J30" s="408"/>
      <c r="K30" s="28"/>
      <c r="L30" s="29"/>
      <c r="M30" s="29"/>
    </row>
    <row r="31" spans="1:13" ht="15" thickTop="1" x14ac:dyDescent="0.35">
      <c r="A31" s="421" t="s">
        <v>69</v>
      </c>
      <c r="B31" s="421"/>
      <c r="D31" s="30"/>
      <c r="E31" s="410" t="s">
        <v>70</v>
      </c>
      <c r="F31" s="410"/>
      <c r="G31" s="410" t="s">
        <v>71</v>
      </c>
      <c r="H31" s="410"/>
      <c r="I31" s="29"/>
      <c r="J31" s="29"/>
      <c r="K31" s="29" t="s">
        <v>72</v>
      </c>
      <c r="L31" s="31"/>
      <c r="M31" s="31"/>
    </row>
    <row r="32" spans="1:13" x14ac:dyDescent="0.35">
      <c r="A32" s="414" t="s">
        <v>92</v>
      </c>
      <c r="B32" s="414"/>
      <c r="D32" s="32"/>
      <c r="E32" s="414" t="s">
        <v>73</v>
      </c>
      <c r="F32" s="414"/>
      <c r="G32" s="414" t="s">
        <v>74</v>
      </c>
      <c r="H32" s="414"/>
      <c r="I32" s="31"/>
      <c r="J32" s="31"/>
      <c r="K32" s="31" t="s">
        <v>75</v>
      </c>
      <c r="L32" s="33"/>
      <c r="M32" s="33"/>
    </row>
    <row r="33" spans="1:13" x14ac:dyDescent="0.35">
      <c r="A33" s="412" t="s">
        <v>94</v>
      </c>
      <c r="B33" s="412"/>
      <c r="D33" s="34"/>
      <c r="E33" s="414" t="s">
        <v>78</v>
      </c>
      <c r="F33" s="414"/>
      <c r="G33" s="414" t="s">
        <v>79</v>
      </c>
      <c r="H33" s="414"/>
      <c r="I33" s="33"/>
      <c r="J33" s="33"/>
      <c r="K33" s="33" t="s">
        <v>80</v>
      </c>
      <c r="L33" s="34"/>
      <c r="M33" s="34"/>
    </row>
    <row r="34" spans="1:13" x14ac:dyDescent="0.35">
      <c r="A34" s="412" t="s">
        <v>76</v>
      </c>
      <c r="B34" s="412"/>
      <c r="D34" s="34"/>
      <c r="E34" s="412" t="s">
        <v>76</v>
      </c>
      <c r="F34" s="412"/>
      <c r="G34" s="412" t="s">
        <v>76</v>
      </c>
      <c r="H34" s="412"/>
      <c r="I34" s="33"/>
      <c r="J34" s="33"/>
      <c r="K34" s="33"/>
    </row>
    <row r="39" spans="1:13" ht="15" thickBot="1" x14ac:dyDescent="0.4"/>
    <row r="40" spans="1:13" ht="15" thickTop="1" x14ac:dyDescent="0.35">
      <c r="A40" s="417" t="s">
        <v>114</v>
      </c>
      <c r="B40" s="417"/>
      <c r="C40" s="429" t="s">
        <v>282</v>
      </c>
      <c r="D40" s="429"/>
      <c r="E40" s="429"/>
    </row>
    <row r="41" spans="1:13" x14ac:dyDescent="0.35">
      <c r="A41" s="418" t="s">
        <v>115</v>
      </c>
      <c r="B41" s="418"/>
      <c r="C41" s="430" t="s">
        <v>7</v>
      </c>
      <c r="D41" s="430"/>
      <c r="E41" s="430"/>
    </row>
    <row r="42" spans="1:13" x14ac:dyDescent="0.35">
      <c r="A42" s="422" t="s">
        <v>116</v>
      </c>
      <c r="B42" s="418"/>
      <c r="C42" s="431" t="s">
        <v>77</v>
      </c>
      <c r="D42" s="431"/>
      <c r="E42" s="431"/>
    </row>
    <row r="43" spans="1:13" x14ac:dyDescent="0.35">
      <c r="A43" s="416" t="s">
        <v>117</v>
      </c>
      <c r="B43" s="416"/>
      <c r="C43" s="412" t="s">
        <v>81</v>
      </c>
      <c r="D43" s="412"/>
      <c r="E43" s="412"/>
    </row>
  </sheetData>
  <mergeCells count="44">
    <mergeCell ref="A4:B4"/>
    <mergeCell ref="C4:M4"/>
    <mergeCell ref="A1:M1"/>
    <mergeCell ref="A2:B2"/>
    <mergeCell ref="C2:M2"/>
    <mergeCell ref="A3:B3"/>
    <mergeCell ref="C3:M3"/>
    <mergeCell ref="A5:B5"/>
    <mergeCell ref="C5:M5"/>
    <mergeCell ref="A6:B6"/>
    <mergeCell ref="C6:M6"/>
    <mergeCell ref="A7:B7"/>
    <mergeCell ref="C7:M7"/>
    <mergeCell ref="I30:J30"/>
    <mergeCell ref="A31:B31"/>
    <mergeCell ref="E31:F31"/>
    <mergeCell ref="G31:H31"/>
    <mergeCell ref="A8:B8"/>
    <mergeCell ref="C8:M8"/>
    <mergeCell ref="A9:B9"/>
    <mergeCell ref="C9:M9"/>
    <mergeCell ref="A10:M10"/>
    <mergeCell ref="A15:G15"/>
    <mergeCell ref="A33:B33"/>
    <mergeCell ref="E33:F33"/>
    <mergeCell ref="G33:H33"/>
    <mergeCell ref="A30:B30"/>
    <mergeCell ref="E30:F30"/>
    <mergeCell ref="A42:B42"/>
    <mergeCell ref="C42:E42"/>
    <mergeCell ref="A43:B43"/>
    <mergeCell ref="C43:E43"/>
    <mergeCell ref="M12:M14"/>
    <mergeCell ref="B22:E24"/>
    <mergeCell ref="A34:B34"/>
    <mergeCell ref="E34:F34"/>
    <mergeCell ref="G34:H34"/>
    <mergeCell ref="A40:B40"/>
    <mergeCell ref="C40:E40"/>
    <mergeCell ref="A41:B41"/>
    <mergeCell ref="C41:E41"/>
    <mergeCell ref="A32:B32"/>
    <mergeCell ref="E32:F32"/>
    <mergeCell ref="G32:H32"/>
  </mergeCells>
  <pageMargins left="0.25" right="0.25" top="0.75" bottom="0.75" header="0.3" footer="0.3"/>
  <pageSetup scale="71"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2878-BF21-44C5-A561-97D8B2E9E704}">
  <sheetPr>
    <pageSetUpPr fitToPage="1"/>
  </sheetPr>
  <dimension ref="A1:M42"/>
  <sheetViews>
    <sheetView workbookViewId="0">
      <selection sqref="A1:M4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6"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45791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40000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397</v>
      </c>
      <c r="L11" s="3" t="s">
        <v>20</v>
      </c>
      <c r="M11" s="4" t="s">
        <v>21</v>
      </c>
    </row>
    <row r="12" spans="1:13" ht="14.5" customHeight="1" x14ac:dyDescent="0.35">
      <c r="A12" s="5">
        <v>1</v>
      </c>
      <c r="B12" s="16" t="s">
        <v>228</v>
      </c>
      <c r="C12" s="7" t="s">
        <v>49</v>
      </c>
      <c r="D12" s="8" t="s">
        <v>57</v>
      </c>
      <c r="E12" s="5" t="s">
        <v>24</v>
      </c>
      <c r="F12" s="5" t="s">
        <v>25</v>
      </c>
      <c r="G12" s="73" t="s">
        <v>359</v>
      </c>
      <c r="H12" s="51">
        <v>20000</v>
      </c>
      <c r="I12" s="10">
        <v>1056</v>
      </c>
      <c r="J12" s="10">
        <v>6755</v>
      </c>
      <c r="K12" s="11">
        <v>45774</v>
      </c>
      <c r="L12" s="80">
        <v>7000</v>
      </c>
      <c r="M12" s="17" t="s">
        <v>204</v>
      </c>
    </row>
    <row r="13" spans="1:13" x14ac:dyDescent="0.35">
      <c r="A13" s="5">
        <v>2</v>
      </c>
      <c r="B13" s="14" t="s">
        <v>398</v>
      </c>
      <c r="C13" s="7" t="s">
        <v>23</v>
      </c>
      <c r="D13" s="8">
        <v>741</v>
      </c>
      <c r="E13" s="5" t="s">
        <v>24</v>
      </c>
      <c r="F13" s="5" t="s">
        <v>25</v>
      </c>
      <c r="G13" s="44" t="s">
        <v>399</v>
      </c>
      <c r="H13" s="51">
        <v>20000</v>
      </c>
      <c r="I13" s="10"/>
      <c r="J13" s="10"/>
      <c r="K13" s="11">
        <v>45789</v>
      </c>
      <c r="L13" s="80">
        <v>5000</v>
      </c>
      <c r="M13" s="17" t="s">
        <v>344</v>
      </c>
    </row>
    <row r="14" spans="1:13" x14ac:dyDescent="0.35">
      <c r="A14" s="386" t="s">
        <v>8</v>
      </c>
      <c r="B14" s="386"/>
      <c r="C14" s="386"/>
      <c r="D14" s="386"/>
      <c r="E14" s="386"/>
      <c r="F14" s="386"/>
      <c r="G14" s="386"/>
      <c r="H14" s="121">
        <f>SUM(H12:H13)</f>
        <v>40000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401</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452"/>
      <c r="C21" s="412"/>
      <c r="D21" s="412"/>
      <c r="E21" s="412"/>
      <c r="F21" s="26"/>
      <c r="G21" s="26"/>
      <c r="H21" s="26"/>
      <c r="I21" s="26"/>
      <c r="J21" s="26"/>
      <c r="K21" s="26"/>
      <c r="L21" s="26"/>
      <c r="M21" s="26"/>
    </row>
    <row r="22" spans="1:13" x14ac:dyDescent="0.35">
      <c r="A22" s="26"/>
      <c r="B22" s="412"/>
      <c r="C22" s="412"/>
      <c r="D22" s="412"/>
      <c r="E22" s="412"/>
      <c r="F22" s="26"/>
      <c r="G22" s="26"/>
      <c r="H22" s="26"/>
      <c r="I22" s="26"/>
      <c r="J22" s="26"/>
      <c r="K22" s="26"/>
      <c r="L22" s="26"/>
      <c r="M22" s="26"/>
    </row>
    <row r="23" spans="1:13" x14ac:dyDescent="0.35">
      <c r="A23" s="26"/>
      <c r="B23" s="412"/>
      <c r="C23" s="412"/>
      <c r="D23" s="412"/>
      <c r="E23" s="412"/>
      <c r="F23" s="26"/>
      <c r="G23" s="26"/>
      <c r="H23" s="26"/>
      <c r="I23" s="26"/>
      <c r="J23" s="26"/>
      <c r="K23" s="26"/>
      <c r="L23" s="26"/>
      <c r="M23" s="26"/>
    </row>
    <row r="24" spans="1:13"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ht="15" thickBot="1" x14ac:dyDescent="0.4">
      <c r="A29" s="420" t="s">
        <v>66</v>
      </c>
      <c r="B29" s="420"/>
      <c r="C29" s="26"/>
      <c r="D29" s="26"/>
      <c r="E29" s="407" t="s">
        <v>67</v>
      </c>
      <c r="F29" s="407"/>
      <c r="G29" s="49"/>
      <c r="H29" s="49"/>
      <c r="I29" s="408"/>
      <c r="J29" s="408"/>
      <c r="K29" s="28"/>
      <c r="L29" s="29"/>
      <c r="M29" s="29"/>
    </row>
    <row r="30" spans="1:13" ht="15" thickTop="1" x14ac:dyDescent="0.35">
      <c r="A30" s="421" t="s">
        <v>69</v>
      </c>
      <c r="B30" s="421"/>
      <c r="D30" s="30"/>
      <c r="E30" s="410" t="s">
        <v>70</v>
      </c>
      <c r="F30" s="410"/>
      <c r="G30" s="410" t="s">
        <v>71</v>
      </c>
      <c r="H30" s="410"/>
      <c r="I30" s="29"/>
      <c r="J30" s="29"/>
      <c r="K30" s="29" t="s">
        <v>72</v>
      </c>
      <c r="L30" s="31"/>
      <c r="M30" s="31"/>
    </row>
    <row r="31" spans="1:13" x14ac:dyDescent="0.35">
      <c r="A31" s="414" t="s">
        <v>92</v>
      </c>
      <c r="B31" s="414"/>
      <c r="D31" s="32"/>
      <c r="E31" s="414" t="s">
        <v>73</v>
      </c>
      <c r="F31" s="414"/>
      <c r="G31" s="414" t="s">
        <v>74</v>
      </c>
      <c r="H31" s="414"/>
      <c r="I31" s="31"/>
      <c r="J31" s="31"/>
      <c r="K31" s="31" t="s">
        <v>75</v>
      </c>
      <c r="L31" s="33"/>
      <c r="M31" s="33"/>
    </row>
    <row r="32" spans="1:13" x14ac:dyDescent="0.35">
      <c r="A32" s="412" t="s">
        <v>94</v>
      </c>
      <c r="B32" s="412"/>
      <c r="D32" s="34"/>
      <c r="E32" s="414" t="s">
        <v>78</v>
      </c>
      <c r="F32" s="414"/>
      <c r="G32" s="414" t="s">
        <v>79</v>
      </c>
      <c r="H32" s="414"/>
      <c r="I32" s="33"/>
      <c r="J32" s="33"/>
      <c r="K32" s="33" t="s">
        <v>80</v>
      </c>
      <c r="L32" s="34"/>
      <c r="M32" s="34"/>
    </row>
    <row r="33" spans="1:11" x14ac:dyDescent="0.35">
      <c r="A33" s="412" t="s">
        <v>76</v>
      </c>
      <c r="B33" s="412"/>
      <c r="D33" s="34"/>
      <c r="E33" s="412" t="s">
        <v>76</v>
      </c>
      <c r="F33" s="412"/>
      <c r="G33" s="412" t="s">
        <v>76</v>
      </c>
      <c r="H33" s="412"/>
      <c r="I33" s="33"/>
      <c r="J33" s="33"/>
      <c r="K33" s="33"/>
    </row>
    <row r="38" spans="1:11" ht="15" thickBot="1" x14ac:dyDescent="0.4"/>
    <row r="39" spans="1:11" ht="15" thickTop="1" x14ac:dyDescent="0.35">
      <c r="A39" s="417" t="s">
        <v>114</v>
      </c>
      <c r="B39" s="417"/>
      <c r="C39" s="429" t="s">
        <v>282</v>
      </c>
      <c r="D39" s="429"/>
      <c r="E39" s="429"/>
    </row>
    <row r="40" spans="1:11" x14ac:dyDescent="0.35">
      <c r="A40" s="418" t="s">
        <v>115</v>
      </c>
      <c r="B40" s="418"/>
      <c r="C40" s="430" t="s">
        <v>7</v>
      </c>
      <c r="D40" s="430"/>
      <c r="E40" s="430"/>
    </row>
    <row r="41" spans="1:11" x14ac:dyDescent="0.35">
      <c r="A41" s="422" t="s">
        <v>116</v>
      </c>
      <c r="B41" s="418"/>
      <c r="C41" s="431" t="s">
        <v>77</v>
      </c>
      <c r="D41" s="431"/>
      <c r="E41" s="431"/>
    </row>
    <row r="42" spans="1:11" x14ac:dyDescent="0.35">
      <c r="A42" s="416" t="s">
        <v>117</v>
      </c>
      <c r="B42" s="416"/>
      <c r="C42" s="412" t="s">
        <v>81</v>
      </c>
      <c r="D42" s="412"/>
      <c r="E42" s="412"/>
    </row>
  </sheetData>
  <mergeCells count="43">
    <mergeCell ref="A41:B41"/>
    <mergeCell ref="C41:E41"/>
    <mergeCell ref="A42:B42"/>
    <mergeCell ref="C42:E42"/>
    <mergeCell ref="A33:B33"/>
    <mergeCell ref="E33:F33"/>
    <mergeCell ref="G33:H33"/>
    <mergeCell ref="A39:B39"/>
    <mergeCell ref="C39:E39"/>
    <mergeCell ref="A40:B40"/>
    <mergeCell ref="C40:E40"/>
    <mergeCell ref="A31:B31"/>
    <mergeCell ref="E31:F31"/>
    <mergeCell ref="G31:H31"/>
    <mergeCell ref="A32:B32"/>
    <mergeCell ref="E32:F32"/>
    <mergeCell ref="G32:H32"/>
    <mergeCell ref="A30:B30"/>
    <mergeCell ref="E30:F30"/>
    <mergeCell ref="G30:H30"/>
    <mergeCell ref="A8:B8"/>
    <mergeCell ref="C8:M8"/>
    <mergeCell ref="A9:B9"/>
    <mergeCell ref="C9:M9"/>
    <mergeCell ref="A10:M10"/>
    <mergeCell ref="A14:G14"/>
    <mergeCell ref="B21:E23"/>
    <mergeCell ref="A29:B29"/>
    <mergeCell ref="E29:F29"/>
    <mergeCell ref="I29:J29"/>
    <mergeCell ref="A5:B5"/>
    <mergeCell ref="C5:M5"/>
    <mergeCell ref="A6:B6"/>
    <mergeCell ref="C6:M6"/>
    <mergeCell ref="A7:B7"/>
    <mergeCell ref="C7:M7"/>
    <mergeCell ref="A4:B4"/>
    <mergeCell ref="C4:M4"/>
    <mergeCell ref="A1:M1"/>
    <mergeCell ref="A2:B2"/>
    <mergeCell ref="C2:M2"/>
    <mergeCell ref="A3:B3"/>
    <mergeCell ref="C3:M3"/>
  </mergeCells>
  <pageMargins left="0.25" right="0.25" top="0.75" bottom="0.75" header="0.3" footer="0.3"/>
  <pageSetup scale="73"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4FE4-93EC-4BB3-8B9C-961569B0517D}">
  <sheetPr>
    <pageSetUpPr fitToPage="1"/>
  </sheetPr>
  <dimension ref="A1:M45"/>
  <sheetViews>
    <sheetView workbookViewId="0">
      <selection sqref="A1:M45"/>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7.5" customHeight="1" x14ac:dyDescent="0.35">
      <c r="A1" s="402" t="s">
        <v>411</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45826</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3000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397</v>
      </c>
      <c r="L11" s="3" t="s">
        <v>20</v>
      </c>
      <c r="M11" s="4" t="s">
        <v>21</v>
      </c>
    </row>
    <row r="12" spans="1:13" x14ac:dyDescent="0.35">
      <c r="A12" s="5">
        <v>1</v>
      </c>
      <c r="B12" s="16" t="s">
        <v>228</v>
      </c>
      <c r="C12" s="7" t="s">
        <v>49</v>
      </c>
      <c r="D12" s="8" t="s">
        <v>57</v>
      </c>
      <c r="E12" s="5" t="s">
        <v>24</v>
      </c>
      <c r="F12" s="5" t="s">
        <v>25</v>
      </c>
      <c r="G12" s="73" t="s">
        <v>359</v>
      </c>
      <c r="H12" s="51">
        <v>3000</v>
      </c>
      <c r="I12" s="42" t="s">
        <v>97</v>
      </c>
      <c r="J12" s="42" t="s">
        <v>97</v>
      </c>
      <c r="K12" s="35" t="s">
        <v>97</v>
      </c>
      <c r="L12" s="113" t="s">
        <v>97</v>
      </c>
      <c r="M12" s="126" t="s">
        <v>97</v>
      </c>
    </row>
    <row r="13" spans="1:13" x14ac:dyDescent="0.35">
      <c r="A13" s="386" t="s">
        <v>8</v>
      </c>
      <c r="B13" s="386"/>
      <c r="C13" s="386"/>
      <c r="D13" s="386"/>
      <c r="E13" s="386"/>
      <c r="F13" s="386"/>
      <c r="G13" s="386"/>
      <c r="H13" s="121">
        <f>SUM(H12:H12)</f>
        <v>3000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412</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ht="15" thickBot="1" x14ac:dyDescent="0.4">
      <c r="A19" s="26"/>
      <c r="B19" s="26"/>
      <c r="C19" s="26"/>
      <c r="D19" s="26"/>
      <c r="E19" s="26"/>
      <c r="F19" s="26"/>
      <c r="G19" s="26"/>
      <c r="H19" s="26"/>
      <c r="I19" s="26"/>
      <c r="J19" s="26"/>
      <c r="K19" s="26"/>
      <c r="L19" s="26"/>
      <c r="M19" s="26"/>
    </row>
    <row r="20" spans="1:13" ht="15.5" thickTop="1" thickBot="1" x14ac:dyDescent="0.4">
      <c r="A20" s="26"/>
      <c r="B20" s="447" t="s">
        <v>267</v>
      </c>
      <c r="C20" s="448"/>
      <c r="D20" s="448"/>
      <c r="E20" s="448"/>
      <c r="F20" s="26"/>
      <c r="G20" s="26"/>
      <c r="H20" s="26"/>
      <c r="I20" s="26"/>
      <c r="J20" s="26"/>
      <c r="K20" s="26"/>
      <c r="L20" s="26"/>
      <c r="M20" s="26"/>
    </row>
    <row r="21" spans="1:13" ht="15.5" thickTop="1" thickBot="1" x14ac:dyDescent="0.4">
      <c r="A21" s="26"/>
      <c r="B21" s="448"/>
      <c r="C21" s="448"/>
      <c r="D21" s="448"/>
      <c r="E21" s="448"/>
      <c r="F21" s="26"/>
      <c r="G21" s="26"/>
      <c r="H21" s="26"/>
      <c r="I21" s="26"/>
      <c r="J21" s="26"/>
      <c r="K21" s="26"/>
      <c r="L21" s="26"/>
      <c r="M21" s="26"/>
    </row>
    <row r="22" spans="1:13" ht="30.5" customHeight="1" thickTop="1" thickBot="1" x14ac:dyDescent="0.4">
      <c r="A22" s="26"/>
      <c r="B22" s="448"/>
      <c r="C22" s="448"/>
      <c r="D22" s="448"/>
      <c r="E22" s="448"/>
      <c r="F22" s="26"/>
      <c r="G22" s="26"/>
      <c r="H22" s="26"/>
      <c r="I22" s="26"/>
      <c r="J22" s="26"/>
      <c r="K22" s="26"/>
      <c r="L22" s="26"/>
      <c r="M22" s="26"/>
    </row>
    <row r="23" spans="1:13" ht="15" thickTop="1" x14ac:dyDescent="0.35">
      <c r="A23" s="26"/>
      <c r="B23" s="26"/>
      <c r="C23" s="26"/>
      <c r="D23" s="26"/>
      <c r="E23" s="26"/>
      <c r="F23" s="26"/>
      <c r="G23" s="26"/>
      <c r="H23" s="26"/>
      <c r="I23" s="26"/>
      <c r="J23" s="26"/>
      <c r="K23" s="26"/>
      <c r="L23" s="26"/>
      <c r="M23" s="26"/>
    </row>
    <row r="24" spans="1:13"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412" t="s">
        <v>413</v>
      </c>
      <c r="C26" s="412"/>
      <c r="D26" s="412"/>
      <c r="E26" s="412"/>
      <c r="F26" s="26"/>
      <c r="G26" s="26"/>
      <c r="H26" s="26"/>
      <c r="I26" s="26"/>
      <c r="J26" s="26"/>
      <c r="K26" s="26"/>
      <c r="L26" s="26"/>
      <c r="M26" s="26"/>
    </row>
    <row r="27" spans="1:13" x14ac:dyDescent="0.35">
      <c r="A27" s="26"/>
      <c r="B27" s="412"/>
      <c r="C27" s="412"/>
      <c r="D27" s="412"/>
      <c r="E27" s="412"/>
      <c r="F27" s="26"/>
      <c r="G27" s="26"/>
      <c r="H27" s="26"/>
      <c r="I27" s="26"/>
      <c r="J27" s="26"/>
      <c r="K27" s="26"/>
      <c r="L27" s="26"/>
      <c r="M27" s="26"/>
    </row>
    <row r="28" spans="1:13" x14ac:dyDescent="0.35">
      <c r="A28" s="26"/>
      <c r="B28" s="412"/>
      <c r="C28" s="412"/>
      <c r="D28" s="412"/>
      <c r="E28" s="412"/>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4">
    <mergeCell ref="A44:B44"/>
    <mergeCell ref="C44:E44"/>
    <mergeCell ref="A45:B45"/>
    <mergeCell ref="C45:E45"/>
    <mergeCell ref="A36:B36"/>
    <mergeCell ref="E36:F36"/>
    <mergeCell ref="G36:H36"/>
    <mergeCell ref="A42:B42"/>
    <mergeCell ref="C42:E42"/>
    <mergeCell ref="A43:B43"/>
    <mergeCell ref="C43:E43"/>
    <mergeCell ref="A34:B34"/>
    <mergeCell ref="E34:F34"/>
    <mergeCell ref="G34:H34"/>
    <mergeCell ref="A35:B35"/>
    <mergeCell ref="E35:F35"/>
    <mergeCell ref="G35:H35"/>
    <mergeCell ref="A32:B32"/>
    <mergeCell ref="E32:F32"/>
    <mergeCell ref="I32:J32"/>
    <mergeCell ref="A33:B33"/>
    <mergeCell ref="E33:F33"/>
    <mergeCell ref="G33:H33"/>
    <mergeCell ref="C8:M8"/>
    <mergeCell ref="A9:B9"/>
    <mergeCell ref="C9:M9"/>
    <mergeCell ref="A10:M10"/>
    <mergeCell ref="B20:E22"/>
    <mergeCell ref="A4:B4"/>
    <mergeCell ref="C4:M4"/>
    <mergeCell ref="B26:E28"/>
    <mergeCell ref="A1:M1"/>
    <mergeCell ref="A2:B2"/>
    <mergeCell ref="C2:M2"/>
    <mergeCell ref="A3:B3"/>
    <mergeCell ref="C3:M3"/>
    <mergeCell ref="A13:G13"/>
    <mergeCell ref="A5:B5"/>
    <mergeCell ref="C5:M5"/>
    <mergeCell ref="A6:B6"/>
    <mergeCell ref="C6:M6"/>
    <mergeCell ref="A7:B7"/>
    <mergeCell ref="C7:M7"/>
    <mergeCell ref="A8:B8"/>
  </mergeCells>
  <printOptions horizontalCentered="1"/>
  <pageMargins left="0.25" right="0.25" top="0.75" bottom="0.75" header="0.3" footer="0.3"/>
  <pageSetup scale="68"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81C4C-5F0A-4E77-993E-F6A81819CE2C}">
  <sheetPr>
    <pageSetUpPr fitToPage="1"/>
  </sheetPr>
  <dimension ref="A1:M43"/>
  <sheetViews>
    <sheetView topLeftCell="A19" workbookViewId="0">
      <selection activeCell="B21" sqref="B21:C25"/>
    </sheetView>
  </sheetViews>
  <sheetFormatPr defaultRowHeight="14.5" x14ac:dyDescent="0.35"/>
  <cols>
    <col min="1" max="1" width="5.7265625" bestFit="1" customWidth="1"/>
    <col min="2" max="2" width="33.7265625" customWidth="1"/>
    <col min="3" max="3" width="19.816406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337</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45755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336</v>
      </c>
      <c r="J11" s="3" t="s">
        <v>18</v>
      </c>
      <c r="K11" s="3" t="s">
        <v>19</v>
      </c>
      <c r="L11" s="3" t="s">
        <v>20</v>
      </c>
      <c r="M11" s="4" t="s">
        <v>21</v>
      </c>
    </row>
    <row r="12" spans="1:13" x14ac:dyDescent="0.35">
      <c r="A12" s="22">
        <v>1</v>
      </c>
      <c r="B12" s="85" t="s">
        <v>331</v>
      </c>
      <c r="C12" s="86" t="s">
        <v>332</v>
      </c>
      <c r="D12" s="53" t="s">
        <v>333</v>
      </c>
      <c r="E12" s="87" t="s">
        <v>24</v>
      </c>
      <c r="F12" s="87" t="s">
        <v>44</v>
      </c>
      <c r="G12" s="87" t="s">
        <v>335</v>
      </c>
      <c r="H12" s="78">
        <v>5000</v>
      </c>
      <c r="I12" s="42" t="s">
        <v>97</v>
      </c>
      <c r="J12" s="42" t="s">
        <v>97</v>
      </c>
      <c r="K12" s="35" t="s">
        <v>97</v>
      </c>
      <c r="L12" s="113" t="s">
        <v>97</v>
      </c>
      <c r="M12" s="12" t="s">
        <v>344</v>
      </c>
    </row>
    <row r="13" spans="1:13" x14ac:dyDescent="0.35">
      <c r="A13" s="386" t="s">
        <v>8</v>
      </c>
      <c r="B13" s="386"/>
      <c r="C13" s="386"/>
      <c r="D13" s="386"/>
      <c r="E13" s="386"/>
      <c r="F13" s="386"/>
      <c r="G13" s="386"/>
      <c r="H13" s="81">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138</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453" t="s">
        <v>355</v>
      </c>
      <c r="C21" s="453"/>
      <c r="D21" s="26"/>
      <c r="E21" s="26"/>
      <c r="F21" s="26"/>
      <c r="G21" s="26"/>
      <c r="H21" s="26"/>
      <c r="I21" s="26"/>
      <c r="J21" s="26"/>
      <c r="K21" s="26"/>
      <c r="L21" s="26"/>
      <c r="M21" s="26"/>
    </row>
    <row r="22" spans="1:13" x14ac:dyDescent="0.35">
      <c r="A22" s="26"/>
      <c r="B22" s="111" t="s">
        <v>7</v>
      </c>
      <c r="C22" s="111" t="s">
        <v>356</v>
      </c>
      <c r="D22" s="26"/>
      <c r="E22" s="26"/>
      <c r="F22" s="26"/>
      <c r="G22" s="26"/>
      <c r="H22" s="26"/>
      <c r="I22" s="26"/>
      <c r="J22" s="26"/>
      <c r="K22" s="26"/>
      <c r="L22" s="26"/>
      <c r="M22" s="26"/>
    </row>
    <row r="23" spans="1:13" x14ac:dyDescent="0.35">
      <c r="A23" s="26"/>
      <c r="B23" s="111" t="s">
        <v>305</v>
      </c>
      <c r="C23" s="111">
        <v>559</v>
      </c>
      <c r="D23" s="26"/>
      <c r="E23" s="26"/>
      <c r="F23" s="26"/>
      <c r="G23" s="26"/>
      <c r="H23" s="26"/>
      <c r="I23" s="26"/>
      <c r="J23" s="26"/>
      <c r="K23" s="26"/>
      <c r="L23" s="26"/>
      <c r="M23" s="26"/>
    </row>
    <row r="24" spans="1:13" x14ac:dyDescent="0.35">
      <c r="A24" s="26"/>
      <c r="B24" s="111" t="s">
        <v>307</v>
      </c>
      <c r="C24" s="111" t="s">
        <v>308</v>
      </c>
      <c r="D24" s="26"/>
      <c r="E24" s="26"/>
      <c r="F24" s="26"/>
      <c r="G24" s="26"/>
      <c r="H24" s="26"/>
      <c r="I24" s="26"/>
      <c r="J24" s="26"/>
      <c r="K24" s="26"/>
      <c r="L24" s="26"/>
      <c r="M24" s="26"/>
    </row>
    <row r="25" spans="1:13" x14ac:dyDescent="0.35">
      <c r="A25" s="26"/>
      <c r="B25" s="111" t="s">
        <v>309</v>
      </c>
      <c r="C25" s="112" t="s">
        <v>357</v>
      </c>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26"/>
      <c r="D30" s="26"/>
      <c r="E30" s="407" t="s">
        <v>67</v>
      </c>
      <c r="F30" s="407"/>
      <c r="G30" s="49"/>
      <c r="H30" s="49"/>
      <c r="I30" s="408"/>
      <c r="J30" s="408"/>
      <c r="K30" s="28"/>
      <c r="L30" s="29"/>
      <c r="M30" s="29"/>
    </row>
    <row r="31" spans="1:13" ht="15" thickTop="1" x14ac:dyDescent="0.35">
      <c r="A31" s="421" t="s">
        <v>69</v>
      </c>
      <c r="B31" s="421"/>
      <c r="D31" s="410" t="s">
        <v>70</v>
      </c>
      <c r="E31" s="410"/>
      <c r="F31" s="410"/>
      <c r="G31" s="410" t="s">
        <v>71</v>
      </c>
      <c r="H31" s="410"/>
      <c r="I31" s="29"/>
      <c r="J31" s="29"/>
      <c r="K31" s="29" t="s">
        <v>72</v>
      </c>
      <c r="L31" s="31"/>
      <c r="M31" s="31"/>
    </row>
    <row r="32" spans="1:13" x14ac:dyDescent="0.35">
      <c r="A32" s="414" t="s">
        <v>92</v>
      </c>
      <c r="B32" s="414"/>
      <c r="D32" s="414" t="s">
        <v>73</v>
      </c>
      <c r="E32" s="414"/>
      <c r="F32" s="414"/>
      <c r="G32" s="414" t="s">
        <v>74</v>
      </c>
      <c r="H32" s="414"/>
      <c r="I32" s="31"/>
      <c r="J32" s="31"/>
      <c r="K32" s="31" t="s">
        <v>75</v>
      </c>
      <c r="L32" s="33"/>
      <c r="M32" s="33"/>
    </row>
    <row r="33" spans="1:13" x14ac:dyDescent="0.35">
      <c r="A33" s="412" t="s">
        <v>94</v>
      </c>
      <c r="B33" s="412"/>
      <c r="D33" s="414" t="s">
        <v>78</v>
      </c>
      <c r="E33" s="414"/>
      <c r="F33" s="414"/>
      <c r="G33" s="414" t="s">
        <v>79</v>
      </c>
      <c r="H33" s="414"/>
      <c r="I33" s="33"/>
      <c r="J33" s="33"/>
      <c r="K33" s="33" t="s">
        <v>80</v>
      </c>
      <c r="L33" s="34"/>
      <c r="M33" s="34"/>
    </row>
    <row r="34" spans="1:13" x14ac:dyDescent="0.35">
      <c r="A34" s="412" t="s">
        <v>76</v>
      </c>
      <c r="B34" s="412"/>
      <c r="D34" s="412" t="s">
        <v>76</v>
      </c>
      <c r="E34" s="412"/>
      <c r="F34" s="412"/>
      <c r="G34" s="412" t="s">
        <v>76</v>
      </c>
      <c r="H34" s="412"/>
      <c r="I34" s="33"/>
      <c r="J34" s="33"/>
      <c r="K34" s="33"/>
    </row>
    <row r="39" spans="1:13" ht="15" thickBot="1" x14ac:dyDescent="0.4"/>
    <row r="40" spans="1:13" ht="15" thickTop="1" x14ac:dyDescent="0.35">
      <c r="A40" s="417" t="s">
        <v>114</v>
      </c>
      <c r="B40" s="417"/>
      <c r="C40" s="429" t="s">
        <v>282</v>
      </c>
      <c r="D40" s="429"/>
      <c r="E40" s="429"/>
    </row>
    <row r="41" spans="1:13" x14ac:dyDescent="0.35">
      <c r="A41" s="418" t="s">
        <v>115</v>
      </c>
      <c r="B41" s="418"/>
      <c r="C41" s="430" t="s">
        <v>7</v>
      </c>
      <c r="D41" s="430"/>
      <c r="E41" s="430"/>
    </row>
    <row r="42" spans="1:13" x14ac:dyDescent="0.35">
      <c r="A42" s="422" t="s">
        <v>116</v>
      </c>
      <c r="B42" s="418"/>
      <c r="C42" s="431" t="s">
        <v>77</v>
      </c>
      <c r="D42" s="431"/>
      <c r="E42" s="431"/>
    </row>
    <row r="43" spans="1:13" x14ac:dyDescent="0.35">
      <c r="A43" s="416" t="s">
        <v>117</v>
      </c>
      <c r="B43" s="416"/>
      <c r="C43" s="412" t="s">
        <v>81</v>
      </c>
      <c r="D43" s="412"/>
      <c r="E43" s="412"/>
    </row>
  </sheetData>
  <mergeCells count="43">
    <mergeCell ref="A42:B42"/>
    <mergeCell ref="C42:E42"/>
    <mergeCell ref="A43:B43"/>
    <mergeCell ref="C43:E43"/>
    <mergeCell ref="B21:C21"/>
    <mergeCell ref="D31:F31"/>
    <mergeCell ref="D32:F32"/>
    <mergeCell ref="D33:F33"/>
    <mergeCell ref="D34:F34"/>
    <mergeCell ref="A34:B34"/>
    <mergeCell ref="A32:B32"/>
    <mergeCell ref="G34:H34"/>
    <mergeCell ref="A40:B40"/>
    <mergeCell ref="C40:E40"/>
    <mergeCell ref="A41:B41"/>
    <mergeCell ref="C41:E41"/>
    <mergeCell ref="G32:H32"/>
    <mergeCell ref="A33:B33"/>
    <mergeCell ref="G33:H33"/>
    <mergeCell ref="A30:B30"/>
    <mergeCell ref="E30:F30"/>
    <mergeCell ref="I30:J30"/>
    <mergeCell ref="A31:B31"/>
    <mergeCell ref="G31:H31"/>
    <mergeCell ref="A8:B8"/>
    <mergeCell ref="C8:M8"/>
    <mergeCell ref="A9:B9"/>
    <mergeCell ref="C9:M9"/>
    <mergeCell ref="A10:M10"/>
    <mergeCell ref="A13:G13"/>
    <mergeCell ref="A5:B5"/>
    <mergeCell ref="C5:M5"/>
    <mergeCell ref="A6:B6"/>
    <mergeCell ref="C6:M6"/>
    <mergeCell ref="A7:B7"/>
    <mergeCell ref="C7:M7"/>
    <mergeCell ref="A4:B4"/>
    <mergeCell ref="C4:M4"/>
    <mergeCell ref="A1:M1"/>
    <mergeCell ref="A2:B2"/>
    <mergeCell ref="C2:M2"/>
    <mergeCell ref="A3:B3"/>
    <mergeCell ref="C3:M3"/>
  </mergeCells>
  <pageMargins left="0.25" right="0.25" top="0.75" bottom="0.75" header="0.3" footer="0.3"/>
  <pageSetup scale="73"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713E-E228-4230-A993-280336EEC85C}">
  <dimension ref="A1:M41"/>
  <sheetViews>
    <sheetView workbookViewId="0">
      <selection activeCell="B15" sqref="B15"/>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337</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45734</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336</v>
      </c>
      <c r="J11" s="3" t="s">
        <v>18</v>
      </c>
      <c r="K11" s="3" t="s">
        <v>19</v>
      </c>
      <c r="L11" s="3" t="s">
        <v>20</v>
      </c>
      <c r="M11" s="4" t="s">
        <v>21</v>
      </c>
    </row>
    <row r="12" spans="1:13" x14ac:dyDescent="0.35">
      <c r="A12" s="22">
        <v>1</v>
      </c>
      <c r="B12" s="85" t="s">
        <v>331</v>
      </c>
      <c r="C12" s="86" t="s">
        <v>332</v>
      </c>
      <c r="D12" s="53" t="s">
        <v>333</v>
      </c>
      <c r="E12" s="87" t="s">
        <v>24</v>
      </c>
      <c r="F12" s="87" t="s">
        <v>44</v>
      </c>
      <c r="G12" s="87" t="s">
        <v>335</v>
      </c>
      <c r="H12" s="78">
        <v>5000</v>
      </c>
      <c r="I12" s="42" t="s">
        <v>97</v>
      </c>
      <c r="J12" s="42" t="s">
        <v>97</v>
      </c>
      <c r="K12" s="11" t="s">
        <v>97</v>
      </c>
      <c r="L12" s="78"/>
      <c r="M12" s="12" t="s">
        <v>344</v>
      </c>
    </row>
    <row r="13" spans="1:13" x14ac:dyDescent="0.35">
      <c r="A13" s="386" t="s">
        <v>8</v>
      </c>
      <c r="B13" s="386"/>
      <c r="C13" s="386"/>
      <c r="D13" s="386"/>
      <c r="E13" s="386"/>
      <c r="F13" s="386"/>
      <c r="G13" s="386"/>
      <c r="H13" s="81">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349</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108" t="s">
        <v>345</v>
      </c>
      <c r="C20" s="26"/>
      <c r="D20" s="26"/>
      <c r="E20" s="26"/>
      <c r="F20" s="26"/>
      <c r="G20" s="26"/>
      <c r="H20" s="26"/>
      <c r="I20" s="26"/>
      <c r="J20" s="26"/>
      <c r="K20" s="26"/>
      <c r="L20" s="26"/>
      <c r="M20" s="26"/>
    </row>
    <row r="21" spans="1:13" x14ac:dyDescent="0.35">
      <c r="A21" s="26"/>
      <c r="B21" s="109" t="s">
        <v>346</v>
      </c>
      <c r="C21" s="26"/>
      <c r="D21" s="26"/>
      <c r="E21" s="26"/>
      <c r="F21" s="26"/>
      <c r="G21" s="26"/>
      <c r="H21" s="26"/>
      <c r="I21" s="26"/>
      <c r="J21" s="26"/>
      <c r="K21" s="26"/>
      <c r="L21" s="26"/>
      <c r="M21" s="26"/>
    </row>
    <row r="22" spans="1:13" x14ac:dyDescent="0.35">
      <c r="A22" s="26"/>
      <c r="B22" s="109" t="s">
        <v>347</v>
      </c>
      <c r="C22" s="26"/>
      <c r="D22" s="26"/>
      <c r="E22" s="26"/>
      <c r="F22" s="26"/>
      <c r="G22" s="26"/>
      <c r="H22" s="26"/>
      <c r="I22" s="26"/>
      <c r="J22" s="26"/>
      <c r="K22" s="26"/>
      <c r="L22" s="26"/>
      <c r="M22" s="26"/>
    </row>
    <row r="23" spans="1:13" x14ac:dyDescent="0.35">
      <c r="A23" s="26"/>
      <c r="B23" s="109" t="s">
        <v>348</v>
      </c>
      <c r="C23" s="26"/>
      <c r="D23" s="26"/>
      <c r="E23" s="26"/>
      <c r="F23" s="26"/>
      <c r="G23" s="26"/>
      <c r="H23" s="26"/>
      <c r="I23" s="26"/>
      <c r="J23" s="26"/>
      <c r="K23" s="26"/>
      <c r="L23" s="26"/>
      <c r="M23" s="26"/>
    </row>
    <row r="24" spans="1:13"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ht="15" thickBot="1" x14ac:dyDescent="0.4">
      <c r="A28" s="420" t="s">
        <v>66</v>
      </c>
      <c r="B28" s="420"/>
      <c r="C28" s="26"/>
      <c r="D28" s="26"/>
      <c r="E28" s="407" t="s">
        <v>67</v>
      </c>
      <c r="F28" s="407"/>
      <c r="G28" s="49"/>
      <c r="H28" s="49"/>
      <c r="I28" s="408"/>
      <c r="J28" s="408"/>
      <c r="K28" s="28"/>
      <c r="L28" s="29"/>
      <c r="M28" s="29"/>
    </row>
    <row r="29" spans="1:13" ht="15" thickTop="1" x14ac:dyDescent="0.35">
      <c r="A29" s="421" t="s">
        <v>69</v>
      </c>
      <c r="B29" s="421"/>
      <c r="D29" s="30"/>
      <c r="E29" s="410" t="s">
        <v>70</v>
      </c>
      <c r="F29" s="410"/>
      <c r="G29" s="410" t="s">
        <v>71</v>
      </c>
      <c r="H29" s="410"/>
      <c r="I29" s="29"/>
      <c r="J29" s="29"/>
      <c r="K29" s="29" t="s">
        <v>72</v>
      </c>
      <c r="L29" s="31"/>
      <c r="M29" s="31"/>
    </row>
    <row r="30" spans="1:13" x14ac:dyDescent="0.35">
      <c r="A30" s="414" t="s">
        <v>92</v>
      </c>
      <c r="B30" s="414"/>
      <c r="D30" s="32"/>
      <c r="E30" s="414" t="s">
        <v>73</v>
      </c>
      <c r="F30" s="414"/>
      <c r="G30" s="414" t="s">
        <v>74</v>
      </c>
      <c r="H30" s="414"/>
      <c r="I30" s="31"/>
      <c r="J30" s="31"/>
      <c r="K30" s="31" t="s">
        <v>75</v>
      </c>
      <c r="L30" s="33"/>
      <c r="M30" s="33"/>
    </row>
    <row r="31" spans="1:13" x14ac:dyDescent="0.35">
      <c r="A31" s="412" t="s">
        <v>94</v>
      </c>
      <c r="B31" s="412"/>
      <c r="D31" s="34"/>
      <c r="E31" s="414" t="s">
        <v>78</v>
      </c>
      <c r="F31" s="414"/>
      <c r="G31" s="414" t="s">
        <v>79</v>
      </c>
      <c r="H31" s="414"/>
      <c r="I31" s="33"/>
      <c r="J31" s="33"/>
      <c r="K31" s="33" t="s">
        <v>80</v>
      </c>
      <c r="L31" s="34"/>
      <c r="M31" s="34"/>
    </row>
    <row r="32" spans="1:13" x14ac:dyDescent="0.35">
      <c r="A32" s="412" t="s">
        <v>76</v>
      </c>
      <c r="B32" s="412"/>
      <c r="D32" s="34"/>
      <c r="E32" s="412" t="s">
        <v>76</v>
      </c>
      <c r="F32" s="412"/>
      <c r="G32" s="412" t="s">
        <v>76</v>
      </c>
      <c r="H32" s="412"/>
      <c r="I32" s="33"/>
      <c r="J32" s="33"/>
      <c r="K32" s="33"/>
    </row>
    <row r="37" spans="1:5" ht="15" thickBot="1" x14ac:dyDescent="0.4"/>
    <row r="38" spans="1:5" ht="15" thickTop="1" x14ac:dyDescent="0.35">
      <c r="A38" s="417" t="s">
        <v>114</v>
      </c>
      <c r="B38" s="417"/>
      <c r="C38" s="429" t="s">
        <v>282</v>
      </c>
      <c r="D38" s="429"/>
      <c r="E38" s="429"/>
    </row>
    <row r="39" spans="1:5" x14ac:dyDescent="0.35">
      <c r="A39" s="418" t="s">
        <v>115</v>
      </c>
      <c r="B39" s="418"/>
      <c r="C39" s="430" t="s">
        <v>7</v>
      </c>
      <c r="D39" s="430"/>
      <c r="E39" s="430"/>
    </row>
    <row r="40" spans="1:5" x14ac:dyDescent="0.35">
      <c r="A40" s="422" t="s">
        <v>116</v>
      </c>
      <c r="B40" s="418"/>
      <c r="C40" s="431" t="s">
        <v>77</v>
      </c>
      <c r="D40" s="431"/>
      <c r="E40" s="431"/>
    </row>
    <row r="41" spans="1:5" x14ac:dyDescent="0.35">
      <c r="A41" s="416" t="s">
        <v>117</v>
      </c>
      <c r="B41" s="416"/>
      <c r="C41" s="412" t="s">
        <v>81</v>
      </c>
      <c r="D41" s="412"/>
      <c r="E41" s="412"/>
    </row>
  </sheetData>
  <mergeCells count="42">
    <mergeCell ref="A40:B40"/>
    <mergeCell ref="C40:E40"/>
    <mergeCell ref="A41:B41"/>
    <mergeCell ref="C41:E41"/>
    <mergeCell ref="A32:B32"/>
    <mergeCell ref="E32:F32"/>
    <mergeCell ref="G32:H32"/>
    <mergeCell ref="A38:B38"/>
    <mergeCell ref="C38:E38"/>
    <mergeCell ref="A39:B39"/>
    <mergeCell ref="C39:E39"/>
    <mergeCell ref="A30:B30"/>
    <mergeCell ref="E30:F30"/>
    <mergeCell ref="G30:H30"/>
    <mergeCell ref="A31:B31"/>
    <mergeCell ref="E31:F31"/>
    <mergeCell ref="G31:H31"/>
    <mergeCell ref="A28:B28"/>
    <mergeCell ref="E28:F28"/>
    <mergeCell ref="I28:J28"/>
    <mergeCell ref="A29:B29"/>
    <mergeCell ref="E29:F29"/>
    <mergeCell ref="G29:H29"/>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7" right="0.7" top="0.75" bottom="0.75" header="0.3" footer="0.3"/>
  <pageSetup paperSize="0" orientation="portrait" horizontalDpi="0" verticalDpi="0" copies="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3400-4D40-4D4F-B167-74C7E478F668}">
  <sheetPr>
    <pageSetUpPr fitToPage="1"/>
  </sheetPr>
  <dimension ref="A1:M47"/>
  <sheetViews>
    <sheetView workbookViewId="0">
      <selection activeCell="B14" sqref="B14:F1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7"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269</v>
      </c>
      <c r="D3" s="403"/>
      <c r="E3" s="403"/>
      <c r="F3" s="403"/>
      <c r="G3" s="403"/>
      <c r="H3" s="403"/>
      <c r="I3" s="403"/>
      <c r="J3" s="403"/>
      <c r="K3" s="403"/>
      <c r="L3" s="403"/>
      <c r="M3" s="385"/>
    </row>
    <row r="4" spans="1:13" x14ac:dyDescent="0.35">
      <c r="A4" s="384" t="s">
        <v>4</v>
      </c>
      <c r="B4" s="385"/>
      <c r="C4" s="393" t="s">
        <v>106</v>
      </c>
      <c r="D4" s="394"/>
      <c r="E4" s="394"/>
      <c r="F4" s="394"/>
      <c r="G4" s="394"/>
      <c r="H4" s="394"/>
      <c r="I4" s="394"/>
      <c r="J4" s="394"/>
      <c r="K4" s="394"/>
      <c r="L4" s="394"/>
      <c r="M4" s="395"/>
    </row>
    <row r="5" spans="1:13" x14ac:dyDescent="0.35">
      <c r="A5" s="384" t="s">
        <v>5</v>
      </c>
      <c r="B5" s="385"/>
      <c r="C5" s="387">
        <v>45648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H27</f>
        <v>282000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270</v>
      </c>
      <c r="J11" s="3" t="s">
        <v>18</v>
      </c>
      <c r="K11" s="3" t="s">
        <v>19</v>
      </c>
      <c r="L11" s="3" t="s">
        <v>20</v>
      </c>
      <c r="M11" s="4" t="s">
        <v>21</v>
      </c>
    </row>
    <row r="12" spans="1:13" x14ac:dyDescent="0.35">
      <c r="A12" s="5">
        <v>1</v>
      </c>
      <c r="B12" s="69" t="s">
        <v>119</v>
      </c>
      <c r="C12" s="69" t="s">
        <v>49</v>
      </c>
      <c r="D12" s="70" t="s">
        <v>63</v>
      </c>
      <c r="E12" s="70" t="s">
        <v>24</v>
      </c>
      <c r="F12" s="68" t="s">
        <v>25</v>
      </c>
      <c r="G12" s="68" t="s">
        <v>65</v>
      </c>
      <c r="H12" s="79">
        <v>50000</v>
      </c>
      <c r="I12" s="82">
        <v>36270</v>
      </c>
      <c r="J12" s="82">
        <v>52019</v>
      </c>
      <c r="K12" s="11">
        <v>45632</v>
      </c>
      <c r="L12" s="79">
        <v>50000</v>
      </c>
      <c r="M12" s="84" t="s">
        <v>176</v>
      </c>
    </row>
    <row r="13" spans="1:13" x14ac:dyDescent="0.35">
      <c r="A13" s="5">
        <v>2</v>
      </c>
      <c r="B13" s="71" t="s">
        <v>227</v>
      </c>
      <c r="C13" s="72" t="s">
        <v>49</v>
      </c>
      <c r="D13" s="73" t="s">
        <v>54</v>
      </c>
      <c r="E13" s="44" t="s">
        <v>24</v>
      </c>
      <c r="F13" s="44" t="s">
        <v>25</v>
      </c>
      <c r="G13" s="73" t="s">
        <v>55</v>
      </c>
      <c r="H13" s="80">
        <v>15000</v>
      </c>
      <c r="I13" s="10">
        <v>36000</v>
      </c>
      <c r="J13" s="10">
        <v>39630</v>
      </c>
      <c r="K13" s="11">
        <v>45631</v>
      </c>
      <c r="L13" s="80">
        <v>15000</v>
      </c>
      <c r="M13" s="17" t="s">
        <v>204</v>
      </c>
    </row>
    <row r="14" spans="1:13" x14ac:dyDescent="0.35">
      <c r="A14" s="5">
        <v>3</v>
      </c>
      <c r="B14" s="16" t="s">
        <v>228</v>
      </c>
      <c r="C14" s="7" t="s">
        <v>49</v>
      </c>
      <c r="D14" s="8" t="s">
        <v>57</v>
      </c>
      <c r="E14" s="5" t="s">
        <v>24</v>
      </c>
      <c r="F14" s="5" t="s">
        <v>25</v>
      </c>
      <c r="G14" s="8" t="s">
        <v>58</v>
      </c>
      <c r="H14" s="80">
        <v>15000</v>
      </c>
      <c r="I14" s="10">
        <v>35500</v>
      </c>
      <c r="J14" s="10">
        <v>39926</v>
      </c>
      <c r="K14" s="11">
        <v>45629</v>
      </c>
      <c r="L14" s="80">
        <v>20000</v>
      </c>
      <c r="M14" s="17" t="s">
        <v>204</v>
      </c>
    </row>
    <row r="15" spans="1:13" x14ac:dyDescent="0.35">
      <c r="A15" s="5">
        <v>4</v>
      </c>
      <c r="B15" s="71" t="s">
        <v>229</v>
      </c>
      <c r="C15" s="72" t="s">
        <v>23</v>
      </c>
      <c r="D15" s="44" t="s">
        <v>47</v>
      </c>
      <c r="E15" s="44" t="s">
        <v>24</v>
      </c>
      <c r="F15" s="44" t="s">
        <v>25</v>
      </c>
      <c r="G15" s="44" t="s">
        <v>102</v>
      </c>
      <c r="H15" s="80">
        <v>15000</v>
      </c>
      <c r="I15" s="10">
        <v>28900</v>
      </c>
      <c r="J15" s="10">
        <v>32559</v>
      </c>
      <c r="K15" s="11">
        <v>45631</v>
      </c>
      <c r="L15" s="80">
        <v>20000</v>
      </c>
      <c r="M15" s="17" t="s">
        <v>204</v>
      </c>
    </row>
    <row r="16" spans="1:13" x14ac:dyDescent="0.35">
      <c r="A16" s="5">
        <v>5</v>
      </c>
      <c r="B16" s="16" t="s">
        <v>230</v>
      </c>
      <c r="C16" s="7" t="s">
        <v>49</v>
      </c>
      <c r="D16" s="8" t="s">
        <v>50</v>
      </c>
      <c r="E16" s="5" t="s">
        <v>24</v>
      </c>
      <c r="F16" s="5" t="s">
        <v>25</v>
      </c>
      <c r="G16" s="8" t="s">
        <v>51</v>
      </c>
      <c r="H16" s="80">
        <v>20000</v>
      </c>
      <c r="I16" s="10">
        <v>17700</v>
      </c>
      <c r="J16" s="10">
        <v>21300</v>
      </c>
      <c r="K16" s="11">
        <v>45631</v>
      </c>
      <c r="L16" s="80">
        <v>20000</v>
      </c>
      <c r="M16" s="17" t="s">
        <v>132</v>
      </c>
    </row>
    <row r="17" spans="1:13" x14ac:dyDescent="0.35">
      <c r="A17" s="5">
        <v>6</v>
      </c>
      <c r="B17" s="16" t="s">
        <v>231</v>
      </c>
      <c r="C17" s="7" t="s">
        <v>49</v>
      </c>
      <c r="D17" s="8" t="s">
        <v>60</v>
      </c>
      <c r="E17" s="5" t="s">
        <v>24</v>
      </c>
      <c r="F17" s="5" t="s">
        <v>25</v>
      </c>
      <c r="G17" s="8" t="s">
        <v>61</v>
      </c>
      <c r="H17" s="80">
        <v>15000</v>
      </c>
      <c r="I17" s="10">
        <v>34600</v>
      </c>
      <c r="J17" s="10">
        <v>40120</v>
      </c>
      <c r="K17" s="11">
        <v>45629</v>
      </c>
      <c r="L17" s="80">
        <v>15000</v>
      </c>
      <c r="M17" s="17" t="s">
        <v>132</v>
      </c>
    </row>
    <row r="18" spans="1:13" x14ac:dyDescent="0.35">
      <c r="A18" s="5">
        <v>7</v>
      </c>
      <c r="B18" s="71" t="s">
        <v>232</v>
      </c>
      <c r="C18" s="72" t="s">
        <v>233</v>
      </c>
      <c r="D18" s="44" t="s">
        <v>234</v>
      </c>
      <c r="E18" s="5" t="s">
        <v>24</v>
      </c>
      <c r="F18" s="5" t="s">
        <v>25</v>
      </c>
      <c r="G18" s="44" t="s">
        <v>235</v>
      </c>
      <c r="H18" s="80">
        <v>50000</v>
      </c>
      <c r="I18" s="10">
        <v>99700</v>
      </c>
      <c r="J18" s="10">
        <v>117229</v>
      </c>
      <c r="K18" s="11">
        <v>45633</v>
      </c>
      <c r="L18" s="80">
        <v>60000</v>
      </c>
      <c r="M18" s="17" t="s">
        <v>236</v>
      </c>
    </row>
    <row r="19" spans="1:13" x14ac:dyDescent="0.35">
      <c r="A19" s="5">
        <v>8</v>
      </c>
      <c r="B19" s="71" t="s">
        <v>26</v>
      </c>
      <c r="C19" s="72" t="s">
        <v>23</v>
      </c>
      <c r="D19" s="73" t="s">
        <v>27</v>
      </c>
      <c r="E19" s="44" t="s">
        <v>24</v>
      </c>
      <c r="F19" s="44" t="s">
        <v>25</v>
      </c>
      <c r="G19" s="75" t="s">
        <v>28</v>
      </c>
      <c r="H19" s="80">
        <v>4000</v>
      </c>
      <c r="I19" s="10">
        <v>13539</v>
      </c>
      <c r="J19" s="10">
        <v>16839</v>
      </c>
      <c r="K19" s="11">
        <v>45634</v>
      </c>
      <c r="L19" s="80">
        <v>4000</v>
      </c>
      <c r="M19" s="12" t="s">
        <v>154</v>
      </c>
    </row>
    <row r="20" spans="1:13" x14ac:dyDescent="0.35">
      <c r="A20" s="5">
        <v>9</v>
      </c>
      <c r="B20" s="71" t="s">
        <v>30</v>
      </c>
      <c r="C20" s="72" t="s">
        <v>23</v>
      </c>
      <c r="D20" s="44" t="s">
        <v>31</v>
      </c>
      <c r="E20" s="44" t="s">
        <v>32</v>
      </c>
      <c r="F20" s="44" t="s">
        <v>25</v>
      </c>
      <c r="G20" s="44" t="s">
        <v>33</v>
      </c>
      <c r="H20" s="80">
        <v>35000</v>
      </c>
      <c r="I20" s="10">
        <v>61257</v>
      </c>
      <c r="J20" s="10">
        <v>83757</v>
      </c>
      <c r="K20" s="11">
        <v>45631</v>
      </c>
      <c r="L20" s="80">
        <v>45000</v>
      </c>
      <c r="M20" s="17" t="s">
        <v>104</v>
      </c>
    </row>
    <row r="21" spans="1:13" x14ac:dyDescent="0.35">
      <c r="A21" s="5">
        <v>10</v>
      </c>
      <c r="B21" s="71" t="s">
        <v>22</v>
      </c>
      <c r="C21" s="72" t="s">
        <v>23</v>
      </c>
      <c r="D21" s="44" t="s">
        <v>205</v>
      </c>
      <c r="E21" s="44" t="s">
        <v>24</v>
      </c>
      <c r="F21" s="44" t="s">
        <v>25</v>
      </c>
      <c r="G21" s="44" t="s">
        <v>105</v>
      </c>
      <c r="H21" s="80">
        <v>9000</v>
      </c>
      <c r="I21" s="10">
        <v>32992</v>
      </c>
      <c r="J21" s="10">
        <v>40692</v>
      </c>
      <c r="K21" s="11">
        <v>45631</v>
      </c>
      <c r="L21" s="80">
        <v>12000</v>
      </c>
      <c r="M21" s="17" t="s">
        <v>96</v>
      </c>
    </row>
    <row r="22" spans="1:13" x14ac:dyDescent="0.35">
      <c r="A22" s="5">
        <v>11</v>
      </c>
      <c r="B22" s="71" t="s">
        <v>36</v>
      </c>
      <c r="C22" s="76" t="s">
        <v>23</v>
      </c>
      <c r="D22" s="77">
        <v>1311</v>
      </c>
      <c r="E22" s="44" t="s">
        <v>24</v>
      </c>
      <c r="F22" s="77" t="s">
        <v>25</v>
      </c>
      <c r="G22" s="75" t="s">
        <v>37</v>
      </c>
      <c r="H22" s="80">
        <v>10000</v>
      </c>
      <c r="I22" s="10">
        <v>8883</v>
      </c>
      <c r="J22" s="10">
        <v>12183</v>
      </c>
      <c r="K22" s="11">
        <v>45634</v>
      </c>
      <c r="L22" s="80">
        <v>6000</v>
      </c>
      <c r="M22" s="12" t="s">
        <v>154</v>
      </c>
    </row>
    <row r="23" spans="1:13" x14ac:dyDescent="0.35">
      <c r="A23" s="5">
        <v>12</v>
      </c>
      <c r="B23" s="71" t="s">
        <v>38</v>
      </c>
      <c r="C23" s="72" t="s">
        <v>23</v>
      </c>
      <c r="D23" s="73" t="s">
        <v>39</v>
      </c>
      <c r="E23" s="44" t="s">
        <v>24</v>
      </c>
      <c r="F23" s="44" t="s">
        <v>25</v>
      </c>
      <c r="G23" s="73" t="s">
        <v>40</v>
      </c>
      <c r="H23" s="80">
        <v>5000</v>
      </c>
      <c r="I23" s="10">
        <v>10903</v>
      </c>
      <c r="J23" s="10">
        <v>14203</v>
      </c>
      <c r="K23" s="11">
        <v>45634</v>
      </c>
      <c r="L23" s="80">
        <v>4000</v>
      </c>
      <c r="M23" s="12" t="s">
        <v>154</v>
      </c>
    </row>
    <row r="24" spans="1:13" x14ac:dyDescent="0.35">
      <c r="A24" s="5">
        <v>13</v>
      </c>
      <c r="B24" s="74" t="s">
        <v>155</v>
      </c>
      <c r="C24" s="72" t="s">
        <v>23</v>
      </c>
      <c r="D24" s="73">
        <v>731</v>
      </c>
      <c r="E24" s="44" t="s">
        <v>24</v>
      </c>
      <c r="F24" s="44" t="s">
        <v>25</v>
      </c>
      <c r="G24" s="73" t="s">
        <v>131</v>
      </c>
      <c r="H24" s="80">
        <v>4000</v>
      </c>
      <c r="I24" s="10">
        <v>18303</v>
      </c>
      <c r="J24" s="10">
        <v>19632</v>
      </c>
      <c r="K24" s="11">
        <v>45638</v>
      </c>
      <c r="L24" s="80">
        <v>7000</v>
      </c>
      <c r="M24" s="12" t="s">
        <v>154</v>
      </c>
    </row>
    <row r="25" spans="1:13" x14ac:dyDescent="0.35">
      <c r="A25" s="5">
        <v>14</v>
      </c>
      <c r="B25" s="6" t="s">
        <v>34</v>
      </c>
      <c r="C25" s="14" t="s">
        <v>23</v>
      </c>
      <c r="D25" s="15">
        <v>1149</v>
      </c>
      <c r="E25" s="15" t="s">
        <v>24</v>
      </c>
      <c r="F25" s="15" t="s">
        <v>25</v>
      </c>
      <c r="G25" s="13" t="s">
        <v>35</v>
      </c>
      <c r="H25" s="80">
        <v>5000</v>
      </c>
      <c r="I25" s="10">
        <v>17345</v>
      </c>
      <c r="J25" s="10">
        <v>22145</v>
      </c>
      <c r="K25" s="11">
        <v>45631</v>
      </c>
      <c r="L25" s="80">
        <v>8000</v>
      </c>
      <c r="M25" s="17" t="s">
        <v>29</v>
      </c>
    </row>
    <row r="26" spans="1:13" x14ac:dyDescent="0.35">
      <c r="A26" s="5">
        <v>15</v>
      </c>
      <c r="B26" s="74" t="s">
        <v>41</v>
      </c>
      <c r="C26" s="72" t="s">
        <v>42</v>
      </c>
      <c r="D26" s="73" t="s">
        <v>43</v>
      </c>
      <c r="E26" s="44" t="s">
        <v>24</v>
      </c>
      <c r="F26" s="44" t="s">
        <v>44</v>
      </c>
      <c r="G26" s="44">
        <v>24024723</v>
      </c>
      <c r="H26" s="80">
        <v>30000</v>
      </c>
      <c r="I26" s="42">
        <v>29845</v>
      </c>
      <c r="J26" s="42">
        <v>42395</v>
      </c>
      <c r="K26" s="11">
        <v>45628</v>
      </c>
      <c r="L26" s="80">
        <v>25000</v>
      </c>
      <c r="M26" s="12" t="s">
        <v>237</v>
      </c>
    </row>
    <row r="27" spans="1:13" x14ac:dyDescent="0.35">
      <c r="A27" s="386" t="s">
        <v>8</v>
      </c>
      <c r="B27" s="386"/>
      <c r="C27" s="386"/>
      <c r="D27" s="386"/>
      <c r="E27" s="386"/>
      <c r="F27" s="386"/>
      <c r="G27" s="386"/>
      <c r="H27" s="81">
        <f>SUM(H12:H26)</f>
        <v>282000</v>
      </c>
      <c r="I27" s="24"/>
      <c r="J27" s="25"/>
      <c r="K27" s="43"/>
      <c r="L27" s="26"/>
      <c r="M27" s="26"/>
    </row>
    <row r="28" spans="1:13" x14ac:dyDescent="0.35">
      <c r="A28" s="26"/>
      <c r="B28" s="26"/>
      <c r="C28" s="26"/>
      <c r="D28" s="26"/>
      <c r="E28" s="26"/>
      <c r="F28" s="26"/>
      <c r="G28" s="26"/>
      <c r="H28" s="26"/>
      <c r="I28" s="26"/>
      <c r="J28" s="26"/>
      <c r="K28" s="26"/>
      <c r="L28" s="26"/>
      <c r="M28" s="26"/>
    </row>
    <row r="29" spans="1:13" x14ac:dyDescent="0.35">
      <c r="A29" s="26"/>
      <c r="B29" s="26" t="s">
        <v>271</v>
      </c>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x14ac:dyDescent="0.35">
      <c r="A32" s="26"/>
      <c r="B32" s="26"/>
      <c r="C32" s="26"/>
      <c r="D32" s="26"/>
      <c r="E32" s="26"/>
      <c r="F32" s="26"/>
      <c r="G32" s="26"/>
      <c r="H32" s="26"/>
      <c r="I32" s="26"/>
      <c r="J32" s="26"/>
      <c r="K32" s="26"/>
      <c r="L32" s="26"/>
      <c r="M32" s="26"/>
    </row>
    <row r="33" spans="1:13" x14ac:dyDescent="0.35">
      <c r="A33" s="26"/>
      <c r="B33" s="26"/>
      <c r="C33" s="26"/>
      <c r="D33" s="26"/>
      <c r="E33" s="26"/>
      <c r="F33" s="26"/>
      <c r="G33" s="26"/>
      <c r="H33" s="26"/>
      <c r="I33" s="26"/>
      <c r="J33" s="26"/>
      <c r="K33" s="26"/>
      <c r="L33" s="26"/>
      <c r="M33" s="26"/>
    </row>
    <row r="34" spans="1:13" ht="15" thickBot="1" x14ac:dyDescent="0.4">
      <c r="A34" s="420" t="s">
        <v>66</v>
      </c>
      <c r="B34" s="420"/>
      <c r="C34" s="50"/>
      <c r="D34" s="26"/>
      <c r="E34" s="407" t="s">
        <v>67</v>
      </c>
      <c r="F34" s="407"/>
      <c r="G34" s="49"/>
      <c r="H34" s="49"/>
      <c r="I34" s="408"/>
      <c r="J34" s="408"/>
      <c r="K34" s="28"/>
      <c r="L34" s="29"/>
      <c r="M34" s="29"/>
    </row>
    <row r="35" spans="1:13" ht="15" thickTop="1" x14ac:dyDescent="0.35">
      <c r="A35" s="421" t="s">
        <v>69</v>
      </c>
      <c r="B35" s="421"/>
      <c r="C35" s="29" t="s">
        <v>113</v>
      </c>
      <c r="D35" s="30"/>
      <c r="E35" s="410" t="s">
        <v>70</v>
      </c>
      <c r="F35" s="410"/>
      <c r="G35" s="410" t="s">
        <v>71</v>
      </c>
      <c r="H35" s="410"/>
      <c r="I35" s="29"/>
      <c r="J35" s="29"/>
      <c r="K35" s="29" t="s">
        <v>72</v>
      </c>
      <c r="L35" s="31"/>
      <c r="M35" s="31"/>
    </row>
    <row r="36" spans="1:13" x14ac:dyDescent="0.35">
      <c r="A36" s="414" t="s">
        <v>92</v>
      </c>
      <c r="B36" s="414"/>
      <c r="C36" s="32" t="s">
        <v>7</v>
      </c>
      <c r="D36" s="32"/>
      <c r="E36" s="414" t="s">
        <v>73</v>
      </c>
      <c r="F36" s="414"/>
      <c r="G36" s="414" t="s">
        <v>74</v>
      </c>
      <c r="H36" s="414"/>
      <c r="I36" s="31"/>
      <c r="J36" s="31"/>
      <c r="K36" s="31" t="s">
        <v>75</v>
      </c>
      <c r="L36" s="33"/>
      <c r="M36" s="33"/>
    </row>
    <row r="37" spans="1:13" x14ac:dyDescent="0.35">
      <c r="A37" s="412" t="s">
        <v>94</v>
      </c>
      <c r="B37" s="412"/>
      <c r="C37" s="34" t="s">
        <v>77</v>
      </c>
      <c r="D37" s="34"/>
      <c r="E37" s="414" t="s">
        <v>78</v>
      </c>
      <c r="F37" s="414"/>
      <c r="G37" s="414" t="s">
        <v>79</v>
      </c>
      <c r="H37" s="414"/>
      <c r="I37" s="33"/>
      <c r="J37" s="33"/>
      <c r="K37" s="33" t="s">
        <v>80</v>
      </c>
      <c r="L37" s="34"/>
      <c r="M37" s="34"/>
    </row>
    <row r="38" spans="1:13" x14ac:dyDescent="0.35">
      <c r="A38" s="412" t="s">
        <v>76</v>
      </c>
      <c r="B38" s="412"/>
      <c r="C38" s="34" t="s">
        <v>81</v>
      </c>
      <c r="D38" s="34"/>
      <c r="E38" s="412" t="s">
        <v>76</v>
      </c>
      <c r="F38" s="412"/>
      <c r="G38" s="412" t="s">
        <v>76</v>
      </c>
      <c r="H38" s="412"/>
      <c r="I38" s="33"/>
      <c r="J38" s="33"/>
      <c r="K38" s="33"/>
    </row>
    <row r="44" spans="1:13" x14ac:dyDescent="0.35">
      <c r="A44" s="417" t="s">
        <v>114</v>
      </c>
      <c r="B44" s="417"/>
    </row>
    <row r="45" spans="1:13" x14ac:dyDescent="0.35">
      <c r="A45" s="418" t="s">
        <v>115</v>
      </c>
      <c r="B45" s="418"/>
    </row>
    <row r="46" spans="1:13" x14ac:dyDescent="0.35">
      <c r="A46" s="422" t="s">
        <v>116</v>
      </c>
      <c r="B46" s="418"/>
    </row>
    <row r="47" spans="1:13" x14ac:dyDescent="0.35">
      <c r="A47" s="416" t="s">
        <v>117</v>
      </c>
      <c r="B47" s="416"/>
    </row>
  </sheetData>
  <mergeCells count="38">
    <mergeCell ref="A47:B47"/>
    <mergeCell ref="A38:B38"/>
    <mergeCell ref="E38:F38"/>
    <mergeCell ref="G38:H38"/>
    <mergeCell ref="A44:B44"/>
    <mergeCell ref="A45:B45"/>
    <mergeCell ref="A46:B46"/>
    <mergeCell ref="A36:B36"/>
    <mergeCell ref="E36:F36"/>
    <mergeCell ref="G36:H36"/>
    <mergeCell ref="A37:B37"/>
    <mergeCell ref="E37:F37"/>
    <mergeCell ref="G37:H37"/>
    <mergeCell ref="A34:B34"/>
    <mergeCell ref="E34:F34"/>
    <mergeCell ref="I34:J34"/>
    <mergeCell ref="A35:B35"/>
    <mergeCell ref="E35:F35"/>
    <mergeCell ref="G35:H35"/>
    <mergeCell ref="A27:G27"/>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69"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D3AC-64E7-4AE1-A402-2775754B1138}">
  <sheetPr>
    <pageSetUpPr fitToPage="1"/>
  </sheetPr>
  <dimension ref="A1:M44"/>
  <sheetViews>
    <sheetView topLeftCell="A11" workbookViewId="0">
      <selection activeCell="A18" sqref="A18:G19"/>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6" customHeight="1" x14ac:dyDescent="0.35">
      <c r="A1" s="402" t="s">
        <v>383</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269</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45781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v>
      </c>
      <c r="I12" s="82">
        <v>0</v>
      </c>
      <c r="J12" s="82">
        <v>0</v>
      </c>
      <c r="K12" s="11">
        <v>45721</v>
      </c>
      <c r="L12" s="79">
        <v>55000</v>
      </c>
      <c r="M12" s="84" t="s">
        <v>176</v>
      </c>
    </row>
    <row r="13" spans="1:13" x14ac:dyDescent="0.35">
      <c r="A13" s="26"/>
      <c r="B13" s="26"/>
      <c r="C13" s="26"/>
      <c r="D13" s="26"/>
      <c r="E13" s="26"/>
      <c r="F13" s="26"/>
      <c r="G13" s="109" t="s">
        <v>381</v>
      </c>
      <c r="H13" s="114">
        <v>6000</v>
      </c>
      <c r="I13" s="26"/>
      <c r="J13" s="26"/>
      <c r="K13" s="26"/>
      <c r="L13" s="26"/>
      <c r="M13" s="26"/>
    </row>
    <row r="14" spans="1:13" x14ac:dyDescent="0.35">
      <c r="A14" s="26"/>
      <c r="B14" s="26" t="s">
        <v>380</v>
      </c>
      <c r="C14" s="26"/>
      <c r="D14" s="26"/>
      <c r="E14" s="26"/>
      <c r="F14" s="26"/>
      <c r="G14" s="26"/>
      <c r="H14" s="26"/>
      <c r="I14" s="26"/>
      <c r="J14" s="26"/>
      <c r="K14" s="26"/>
      <c r="L14" s="26"/>
      <c r="M14" s="26"/>
    </row>
    <row r="15" spans="1:13" x14ac:dyDescent="0.35">
      <c r="A15" s="26"/>
      <c r="B15" s="26"/>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454" t="s">
        <v>382</v>
      </c>
      <c r="B18" s="454"/>
      <c r="C18" s="454"/>
      <c r="D18" s="454"/>
      <c r="E18" s="454"/>
      <c r="F18" s="454"/>
      <c r="G18" s="454"/>
      <c r="H18" s="26"/>
      <c r="I18" s="26"/>
      <c r="J18" s="26"/>
      <c r="K18" s="26"/>
      <c r="L18" s="26"/>
      <c r="M18" s="26"/>
    </row>
    <row r="19" spans="1:13" ht="39" customHeight="1" x14ac:dyDescent="0.35">
      <c r="A19" s="454"/>
      <c r="B19" s="454"/>
      <c r="C19" s="454"/>
      <c r="D19" s="454"/>
      <c r="E19" s="454"/>
      <c r="F19" s="454"/>
      <c r="G19" s="454"/>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26"/>
      <c r="C22" s="26"/>
      <c r="D22" s="26"/>
      <c r="E22" s="26"/>
      <c r="F22" s="26"/>
      <c r="G22" s="26"/>
      <c r="H22" s="26"/>
      <c r="I22" s="26"/>
      <c r="J22" s="26"/>
      <c r="K22" s="26"/>
      <c r="L22" s="26"/>
      <c r="M22" s="26"/>
    </row>
    <row r="23" spans="1:13" x14ac:dyDescent="0.35">
      <c r="A23" s="26"/>
      <c r="B23" s="26"/>
      <c r="C23" s="26"/>
      <c r="D23" s="26"/>
      <c r="E23" s="26"/>
      <c r="F23" s="26"/>
      <c r="G23" s="26"/>
      <c r="H23" s="26"/>
      <c r="I23" s="26"/>
      <c r="J23" s="26"/>
      <c r="K23" s="26"/>
      <c r="L23" s="26"/>
      <c r="M23" s="26"/>
    </row>
    <row r="24" spans="1:13"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ht="15" thickBot="1" x14ac:dyDescent="0.4">
      <c r="A31" s="420" t="s">
        <v>66</v>
      </c>
      <c r="B31" s="420"/>
      <c r="C31" s="26"/>
      <c r="D31" s="26"/>
      <c r="E31" s="407" t="s">
        <v>67</v>
      </c>
      <c r="F31" s="407"/>
      <c r="G31" s="49"/>
      <c r="H31" s="49"/>
      <c r="I31" s="408"/>
      <c r="J31" s="408"/>
      <c r="K31" s="28"/>
      <c r="L31" s="29"/>
      <c r="M31" s="29"/>
    </row>
    <row r="32" spans="1:13" ht="15" thickTop="1" x14ac:dyDescent="0.35">
      <c r="A32" s="421" t="s">
        <v>69</v>
      </c>
      <c r="B32" s="421"/>
      <c r="D32" s="30"/>
      <c r="E32" s="410" t="s">
        <v>70</v>
      </c>
      <c r="F32" s="410"/>
      <c r="G32" s="410" t="s">
        <v>71</v>
      </c>
      <c r="H32" s="410"/>
      <c r="I32" s="29"/>
      <c r="J32" s="29"/>
      <c r="K32" s="29" t="s">
        <v>72</v>
      </c>
      <c r="L32" s="31"/>
      <c r="M32" s="31"/>
    </row>
    <row r="33" spans="1:13" x14ac:dyDescent="0.35">
      <c r="A33" s="414" t="s">
        <v>92</v>
      </c>
      <c r="B33" s="414"/>
      <c r="D33" s="32"/>
      <c r="E33" s="414" t="s">
        <v>73</v>
      </c>
      <c r="F33" s="414"/>
      <c r="G33" s="414" t="s">
        <v>74</v>
      </c>
      <c r="H33" s="414"/>
      <c r="I33" s="31"/>
      <c r="J33" s="31"/>
      <c r="K33" s="31" t="s">
        <v>75</v>
      </c>
      <c r="L33" s="33"/>
      <c r="M33" s="33"/>
    </row>
    <row r="34" spans="1:13" x14ac:dyDescent="0.35">
      <c r="A34" s="412" t="s">
        <v>94</v>
      </c>
      <c r="B34" s="412"/>
      <c r="D34" s="34"/>
      <c r="E34" s="414" t="s">
        <v>78</v>
      </c>
      <c r="F34" s="414"/>
      <c r="G34" s="414" t="s">
        <v>79</v>
      </c>
      <c r="H34" s="414"/>
      <c r="I34" s="33"/>
      <c r="J34" s="33"/>
      <c r="K34" s="33" t="s">
        <v>80</v>
      </c>
      <c r="L34" s="34"/>
      <c r="M34" s="34"/>
    </row>
    <row r="35" spans="1:13" x14ac:dyDescent="0.35">
      <c r="A35" s="412" t="s">
        <v>76</v>
      </c>
      <c r="B35" s="412"/>
      <c r="D35" s="34"/>
      <c r="E35" s="412" t="s">
        <v>76</v>
      </c>
      <c r="F35" s="412"/>
      <c r="G35" s="412" t="s">
        <v>76</v>
      </c>
      <c r="H35" s="412"/>
      <c r="I35" s="33"/>
      <c r="J35" s="33"/>
      <c r="K35" s="33"/>
    </row>
    <row r="40" spans="1:13" ht="15" thickBot="1" x14ac:dyDescent="0.4">
      <c r="C40" s="49"/>
    </row>
    <row r="41" spans="1:13" ht="15" thickTop="1" x14ac:dyDescent="0.35">
      <c r="A41" s="417" t="s">
        <v>114</v>
      </c>
      <c r="B41" s="417"/>
      <c r="C41" s="29" t="s">
        <v>113</v>
      </c>
    </row>
    <row r="42" spans="1:13" x14ac:dyDescent="0.35">
      <c r="A42" s="418" t="s">
        <v>115</v>
      </c>
      <c r="B42" s="418"/>
      <c r="C42" s="32" t="s">
        <v>7</v>
      </c>
    </row>
    <row r="43" spans="1:13" x14ac:dyDescent="0.35">
      <c r="A43" s="422" t="s">
        <v>116</v>
      </c>
      <c r="B43" s="418"/>
      <c r="C43" s="34" t="s">
        <v>77</v>
      </c>
    </row>
    <row r="44" spans="1:13" x14ac:dyDescent="0.35">
      <c r="A44" s="416" t="s">
        <v>117</v>
      </c>
      <c r="B44" s="416"/>
      <c r="C44" s="34" t="s">
        <v>81</v>
      </c>
    </row>
  </sheetData>
  <mergeCells count="38">
    <mergeCell ref="A44:B44"/>
    <mergeCell ref="A18:G19"/>
    <mergeCell ref="A35:B35"/>
    <mergeCell ref="E35:F35"/>
    <mergeCell ref="G35:H35"/>
    <mergeCell ref="A41:B41"/>
    <mergeCell ref="A42:B42"/>
    <mergeCell ref="A43:B43"/>
    <mergeCell ref="A33:B33"/>
    <mergeCell ref="E33:F33"/>
    <mergeCell ref="G33:H33"/>
    <mergeCell ref="A34:B34"/>
    <mergeCell ref="E34:F34"/>
    <mergeCell ref="G34:H34"/>
    <mergeCell ref="A31:B31"/>
    <mergeCell ref="E31:F31"/>
    <mergeCell ref="I31:J31"/>
    <mergeCell ref="A32:B32"/>
    <mergeCell ref="E32:F32"/>
    <mergeCell ref="G32:H32"/>
    <mergeCell ref="A8:B8"/>
    <mergeCell ref="C8:M8"/>
    <mergeCell ref="A9:B9"/>
    <mergeCell ref="C9:M9"/>
    <mergeCell ref="A10:M10"/>
    <mergeCell ref="A5:B5"/>
    <mergeCell ref="C5:M5"/>
    <mergeCell ref="A6:B6"/>
    <mergeCell ref="C6:M6"/>
    <mergeCell ref="A7:B7"/>
    <mergeCell ref="C7:M7"/>
    <mergeCell ref="A4:B4"/>
    <mergeCell ref="C4:M4"/>
    <mergeCell ref="A1:M1"/>
    <mergeCell ref="A2:B2"/>
    <mergeCell ref="C2:M2"/>
    <mergeCell ref="A3:B3"/>
    <mergeCell ref="C3:M3"/>
  </mergeCells>
  <pageMargins left="0.25" right="0.25" top="0.75" bottom="0.75" header="0.3" footer="0.3"/>
  <pageSetup scale="68"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50FA-CDCE-4A5A-9A96-40BF973A3866}">
  <sheetPr>
    <pageSetUpPr fitToPage="1"/>
  </sheetPr>
  <dimension ref="A1:M41"/>
  <sheetViews>
    <sheetView topLeftCell="A4" workbookViewId="0">
      <selection sqref="A1:M41"/>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4"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260</v>
      </c>
      <c r="D3" s="403"/>
      <c r="E3" s="403"/>
      <c r="F3" s="403"/>
      <c r="G3" s="403"/>
      <c r="H3" s="403"/>
      <c r="I3" s="403"/>
      <c r="J3" s="403"/>
      <c r="K3" s="403"/>
      <c r="L3" s="403"/>
      <c r="M3" s="385"/>
    </row>
    <row r="4" spans="1:13" x14ac:dyDescent="0.35">
      <c r="A4" s="384" t="s">
        <v>4</v>
      </c>
      <c r="B4" s="385"/>
      <c r="C4" s="393" t="s">
        <v>250</v>
      </c>
      <c r="D4" s="394"/>
      <c r="E4" s="394"/>
      <c r="F4" s="394"/>
      <c r="G4" s="394"/>
      <c r="H4" s="394"/>
      <c r="I4" s="394"/>
      <c r="J4" s="394"/>
      <c r="K4" s="394"/>
      <c r="L4" s="394"/>
      <c r="M4" s="395"/>
    </row>
    <row r="5" spans="1:13" x14ac:dyDescent="0.35">
      <c r="A5" s="384" t="s">
        <v>5</v>
      </c>
      <c r="B5" s="385"/>
      <c r="C5" s="387">
        <v>45627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264</v>
      </c>
      <c r="J11" s="3" t="s">
        <v>18</v>
      </c>
      <c r="K11" s="3" t="s">
        <v>19</v>
      </c>
      <c r="L11" s="3" t="s">
        <v>20</v>
      </c>
      <c r="M11" s="4" t="s">
        <v>21</v>
      </c>
    </row>
    <row r="12" spans="1:13" x14ac:dyDescent="0.35">
      <c r="A12" s="5">
        <v>1</v>
      </c>
      <c r="B12" s="69" t="s">
        <v>261</v>
      </c>
      <c r="C12" s="69" t="s">
        <v>49</v>
      </c>
      <c r="D12" s="70" t="s">
        <v>262</v>
      </c>
      <c r="E12" s="70" t="s">
        <v>24</v>
      </c>
      <c r="F12" s="68" t="s">
        <v>25</v>
      </c>
      <c r="G12" s="68" t="s">
        <v>263</v>
      </c>
      <c r="H12" s="79">
        <v>15000</v>
      </c>
      <c r="I12" s="82">
        <v>2374</v>
      </c>
      <c r="J12" s="82">
        <v>2374</v>
      </c>
      <c r="K12" s="11">
        <v>45624</v>
      </c>
      <c r="L12" s="83">
        <v>5000</v>
      </c>
      <c r="M12" s="84" t="s">
        <v>258</v>
      </c>
    </row>
    <row r="13" spans="1:13" x14ac:dyDescent="0.35">
      <c r="A13" s="386" t="s">
        <v>8</v>
      </c>
      <c r="B13" s="386"/>
      <c r="C13" s="386"/>
      <c r="D13" s="386"/>
      <c r="E13" s="386"/>
      <c r="F13" s="386"/>
      <c r="G13" s="386"/>
      <c r="H13" s="81">
        <f>SUM(H12:H12)</f>
        <v>15000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265</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ht="15" thickBot="1" x14ac:dyDescent="0.4">
      <c r="A20" s="26"/>
      <c r="B20" s="26"/>
      <c r="C20" s="26"/>
      <c r="D20" s="26"/>
      <c r="E20" s="26"/>
      <c r="F20" s="26"/>
      <c r="G20" s="26"/>
      <c r="H20" s="26"/>
      <c r="I20" s="26"/>
      <c r="J20" s="26"/>
      <c r="K20" s="26"/>
      <c r="L20" s="26"/>
      <c r="M20" s="26"/>
    </row>
    <row r="21" spans="1:13" ht="15.5" thickTop="1" thickBot="1" x14ac:dyDescent="0.4">
      <c r="A21" s="26"/>
      <c r="B21" s="448" t="s">
        <v>266</v>
      </c>
      <c r="C21" s="448"/>
      <c r="D21" s="448"/>
      <c r="E21" s="448"/>
      <c r="F21" s="26"/>
      <c r="G21" s="26"/>
      <c r="H21" s="26"/>
      <c r="I21" s="26"/>
      <c r="J21" s="26"/>
      <c r="K21" s="26"/>
      <c r="L21" s="26"/>
      <c r="M21" s="26"/>
    </row>
    <row r="22" spans="1:13" ht="15.5" thickTop="1" thickBot="1" x14ac:dyDescent="0.4">
      <c r="A22" s="26"/>
      <c r="B22" s="448"/>
      <c r="C22" s="448"/>
      <c r="D22" s="448"/>
      <c r="E22" s="448"/>
      <c r="F22" s="26"/>
      <c r="G22" s="26"/>
      <c r="H22" s="26"/>
      <c r="I22" s="26"/>
      <c r="J22" s="26"/>
      <c r="K22" s="26"/>
      <c r="L22" s="26"/>
      <c r="M22" s="26"/>
    </row>
    <row r="23" spans="1:13" ht="15.5" thickTop="1" thickBot="1" x14ac:dyDescent="0.4">
      <c r="A23" s="26"/>
      <c r="B23" s="448"/>
      <c r="C23" s="448"/>
      <c r="D23" s="448"/>
      <c r="E23" s="448"/>
      <c r="F23" s="26"/>
      <c r="G23" s="26"/>
      <c r="H23" s="26"/>
      <c r="I23" s="26"/>
      <c r="J23" s="26"/>
      <c r="K23" s="26"/>
      <c r="L23" s="26"/>
      <c r="M23" s="26"/>
    </row>
    <row r="24" spans="1:13" ht="15" thickTop="1"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50"/>
      <c r="D30" s="26"/>
      <c r="E30" s="407" t="s">
        <v>67</v>
      </c>
      <c r="F30" s="407"/>
      <c r="G30" s="49"/>
      <c r="H30" s="49"/>
      <c r="I30" s="408"/>
      <c r="J30" s="408"/>
      <c r="K30" s="28"/>
      <c r="L30" s="29"/>
      <c r="M30" s="29"/>
    </row>
    <row r="31" spans="1:13" ht="15" thickTop="1" x14ac:dyDescent="0.35">
      <c r="A31" s="421" t="s">
        <v>69</v>
      </c>
      <c r="B31" s="421"/>
      <c r="C31" s="29" t="s">
        <v>113</v>
      </c>
      <c r="D31" s="30"/>
      <c r="E31" s="410" t="s">
        <v>70</v>
      </c>
      <c r="F31" s="410"/>
      <c r="G31" s="410" t="s">
        <v>71</v>
      </c>
      <c r="H31" s="410"/>
      <c r="I31" s="29"/>
      <c r="J31" s="29"/>
      <c r="K31" s="29" t="s">
        <v>72</v>
      </c>
      <c r="L31" s="31"/>
      <c r="M31" s="31"/>
    </row>
    <row r="32" spans="1:13" x14ac:dyDescent="0.35">
      <c r="A32" s="414" t="s">
        <v>92</v>
      </c>
      <c r="B32" s="414"/>
      <c r="C32" s="32" t="s">
        <v>7</v>
      </c>
      <c r="D32" s="32"/>
      <c r="E32" s="414" t="s">
        <v>73</v>
      </c>
      <c r="F32" s="414"/>
      <c r="G32" s="414" t="s">
        <v>74</v>
      </c>
      <c r="H32" s="414"/>
      <c r="I32" s="31"/>
      <c r="J32" s="31"/>
      <c r="K32" s="31" t="s">
        <v>75</v>
      </c>
      <c r="L32" s="33"/>
      <c r="M32" s="33"/>
    </row>
    <row r="33" spans="1:13" x14ac:dyDescent="0.35">
      <c r="A33" s="412" t="s">
        <v>94</v>
      </c>
      <c r="B33" s="412"/>
      <c r="C33" s="34" t="s">
        <v>77</v>
      </c>
      <c r="D33" s="34"/>
      <c r="E33" s="414" t="s">
        <v>78</v>
      </c>
      <c r="F33" s="414"/>
      <c r="G33" s="414" t="s">
        <v>79</v>
      </c>
      <c r="H33" s="414"/>
      <c r="I33" s="33"/>
      <c r="J33" s="33"/>
      <c r="K33" s="33" t="s">
        <v>80</v>
      </c>
      <c r="L33" s="34"/>
      <c r="M33" s="34"/>
    </row>
    <row r="34" spans="1:13" x14ac:dyDescent="0.35">
      <c r="A34" s="412" t="s">
        <v>76</v>
      </c>
      <c r="B34" s="412"/>
      <c r="C34" s="34" t="s">
        <v>81</v>
      </c>
      <c r="D34" s="34"/>
      <c r="E34" s="412" t="s">
        <v>76</v>
      </c>
      <c r="F34" s="412"/>
      <c r="G34" s="412" t="s">
        <v>76</v>
      </c>
      <c r="H34" s="412"/>
      <c r="I34" s="33"/>
      <c r="J34" s="33"/>
      <c r="K34" s="33"/>
    </row>
    <row r="38" spans="1:13" x14ac:dyDescent="0.35">
      <c r="A38" s="417" t="s">
        <v>114</v>
      </c>
      <c r="B38" s="417"/>
    </row>
    <row r="39" spans="1:13" x14ac:dyDescent="0.35">
      <c r="A39" s="418" t="s">
        <v>115</v>
      </c>
      <c r="B39" s="418"/>
    </row>
    <row r="40" spans="1:13" x14ac:dyDescent="0.35">
      <c r="A40" s="422" t="s">
        <v>116</v>
      </c>
      <c r="B40" s="418"/>
    </row>
    <row r="41" spans="1:13" x14ac:dyDescent="0.35">
      <c r="A41" s="416" t="s">
        <v>117</v>
      </c>
      <c r="B41" s="416"/>
    </row>
  </sheetData>
  <mergeCells count="39">
    <mergeCell ref="A4:B4"/>
    <mergeCell ref="C4:M4"/>
    <mergeCell ref="A1:M1"/>
    <mergeCell ref="A2:B2"/>
    <mergeCell ref="C2:M2"/>
    <mergeCell ref="A3:B3"/>
    <mergeCell ref="C3:M3"/>
    <mergeCell ref="A5:B5"/>
    <mergeCell ref="C5:M5"/>
    <mergeCell ref="A6:B6"/>
    <mergeCell ref="C6:M6"/>
    <mergeCell ref="A7:B7"/>
    <mergeCell ref="C7:M7"/>
    <mergeCell ref="I30:J30"/>
    <mergeCell ref="A31:B31"/>
    <mergeCell ref="E31:F31"/>
    <mergeCell ref="G31:H31"/>
    <mergeCell ref="A8:B8"/>
    <mergeCell ref="C8:M8"/>
    <mergeCell ref="A9:B9"/>
    <mergeCell ref="C9:M9"/>
    <mergeCell ref="A10:M10"/>
    <mergeCell ref="A13:G13"/>
    <mergeCell ref="A41:B41"/>
    <mergeCell ref="B21:E23"/>
    <mergeCell ref="A34:B34"/>
    <mergeCell ref="E34:F34"/>
    <mergeCell ref="G34:H34"/>
    <mergeCell ref="A38:B38"/>
    <mergeCell ref="A39:B39"/>
    <mergeCell ref="A40:B40"/>
    <mergeCell ref="A32:B32"/>
    <mergeCell ref="E32:F32"/>
    <mergeCell ref="G32:H32"/>
    <mergeCell ref="A33:B33"/>
    <mergeCell ref="E33:F33"/>
    <mergeCell ref="G33:H33"/>
    <mergeCell ref="A30:B30"/>
    <mergeCell ref="E30:F30"/>
  </mergeCells>
  <pageMargins left="0.25" right="0.25" top="0.75" bottom="0.75" header="0.3" footer="0.3"/>
  <pageSetup scale="74"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1A3F-E325-4437-911F-60157717E693}">
  <sheetPr>
    <pageSetUpPr fitToPage="1"/>
  </sheetPr>
  <dimension ref="A1:M34"/>
  <sheetViews>
    <sheetView topLeftCell="A5" workbookViewId="0">
      <selection sqref="A1:M3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4"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260</v>
      </c>
      <c r="D3" s="403"/>
      <c r="E3" s="403"/>
      <c r="F3" s="403"/>
      <c r="G3" s="403"/>
      <c r="H3" s="403"/>
      <c r="I3" s="403"/>
      <c r="J3" s="403"/>
      <c r="K3" s="403"/>
      <c r="L3" s="403"/>
      <c r="M3" s="385"/>
    </row>
    <row r="4" spans="1:13" x14ac:dyDescent="0.35">
      <c r="A4" s="384" t="s">
        <v>4</v>
      </c>
      <c r="B4" s="385"/>
      <c r="C4" s="393" t="s">
        <v>250</v>
      </c>
      <c r="D4" s="394"/>
      <c r="E4" s="394"/>
      <c r="F4" s="394"/>
      <c r="G4" s="394"/>
      <c r="H4" s="394"/>
      <c r="I4" s="394"/>
      <c r="J4" s="394"/>
      <c r="K4" s="394"/>
      <c r="L4" s="394"/>
      <c r="M4" s="395"/>
    </row>
    <row r="5" spans="1:13" x14ac:dyDescent="0.35">
      <c r="A5" s="384" t="s">
        <v>5</v>
      </c>
      <c r="B5" s="385"/>
      <c r="C5" s="387">
        <v>45627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264</v>
      </c>
      <c r="J11" s="3" t="s">
        <v>18</v>
      </c>
      <c r="K11" s="3" t="s">
        <v>19</v>
      </c>
      <c r="L11" s="3" t="s">
        <v>20</v>
      </c>
      <c r="M11" s="4" t="s">
        <v>21</v>
      </c>
    </row>
    <row r="12" spans="1:13" x14ac:dyDescent="0.35">
      <c r="A12" s="5">
        <v>1</v>
      </c>
      <c r="B12" s="69" t="s">
        <v>261</v>
      </c>
      <c r="C12" s="69" t="s">
        <v>49</v>
      </c>
      <c r="D12" s="70" t="s">
        <v>262</v>
      </c>
      <c r="E12" s="70" t="s">
        <v>24</v>
      </c>
      <c r="F12" s="68" t="s">
        <v>25</v>
      </c>
      <c r="G12" s="68" t="s">
        <v>263</v>
      </c>
      <c r="H12" s="79">
        <v>5000</v>
      </c>
      <c r="I12" s="82">
        <v>2374</v>
      </c>
      <c r="J12" s="82" t="s">
        <v>97</v>
      </c>
      <c r="K12" s="11"/>
      <c r="L12" s="83"/>
      <c r="M12" s="84" t="s">
        <v>258</v>
      </c>
    </row>
    <row r="13" spans="1:13" x14ac:dyDescent="0.35">
      <c r="A13" s="386" t="s">
        <v>8</v>
      </c>
      <c r="B13" s="386"/>
      <c r="C13" s="386"/>
      <c r="D13" s="386"/>
      <c r="E13" s="386"/>
      <c r="F13" s="386"/>
      <c r="G13" s="386"/>
      <c r="H13" s="81">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138</v>
      </c>
      <c r="C15" s="26"/>
      <c r="D15" s="26"/>
      <c r="E15" s="26"/>
      <c r="F15" s="26"/>
      <c r="G15" s="26"/>
      <c r="H15" s="26"/>
      <c r="I15" s="26"/>
      <c r="J15" s="26"/>
      <c r="K15" s="26"/>
      <c r="L15" s="26"/>
      <c r="M15" s="26"/>
    </row>
    <row r="16" spans="1:13" ht="15" thickBot="1" x14ac:dyDescent="0.4">
      <c r="A16" s="26"/>
      <c r="B16" s="26"/>
      <c r="C16" s="26"/>
      <c r="D16" s="26"/>
      <c r="E16" s="26"/>
      <c r="F16" s="26"/>
      <c r="G16" s="26"/>
      <c r="H16" s="26"/>
      <c r="I16" s="26"/>
      <c r="J16" s="26"/>
      <c r="K16" s="26"/>
      <c r="L16" s="26"/>
      <c r="M16" s="26"/>
    </row>
    <row r="17" spans="1:13" ht="15" thickTop="1" x14ac:dyDescent="0.35">
      <c r="A17" s="26"/>
      <c r="B17" s="439" t="s">
        <v>268</v>
      </c>
      <c r="C17" s="440"/>
      <c r="D17" s="440"/>
      <c r="E17" s="441"/>
      <c r="F17" s="26"/>
      <c r="G17" s="26"/>
      <c r="H17" s="26"/>
      <c r="I17" s="26"/>
      <c r="J17" s="26"/>
      <c r="K17" s="26"/>
      <c r="L17" s="26"/>
      <c r="M17" s="26"/>
    </row>
    <row r="18" spans="1:13" x14ac:dyDescent="0.35">
      <c r="A18" s="26"/>
      <c r="B18" s="442"/>
      <c r="C18" s="412"/>
      <c r="D18" s="412"/>
      <c r="E18" s="443"/>
      <c r="F18" s="26"/>
      <c r="G18" s="26"/>
      <c r="H18" s="26"/>
      <c r="I18" s="26"/>
      <c r="J18" s="26"/>
      <c r="K18" s="26"/>
      <c r="L18" s="26"/>
      <c r="M18" s="26"/>
    </row>
    <row r="19" spans="1:13" ht="15" thickBot="1" x14ac:dyDescent="0.4">
      <c r="A19" s="26"/>
      <c r="B19" s="444"/>
      <c r="C19" s="445"/>
      <c r="D19" s="445"/>
      <c r="E19" s="446"/>
      <c r="F19" s="26"/>
      <c r="G19" s="26"/>
      <c r="H19" s="26"/>
      <c r="I19" s="26"/>
      <c r="J19" s="26"/>
      <c r="K19" s="26"/>
      <c r="L19" s="26"/>
      <c r="M19" s="26"/>
    </row>
    <row r="20" spans="1:13" ht="15.5" thickTop="1" thickBot="1" x14ac:dyDescent="0.4">
      <c r="A20" s="26"/>
      <c r="B20" s="26"/>
      <c r="C20" s="26"/>
      <c r="D20" s="26"/>
      <c r="E20" s="26"/>
      <c r="F20" s="26"/>
      <c r="G20" s="26"/>
      <c r="H20" s="26"/>
      <c r="I20" s="26"/>
      <c r="J20" s="26"/>
      <c r="K20" s="26"/>
      <c r="L20" s="26"/>
      <c r="M20" s="26"/>
    </row>
    <row r="21" spans="1:13" ht="15.5" thickTop="1" thickBot="1" x14ac:dyDescent="0.4">
      <c r="A21" s="26"/>
      <c r="B21" s="447" t="s">
        <v>267</v>
      </c>
      <c r="C21" s="448"/>
      <c r="D21" s="448"/>
      <c r="E21" s="448"/>
      <c r="F21" s="26"/>
      <c r="G21" s="26"/>
      <c r="H21" s="26"/>
      <c r="I21" s="26"/>
      <c r="J21" s="26"/>
      <c r="K21" s="26"/>
      <c r="L21" s="26"/>
      <c r="M21" s="26"/>
    </row>
    <row r="22" spans="1:13" ht="15.5" thickTop="1" thickBot="1" x14ac:dyDescent="0.4">
      <c r="A22" s="26"/>
      <c r="B22" s="448"/>
      <c r="C22" s="448"/>
      <c r="D22" s="448"/>
      <c r="E22" s="448"/>
      <c r="F22" s="26"/>
      <c r="G22" s="26"/>
      <c r="H22" s="26"/>
      <c r="I22" s="26"/>
      <c r="J22" s="26"/>
      <c r="K22" s="26"/>
      <c r="L22" s="26"/>
      <c r="M22" s="26"/>
    </row>
    <row r="23" spans="1:13" ht="30.5" customHeight="1" thickTop="1" thickBot="1" x14ac:dyDescent="0.4">
      <c r="A23" s="26"/>
      <c r="B23" s="448"/>
      <c r="C23" s="448"/>
      <c r="D23" s="448"/>
      <c r="E23" s="448"/>
      <c r="F23" s="26"/>
      <c r="G23" s="26"/>
      <c r="H23" s="26"/>
      <c r="I23" s="26"/>
      <c r="J23" s="26"/>
      <c r="K23" s="26"/>
      <c r="L23" s="26"/>
      <c r="M23" s="26"/>
    </row>
    <row r="24" spans="1:13" ht="15" thickTop="1"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50"/>
      <c r="D30" s="26"/>
      <c r="E30" s="407" t="s">
        <v>67</v>
      </c>
      <c r="F30" s="407"/>
      <c r="G30" s="49"/>
      <c r="H30" s="49"/>
      <c r="I30" s="408"/>
      <c r="J30" s="408"/>
      <c r="K30" s="28"/>
      <c r="L30" s="29"/>
      <c r="M30" s="29"/>
    </row>
    <row r="31" spans="1:13" ht="15" thickTop="1" x14ac:dyDescent="0.35">
      <c r="A31" s="421" t="s">
        <v>69</v>
      </c>
      <c r="B31" s="421"/>
      <c r="C31" s="29" t="s">
        <v>113</v>
      </c>
      <c r="D31" s="30"/>
      <c r="E31" s="410" t="s">
        <v>70</v>
      </c>
      <c r="F31" s="410"/>
      <c r="G31" s="410" t="s">
        <v>71</v>
      </c>
      <c r="H31" s="410"/>
      <c r="I31" s="29"/>
      <c r="J31" s="29"/>
      <c r="K31" s="29" t="s">
        <v>72</v>
      </c>
      <c r="L31" s="31"/>
      <c r="M31" s="31"/>
    </row>
    <row r="32" spans="1:13" x14ac:dyDescent="0.35">
      <c r="A32" s="414" t="s">
        <v>92</v>
      </c>
      <c r="B32" s="414"/>
      <c r="C32" s="32" t="s">
        <v>7</v>
      </c>
      <c r="D32" s="32"/>
      <c r="E32" s="414" t="s">
        <v>73</v>
      </c>
      <c r="F32" s="414"/>
      <c r="G32" s="414" t="s">
        <v>74</v>
      </c>
      <c r="H32" s="414"/>
      <c r="I32" s="31"/>
      <c r="J32" s="31"/>
      <c r="K32" s="31" t="s">
        <v>75</v>
      </c>
      <c r="L32" s="33"/>
      <c r="M32" s="33"/>
    </row>
    <row r="33" spans="1:13" x14ac:dyDescent="0.35">
      <c r="A33" s="412" t="s">
        <v>94</v>
      </c>
      <c r="B33" s="412"/>
      <c r="C33" s="34" t="s">
        <v>77</v>
      </c>
      <c r="D33" s="34"/>
      <c r="E33" s="414" t="s">
        <v>78</v>
      </c>
      <c r="F33" s="414"/>
      <c r="G33" s="414" t="s">
        <v>79</v>
      </c>
      <c r="H33" s="414"/>
      <c r="I33" s="33"/>
      <c r="J33" s="33"/>
      <c r="K33" s="33" t="s">
        <v>80</v>
      </c>
      <c r="L33" s="34"/>
      <c r="M33" s="34"/>
    </row>
    <row r="34" spans="1:13" x14ac:dyDescent="0.35">
      <c r="A34" s="412" t="s">
        <v>76</v>
      </c>
      <c r="B34" s="412"/>
      <c r="C34" s="34" t="s">
        <v>81</v>
      </c>
      <c r="D34" s="34"/>
      <c r="E34" s="412" t="s">
        <v>76</v>
      </c>
      <c r="F34" s="412"/>
      <c r="G34" s="412" t="s">
        <v>76</v>
      </c>
      <c r="H34" s="412"/>
      <c r="I34" s="33"/>
      <c r="J34" s="33"/>
      <c r="K34" s="33"/>
    </row>
  </sheetData>
  <mergeCells count="36">
    <mergeCell ref="A4:B4"/>
    <mergeCell ref="C4:M4"/>
    <mergeCell ref="A1:M1"/>
    <mergeCell ref="A2:B2"/>
    <mergeCell ref="C2:M2"/>
    <mergeCell ref="A3:B3"/>
    <mergeCell ref="C3:M3"/>
    <mergeCell ref="A5:B5"/>
    <mergeCell ref="C5:M5"/>
    <mergeCell ref="A6:B6"/>
    <mergeCell ref="C6:M6"/>
    <mergeCell ref="A7:B7"/>
    <mergeCell ref="C7:M7"/>
    <mergeCell ref="I30:J30"/>
    <mergeCell ref="A31:B31"/>
    <mergeCell ref="E31:F31"/>
    <mergeCell ref="G31:H31"/>
    <mergeCell ref="A8:B8"/>
    <mergeCell ref="C8:M8"/>
    <mergeCell ref="A9:B9"/>
    <mergeCell ref="C9:M9"/>
    <mergeCell ref="A10:M10"/>
    <mergeCell ref="A13:G13"/>
    <mergeCell ref="A34:B34"/>
    <mergeCell ref="E34:F34"/>
    <mergeCell ref="G34:H34"/>
    <mergeCell ref="B17:E19"/>
    <mergeCell ref="A32:B32"/>
    <mergeCell ref="E32:F32"/>
    <mergeCell ref="G32:H32"/>
    <mergeCell ref="A33:B33"/>
    <mergeCell ref="E33:F33"/>
    <mergeCell ref="G33:H33"/>
    <mergeCell ref="B21:E23"/>
    <mergeCell ref="A30:B30"/>
    <mergeCell ref="E30:F30"/>
  </mergeCells>
  <pageMargins left="0.25" right="0.25" top="0.75" bottom="0.75" header="0.3" footer="0.3"/>
  <pageSetup scale="76"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9E5B-0917-42E2-A6E6-8521C0C4EE90}">
  <sheetPr>
    <pageSetUpPr fitToPage="1"/>
  </sheetPr>
  <dimension ref="A1:M44"/>
  <sheetViews>
    <sheetView topLeftCell="A10" workbookViewId="0">
      <selection activeCell="B21" sqref="B21:E2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3" customWidth="1"/>
    <col min="8" max="8" width="11.90625" customWidth="1"/>
    <col min="10" max="10" width="9.36328125" customWidth="1"/>
    <col min="11" max="11" width="25.08984375" customWidth="1"/>
    <col min="13" max="13" width="18.08984375" customWidth="1"/>
  </cols>
  <sheetData>
    <row r="1" spans="1:13" ht="37" customHeight="1" x14ac:dyDescent="0.35">
      <c r="A1" s="402" t="s">
        <v>0</v>
      </c>
      <c r="B1" s="402"/>
      <c r="C1" s="402"/>
      <c r="D1" s="402"/>
      <c r="E1" s="402"/>
      <c r="F1" s="402"/>
      <c r="G1" s="402"/>
      <c r="H1" s="402"/>
      <c r="I1" s="402"/>
      <c r="J1" s="402"/>
      <c r="K1" s="402"/>
      <c r="L1" s="402"/>
      <c r="M1" s="402"/>
    </row>
    <row r="2" spans="1:13" x14ac:dyDescent="0.35">
      <c r="A2" s="384" t="s">
        <v>1</v>
      </c>
      <c r="B2" s="385"/>
      <c r="C2" s="393" t="s">
        <v>291</v>
      </c>
      <c r="D2" s="394"/>
      <c r="E2" s="394"/>
      <c r="F2" s="394"/>
      <c r="G2" s="394"/>
      <c r="H2" s="394"/>
      <c r="I2" s="394"/>
      <c r="J2" s="394"/>
      <c r="K2" s="394"/>
      <c r="L2" s="394"/>
      <c r="M2" s="395"/>
    </row>
    <row r="3" spans="1:13" x14ac:dyDescent="0.35">
      <c r="A3" s="384" t="s">
        <v>3</v>
      </c>
      <c r="B3" s="385"/>
      <c r="C3" s="384" t="s">
        <v>283</v>
      </c>
      <c r="D3" s="403"/>
      <c r="E3" s="403"/>
      <c r="F3" s="403"/>
      <c r="G3" s="403"/>
      <c r="H3" s="403"/>
      <c r="I3" s="403"/>
      <c r="J3" s="403"/>
      <c r="K3" s="403"/>
      <c r="L3" s="403"/>
      <c r="M3" s="385"/>
    </row>
    <row r="4" spans="1:13" x14ac:dyDescent="0.35">
      <c r="A4" s="384" t="s">
        <v>4</v>
      </c>
      <c r="B4" s="385"/>
      <c r="C4" s="393" t="s">
        <v>106</v>
      </c>
      <c r="D4" s="394"/>
      <c r="E4" s="394"/>
      <c r="F4" s="394"/>
      <c r="G4" s="394"/>
      <c r="H4" s="394"/>
      <c r="I4" s="394"/>
      <c r="J4" s="394"/>
      <c r="K4" s="394"/>
      <c r="L4" s="394"/>
      <c r="M4" s="395"/>
    </row>
    <row r="5" spans="1:13" x14ac:dyDescent="0.35">
      <c r="A5" s="384" t="s">
        <v>5</v>
      </c>
      <c r="B5" s="385"/>
      <c r="C5" s="387">
        <v>45669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288</v>
      </c>
      <c r="J11" s="3" t="s">
        <v>18</v>
      </c>
      <c r="K11" s="3" t="s">
        <v>19</v>
      </c>
      <c r="L11" s="3" t="s">
        <v>20</v>
      </c>
      <c r="M11" s="4" t="s">
        <v>21</v>
      </c>
    </row>
    <row r="12" spans="1:13" x14ac:dyDescent="0.35">
      <c r="A12" s="5">
        <v>1</v>
      </c>
      <c r="B12" s="69" t="s">
        <v>284</v>
      </c>
      <c r="C12" s="69" t="s">
        <v>49</v>
      </c>
      <c r="D12" s="70" t="s">
        <v>286</v>
      </c>
      <c r="E12" s="70" t="s">
        <v>24</v>
      </c>
      <c r="F12" s="68" t="s">
        <v>25</v>
      </c>
      <c r="G12" s="94" t="s">
        <v>287</v>
      </c>
      <c r="H12" s="79">
        <v>5000</v>
      </c>
      <c r="I12" s="82">
        <v>4636</v>
      </c>
      <c r="J12" s="82" t="s">
        <v>97</v>
      </c>
      <c r="K12" s="11"/>
      <c r="L12" s="83"/>
      <c r="M12" s="84" t="s">
        <v>289</v>
      </c>
    </row>
    <row r="13" spans="1:13" x14ac:dyDescent="0.35">
      <c r="A13" s="386" t="s">
        <v>8</v>
      </c>
      <c r="B13" s="386"/>
      <c r="C13" s="386"/>
      <c r="D13" s="386"/>
      <c r="E13" s="386"/>
      <c r="F13" s="386"/>
      <c r="G13" s="386"/>
      <c r="H13" s="95">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138</v>
      </c>
      <c r="C15" s="26"/>
      <c r="D15" s="26"/>
      <c r="E15" s="26"/>
      <c r="F15" s="26"/>
      <c r="G15" s="26"/>
      <c r="H15" s="26"/>
      <c r="I15" s="26"/>
      <c r="J15" s="26"/>
      <c r="K15" s="26"/>
      <c r="L15" s="26"/>
      <c r="M15" s="26"/>
    </row>
    <row r="16" spans="1:13" ht="15" thickBot="1" x14ac:dyDescent="0.4">
      <c r="A16" s="26"/>
      <c r="B16" s="26"/>
      <c r="C16" s="26"/>
      <c r="D16" s="26"/>
      <c r="E16" s="26"/>
      <c r="F16" s="26"/>
      <c r="G16" s="26"/>
      <c r="H16" s="26"/>
      <c r="I16" s="26"/>
      <c r="J16" s="26"/>
      <c r="K16" s="26"/>
      <c r="L16" s="26"/>
      <c r="M16" s="26"/>
    </row>
    <row r="17" spans="1:13" ht="15" thickTop="1" x14ac:dyDescent="0.35">
      <c r="A17" s="26"/>
      <c r="B17" s="439" t="s">
        <v>268</v>
      </c>
      <c r="C17" s="440"/>
      <c r="D17" s="440"/>
      <c r="E17" s="441"/>
      <c r="F17" s="26"/>
      <c r="G17" s="26"/>
      <c r="H17" s="26"/>
      <c r="I17" s="26"/>
      <c r="J17" s="26"/>
      <c r="K17" s="26"/>
      <c r="L17" s="26"/>
      <c r="M17" s="26"/>
    </row>
    <row r="18" spans="1:13" x14ac:dyDescent="0.35">
      <c r="A18" s="26"/>
      <c r="B18" s="442"/>
      <c r="C18" s="412"/>
      <c r="D18" s="412"/>
      <c r="E18" s="443"/>
      <c r="F18" s="26"/>
      <c r="G18" s="26"/>
      <c r="H18" s="26"/>
      <c r="I18" s="26"/>
      <c r="J18" s="26"/>
      <c r="K18" s="26"/>
      <c r="L18" s="26"/>
      <c r="M18" s="26"/>
    </row>
    <row r="19" spans="1:13" ht="15" thickBot="1" x14ac:dyDescent="0.4">
      <c r="A19" s="26"/>
      <c r="B19" s="444"/>
      <c r="C19" s="445"/>
      <c r="D19" s="445"/>
      <c r="E19" s="446"/>
      <c r="F19" s="26"/>
      <c r="G19" s="26"/>
      <c r="H19" s="26"/>
      <c r="I19" s="26"/>
      <c r="J19" s="26"/>
      <c r="K19" s="26"/>
      <c r="L19" s="26"/>
      <c r="M19" s="26"/>
    </row>
    <row r="20" spans="1:13" ht="15.5" thickTop="1" thickBot="1" x14ac:dyDescent="0.4">
      <c r="A20" s="26"/>
      <c r="B20" s="26"/>
      <c r="C20" s="26"/>
      <c r="D20" s="26"/>
      <c r="E20" s="26"/>
      <c r="F20" s="26"/>
      <c r="G20" s="26"/>
      <c r="H20" s="26"/>
      <c r="I20" s="26"/>
      <c r="J20" s="26"/>
      <c r="K20" s="26"/>
      <c r="L20" s="26"/>
      <c r="M20" s="26"/>
    </row>
    <row r="21" spans="1:13" ht="15.5" thickTop="1" thickBot="1" x14ac:dyDescent="0.4">
      <c r="A21" s="26"/>
      <c r="B21" s="447" t="s">
        <v>290</v>
      </c>
      <c r="C21" s="448"/>
      <c r="D21" s="448"/>
      <c r="E21" s="448"/>
      <c r="F21" s="26"/>
      <c r="G21" s="26"/>
      <c r="H21" s="26"/>
      <c r="I21" s="26"/>
      <c r="J21" s="26"/>
      <c r="K21" s="26"/>
      <c r="L21" s="26"/>
      <c r="M21" s="26"/>
    </row>
    <row r="22" spans="1:13" ht="15.5" thickTop="1" thickBot="1" x14ac:dyDescent="0.4">
      <c r="A22" s="26"/>
      <c r="B22" s="448"/>
      <c r="C22" s="448"/>
      <c r="D22" s="448"/>
      <c r="E22" s="448"/>
      <c r="F22" s="26"/>
      <c r="G22" s="26"/>
      <c r="H22" s="26"/>
      <c r="I22" s="26"/>
      <c r="J22" s="26"/>
      <c r="K22" s="26"/>
      <c r="L22" s="26"/>
      <c r="M22" s="26"/>
    </row>
    <row r="23" spans="1:13" ht="29.5" customHeight="1" thickTop="1" thickBot="1" x14ac:dyDescent="0.4">
      <c r="A23" s="26"/>
      <c r="B23" s="448"/>
      <c r="C23" s="448"/>
      <c r="D23" s="448"/>
      <c r="E23" s="448"/>
      <c r="F23" s="26"/>
      <c r="G23" s="26"/>
      <c r="H23" s="26"/>
      <c r="I23" s="26"/>
      <c r="J23" s="26"/>
      <c r="K23" s="26"/>
      <c r="L23" s="26"/>
      <c r="M23" s="26"/>
    </row>
    <row r="24" spans="1:13" ht="15" thickTop="1" x14ac:dyDescent="0.35">
      <c r="A24" s="26"/>
      <c r="B24" s="26"/>
      <c r="C24" s="26"/>
      <c r="D24" s="26"/>
      <c r="E24" s="26"/>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26"/>
      <c r="D30" s="26"/>
      <c r="E30" s="407" t="s">
        <v>67</v>
      </c>
      <c r="F30" s="407"/>
      <c r="G30" s="49"/>
      <c r="H30" s="49"/>
      <c r="I30" s="408"/>
      <c r="J30" s="408"/>
      <c r="K30" s="28"/>
      <c r="L30" s="29"/>
      <c r="M30" s="29"/>
    </row>
    <row r="31" spans="1:13" ht="15" thickTop="1" x14ac:dyDescent="0.35">
      <c r="A31" s="421" t="s">
        <v>69</v>
      </c>
      <c r="B31" s="421"/>
      <c r="D31" s="29" t="s">
        <v>70</v>
      </c>
      <c r="E31" s="29"/>
      <c r="G31" s="410" t="s">
        <v>71</v>
      </c>
      <c r="H31" s="410"/>
      <c r="I31" s="29"/>
      <c r="J31" s="29"/>
      <c r="K31" s="29" t="s">
        <v>72</v>
      </c>
      <c r="L31" s="31"/>
      <c r="M31" s="31"/>
    </row>
    <row r="32" spans="1:13" x14ac:dyDescent="0.35">
      <c r="A32" s="414" t="s">
        <v>92</v>
      </c>
      <c r="B32" s="414"/>
      <c r="D32" s="31" t="s">
        <v>73</v>
      </c>
      <c r="E32" s="31"/>
      <c r="G32" s="414" t="s">
        <v>74</v>
      </c>
      <c r="H32" s="414"/>
      <c r="I32" s="31"/>
      <c r="J32" s="31"/>
      <c r="K32" s="31" t="s">
        <v>75</v>
      </c>
      <c r="L32" s="33"/>
      <c r="M32" s="33"/>
    </row>
    <row r="33" spans="1:13" x14ac:dyDescent="0.35">
      <c r="A33" s="412" t="s">
        <v>94</v>
      </c>
      <c r="B33" s="412"/>
      <c r="D33" s="31" t="s">
        <v>78</v>
      </c>
      <c r="E33" s="31"/>
      <c r="G33" s="414" t="s">
        <v>79</v>
      </c>
      <c r="H33" s="414"/>
      <c r="I33" s="33"/>
      <c r="J33" s="33"/>
      <c r="K33" s="33" t="s">
        <v>80</v>
      </c>
      <c r="L33" s="34"/>
      <c r="M33" s="34"/>
    </row>
    <row r="34" spans="1:13" x14ac:dyDescent="0.35">
      <c r="A34" s="412" t="s">
        <v>76</v>
      </c>
      <c r="B34" s="412"/>
      <c r="D34" s="33" t="s">
        <v>76</v>
      </c>
      <c r="E34" s="33"/>
      <c r="G34" s="412" t="s">
        <v>76</v>
      </c>
      <c r="H34" s="412"/>
      <c r="I34" s="33"/>
      <c r="J34" s="33"/>
      <c r="K34" s="33"/>
    </row>
    <row r="41" spans="1:13" x14ac:dyDescent="0.35">
      <c r="B41" s="91" t="s">
        <v>114</v>
      </c>
      <c r="C41" s="29" t="s">
        <v>282</v>
      </c>
    </row>
    <row r="42" spans="1:13" x14ac:dyDescent="0.35">
      <c r="B42" s="92" t="s">
        <v>115</v>
      </c>
      <c r="C42" s="32" t="s">
        <v>7</v>
      </c>
    </row>
    <row r="43" spans="1:13" x14ac:dyDescent="0.35">
      <c r="B43" s="93" t="s">
        <v>116</v>
      </c>
      <c r="C43" s="34" t="s">
        <v>77</v>
      </c>
    </row>
    <row r="44" spans="1:13" ht="14.5" customHeight="1" x14ac:dyDescent="0.35">
      <c r="B44" s="90" t="s">
        <v>285</v>
      </c>
      <c r="C44" s="34" t="s">
        <v>81</v>
      </c>
    </row>
  </sheetData>
  <mergeCells count="32">
    <mergeCell ref="A4:B4"/>
    <mergeCell ref="C4:M4"/>
    <mergeCell ref="A1:M1"/>
    <mergeCell ref="A2:B2"/>
    <mergeCell ref="C2:M2"/>
    <mergeCell ref="A3:B3"/>
    <mergeCell ref="C3:M3"/>
    <mergeCell ref="A5:B5"/>
    <mergeCell ref="C5:M5"/>
    <mergeCell ref="A6:B6"/>
    <mergeCell ref="C6:M6"/>
    <mergeCell ref="A7:B7"/>
    <mergeCell ref="C7:M7"/>
    <mergeCell ref="A31:B31"/>
    <mergeCell ref="G31:H31"/>
    <mergeCell ref="A8:B8"/>
    <mergeCell ref="C8:M8"/>
    <mergeCell ref="A9:B9"/>
    <mergeCell ref="C9:M9"/>
    <mergeCell ref="A10:M10"/>
    <mergeCell ref="A13:G13"/>
    <mergeCell ref="B17:E19"/>
    <mergeCell ref="B21:E23"/>
    <mergeCell ref="A30:B30"/>
    <mergeCell ref="E30:F30"/>
    <mergeCell ref="I30:J30"/>
    <mergeCell ref="A34:B34"/>
    <mergeCell ref="G34:H34"/>
    <mergeCell ref="A32:B32"/>
    <mergeCell ref="G32:H32"/>
    <mergeCell ref="A33:B33"/>
    <mergeCell ref="G33:H33"/>
  </mergeCells>
  <pageMargins left="0" right="0" top="0.25" bottom="0.25" header="0.3" footer="0.3"/>
  <pageSetup scale="76"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49C0-B2DC-4E63-912F-E594FBD353B5}">
  <sheetPr codeName="Sheet12">
    <pageSetUpPr fitToPage="1"/>
  </sheetPr>
  <dimension ref="A1:M26"/>
  <sheetViews>
    <sheetView topLeftCell="A10" workbookViewId="0">
      <selection sqref="A1:M26"/>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218</v>
      </c>
      <c r="D3" s="403"/>
      <c r="E3" s="403"/>
      <c r="F3" s="403"/>
      <c r="G3" s="403"/>
      <c r="H3" s="403"/>
      <c r="I3" s="403"/>
      <c r="J3" s="403"/>
      <c r="K3" s="403"/>
      <c r="L3" s="403"/>
      <c r="M3" s="385"/>
    </row>
    <row r="4" spans="1:13" x14ac:dyDescent="0.35">
      <c r="A4" s="384" t="s">
        <v>4</v>
      </c>
      <c r="B4" s="385"/>
      <c r="C4" s="393" t="s">
        <v>223</v>
      </c>
      <c r="D4" s="394"/>
      <c r="E4" s="394"/>
      <c r="F4" s="394"/>
      <c r="G4" s="394"/>
      <c r="H4" s="394"/>
      <c r="I4" s="394"/>
      <c r="J4" s="394"/>
      <c r="K4" s="394"/>
      <c r="L4" s="394"/>
      <c r="M4" s="395"/>
    </row>
    <row r="5" spans="1:13" x14ac:dyDescent="0.35">
      <c r="A5" s="384" t="s">
        <v>5</v>
      </c>
      <c r="B5" s="385"/>
      <c r="C5" s="387">
        <v>45467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H17</f>
        <v>395000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219</v>
      </c>
      <c r="J11" s="3" t="s">
        <v>18</v>
      </c>
      <c r="K11" s="3" t="s">
        <v>19</v>
      </c>
      <c r="L11" s="3" t="s">
        <v>20</v>
      </c>
      <c r="M11" s="3" t="s">
        <v>84</v>
      </c>
    </row>
    <row r="12" spans="1:13" x14ac:dyDescent="0.35">
      <c r="A12" s="5">
        <v>1</v>
      </c>
      <c r="B12" s="14" t="s">
        <v>85</v>
      </c>
      <c r="C12" s="7" t="s">
        <v>86</v>
      </c>
      <c r="D12" s="8" t="s">
        <v>87</v>
      </c>
      <c r="E12" s="5" t="s">
        <v>24</v>
      </c>
      <c r="F12" s="5" t="s">
        <v>44</v>
      </c>
      <c r="G12" s="5">
        <v>35020062</v>
      </c>
      <c r="H12" s="51">
        <v>190000</v>
      </c>
      <c r="I12" s="10">
        <v>27850</v>
      </c>
      <c r="J12" s="10">
        <v>154782</v>
      </c>
      <c r="K12" s="35">
        <v>45437</v>
      </c>
      <c r="L12" s="9">
        <v>150000</v>
      </c>
      <c r="M12" s="48" t="s">
        <v>220</v>
      </c>
    </row>
    <row r="13" spans="1:13" x14ac:dyDescent="0.35">
      <c r="A13" s="5">
        <v>2</v>
      </c>
      <c r="B13" s="14" t="s">
        <v>89</v>
      </c>
      <c r="C13" s="7" t="s">
        <v>86</v>
      </c>
      <c r="D13" s="8" t="s">
        <v>90</v>
      </c>
      <c r="E13" s="5" t="s">
        <v>24</v>
      </c>
      <c r="F13" s="5" t="s">
        <v>44</v>
      </c>
      <c r="G13" s="13">
        <v>40021666</v>
      </c>
      <c r="H13" s="9">
        <v>80000</v>
      </c>
      <c r="I13" s="10">
        <v>31218</v>
      </c>
      <c r="J13" s="10">
        <v>84918</v>
      </c>
      <c r="K13" s="35">
        <v>45457</v>
      </c>
      <c r="L13" s="9">
        <v>35000</v>
      </c>
      <c r="M13" s="48" t="s">
        <v>221</v>
      </c>
    </row>
    <row r="14" spans="1:13" x14ac:dyDescent="0.35">
      <c r="A14" s="5">
        <v>3</v>
      </c>
      <c r="B14" s="14" t="s">
        <v>158</v>
      </c>
      <c r="C14" s="7" t="s">
        <v>86</v>
      </c>
      <c r="D14" s="8">
        <v>269</v>
      </c>
      <c r="E14" s="5" t="s">
        <v>24</v>
      </c>
      <c r="F14" s="5" t="s">
        <v>44</v>
      </c>
      <c r="G14" s="5">
        <v>74023856</v>
      </c>
      <c r="H14" s="9">
        <v>50000</v>
      </c>
      <c r="I14" s="10">
        <v>19720</v>
      </c>
      <c r="J14" s="10">
        <v>51487</v>
      </c>
      <c r="K14" s="35">
        <v>45437</v>
      </c>
      <c r="L14" s="9">
        <v>20000</v>
      </c>
      <c r="M14" s="48" t="s">
        <v>88</v>
      </c>
    </row>
    <row r="15" spans="1:13" x14ac:dyDescent="0.35">
      <c r="A15" s="5">
        <v>4</v>
      </c>
      <c r="B15" s="19" t="s">
        <v>211</v>
      </c>
      <c r="C15" s="20" t="s">
        <v>144</v>
      </c>
      <c r="D15" s="53" t="s">
        <v>146</v>
      </c>
      <c r="E15" s="22" t="s">
        <v>64</v>
      </c>
      <c r="F15" s="5" t="s">
        <v>145</v>
      </c>
      <c r="G15" s="21">
        <v>97017150</v>
      </c>
      <c r="H15" s="9">
        <v>25000</v>
      </c>
      <c r="I15" s="10">
        <v>10000</v>
      </c>
      <c r="J15" s="10"/>
      <c r="K15" s="35">
        <v>45426</v>
      </c>
      <c r="L15" s="9">
        <v>25000</v>
      </c>
      <c r="M15" s="48" t="s">
        <v>212</v>
      </c>
    </row>
    <row r="16" spans="1:13" x14ac:dyDescent="0.35">
      <c r="A16" s="5">
        <v>5</v>
      </c>
      <c r="B16" s="16" t="s">
        <v>95</v>
      </c>
      <c r="C16" s="7" t="s">
        <v>49</v>
      </c>
      <c r="D16" s="8">
        <v>183</v>
      </c>
      <c r="E16" s="5" t="s">
        <v>24</v>
      </c>
      <c r="F16" s="5" t="s">
        <v>25</v>
      </c>
      <c r="G16" s="8">
        <v>10230044268</v>
      </c>
      <c r="H16" s="9">
        <v>50000</v>
      </c>
      <c r="I16" s="10">
        <v>55731</v>
      </c>
      <c r="J16" s="10">
        <v>73634</v>
      </c>
      <c r="K16" s="35">
        <v>45416</v>
      </c>
      <c r="L16" s="9">
        <v>50000</v>
      </c>
      <c r="M16" s="17" t="s">
        <v>213</v>
      </c>
    </row>
    <row r="17" spans="1:13" x14ac:dyDescent="0.35">
      <c r="A17" s="415" t="s">
        <v>8</v>
      </c>
      <c r="B17" s="415"/>
      <c r="C17" s="415"/>
      <c r="D17" s="415"/>
      <c r="E17" s="415"/>
      <c r="F17" s="415"/>
      <c r="G17" s="415"/>
      <c r="H17" s="36">
        <f>SUM(H12:H16)</f>
        <v>395000</v>
      </c>
      <c r="I17" s="37"/>
      <c r="J17" s="25"/>
      <c r="K17" s="25"/>
      <c r="L17" s="26"/>
      <c r="M17" s="26"/>
    </row>
    <row r="18" spans="1:13" x14ac:dyDescent="0.35">
      <c r="A18" s="26"/>
      <c r="B18" s="26"/>
      <c r="C18" s="26"/>
      <c r="D18" s="26"/>
      <c r="E18" s="26"/>
      <c r="F18" s="26"/>
      <c r="G18" s="26"/>
      <c r="H18" s="26"/>
      <c r="I18" s="38"/>
      <c r="J18" s="26"/>
      <c r="K18" s="26"/>
      <c r="L18" s="26"/>
      <c r="M18" s="26"/>
    </row>
    <row r="19" spans="1:13" x14ac:dyDescent="0.35">
      <c r="A19" s="26"/>
      <c r="B19" s="26" t="s">
        <v>222</v>
      </c>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ht="15" thickBot="1" x14ac:dyDescent="0.4">
      <c r="A22" s="407" t="s">
        <v>66</v>
      </c>
      <c r="B22" s="407"/>
      <c r="C22" s="41"/>
      <c r="D22" s="26"/>
      <c r="E22" s="407" t="s">
        <v>67</v>
      </c>
      <c r="F22" s="407"/>
      <c r="G22" s="408"/>
      <c r="H22" s="408"/>
      <c r="I22" s="28"/>
      <c r="J22" s="28"/>
      <c r="K22" s="28"/>
      <c r="L22" s="39"/>
      <c r="M22" s="40"/>
    </row>
    <row r="23" spans="1:13" x14ac:dyDescent="0.35">
      <c r="A23" s="409" t="s">
        <v>69</v>
      </c>
      <c r="B23" s="409"/>
      <c r="C23" s="29" t="s">
        <v>113</v>
      </c>
      <c r="D23" s="29"/>
      <c r="E23" s="410" t="s">
        <v>70</v>
      </c>
      <c r="F23" s="410"/>
      <c r="G23" s="410" t="s">
        <v>71</v>
      </c>
      <c r="H23" s="410"/>
      <c r="I23" s="29"/>
      <c r="J23" s="29"/>
      <c r="K23" s="29" t="s">
        <v>72</v>
      </c>
      <c r="L23" s="31"/>
      <c r="M23" s="31"/>
    </row>
    <row r="24" spans="1:13" x14ac:dyDescent="0.35">
      <c r="A24" s="413" t="s">
        <v>92</v>
      </c>
      <c r="B24" s="413"/>
      <c r="C24" s="32" t="s">
        <v>7</v>
      </c>
      <c r="D24" s="32"/>
      <c r="E24" s="414" t="s">
        <v>73</v>
      </c>
      <c r="F24" s="414"/>
      <c r="G24" s="414" t="s">
        <v>74</v>
      </c>
      <c r="H24" s="414"/>
      <c r="I24" s="31"/>
      <c r="J24" s="31"/>
      <c r="K24" s="31" t="s">
        <v>75</v>
      </c>
      <c r="L24" s="33"/>
      <c r="M24" s="33"/>
    </row>
    <row r="25" spans="1:13" x14ac:dyDescent="0.35">
      <c r="A25" s="413" t="s">
        <v>94</v>
      </c>
      <c r="B25" s="413"/>
      <c r="C25" s="34" t="s">
        <v>77</v>
      </c>
      <c r="D25" s="34"/>
      <c r="E25" s="414" t="s">
        <v>78</v>
      </c>
      <c r="F25" s="414"/>
      <c r="G25" s="414" t="s">
        <v>79</v>
      </c>
      <c r="H25" s="414"/>
      <c r="I25" s="33"/>
      <c r="J25" s="33"/>
      <c r="K25" s="31" t="s">
        <v>80</v>
      </c>
      <c r="L25" s="34"/>
      <c r="M25" s="34"/>
    </row>
    <row r="26" spans="1:13" x14ac:dyDescent="0.35">
      <c r="A26" s="411" t="s">
        <v>76</v>
      </c>
      <c r="B26" s="411"/>
      <c r="C26" s="34" t="s">
        <v>81</v>
      </c>
      <c r="D26" s="34"/>
      <c r="E26" s="412" t="s">
        <v>76</v>
      </c>
      <c r="F26" s="412"/>
      <c r="G26" s="412" t="s">
        <v>76</v>
      </c>
      <c r="H26" s="412"/>
      <c r="I26" s="33"/>
      <c r="J26" s="33"/>
      <c r="K26" s="33"/>
    </row>
  </sheetData>
  <mergeCells count="34">
    <mergeCell ref="A4:B4"/>
    <mergeCell ref="C4:M4"/>
    <mergeCell ref="A1:M1"/>
    <mergeCell ref="A2:B2"/>
    <mergeCell ref="C2:M2"/>
    <mergeCell ref="A3:B3"/>
    <mergeCell ref="C3:M3"/>
    <mergeCell ref="A17:G17"/>
    <mergeCell ref="A5:B5"/>
    <mergeCell ref="C5:M5"/>
    <mergeCell ref="A6:B6"/>
    <mergeCell ref="C6:M6"/>
    <mergeCell ref="A7:B7"/>
    <mergeCell ref="C7:M7"/>
    <mergeCell ref="A8:B8"/>
    <mergeCell ref="C8:M8"/>
    <mergeCell ref="A9:B9"/>
    <mergeCell ref="C9:M9"/>
    <mergeCell ref="A10:M10"/>
    <mergeCell ref="A22:B22"/>
    <mergeCell ref="E22:F22"/>
    <mergeCell ref="G22:H22"/>
    <mergeCell ref="A23:B23"/>
    <mergeCell ref="E23:F23"/>
    <mergeCell ref="G23:H23"/>
    <mergeCell ref="A26:B26"/>
    <mergeCell ref="E26:F26"/>
    <mergeCell ref="G26:H26"/>
    <mergeCell ref="A24:B24"/>
    <mergeCell ref="E24:F24"/>
    <mergeCell ref="G24:H24"/>
    <mergeCell ref="A25:B25"/>
    <mergeCell ref="E25:F25"/>
    <mergeCell ref="G25:H25"/>
  </mergeCells>
  <pageMargins left="0.25" right="0.25" top="0.75" bottom="0.75" header="0.3" footer="0.3"/>
  <pageSetup scale="74"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2A23-2AD5-46F5-9674-83DA4664B173}">
  <sheetPr codeName="Sheet13">
    <pageSetUpPr fitToPage="1"/>
  </sheetPr>
  <dimension ref="A1:M27"/>
  <sheetViews>
    <sheetView topLeftCell="A4" workbookViewId="0">
      <selection sqref="A1:M27"/>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224</v>
      </c>
      <c r="D3" s="403"/>
      <c r="E3" s="403"/>
      <c r="F3" s="403"/>
      <c r="G3" s="403"/>
      <c r="H3" s="403"/>
      <c r="I3" s="403"/>
      <c r="J3" s="403"/>
      <c r="K3" s="403"/>
      <c r="L3" s="403"/>
      <c r="M3" s="385"/>
    </row>
    <row r="4" spans="1:13" x14ac:dyDescent="0.35">
      <c r="A4" s="384" t="s">
        <v>4</v>
      </c>
      <c r="B4" s="385"/>
      <c r="C4" s="393" t="s">
        <v>240</v>
      </c>
      <c r="D4" s="394"/>
      <c r="E4" s="394"/>
      <c r="F4" s="394"/>
      <c r="G4" s="394"/>
      <c r="H4" s="394"/>
      <c r="I4" s="394"/>
      <c r="J4" s="394"/>
      <c r="K4" s="394"/>
      <c r="L4" s="394"/>
      <c r="M4" s="395"/>
    </row>
    <row r="5" spans="1:13" x14ac:dyDescent="0.35">
      <c r="A5" s="384" t="s">
        <v>5</v>
      </c>
      <c r="B5" s="385"/>
      <c r="C5" s="387">
        <v>45587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H18</f>
        <v>230000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241</v>
      </c>
      <c r="J11" s="3" t="s">
        <v>18</v>
      </c>
      <c r="K11" s="3" t="s">
        <v>19</v>
      </c>
      <c r="L11" s="3" t="s">
        <v>20</v>
      </c>
      <c r="M11" s="3" t="s">
        <v>84</v>
      </c>
    </row>
    <row r="12" spans="1:13" x14ac:dyDescent="0.35">
      <c r="A12" s="5">
        <v>1</v>
      </c>
      <c r="B12" s="14" t="s">
        <v>85</v>
      </c>
      <c r="C12" s="7" t="s">
        <v>86</v>
      </c>
      <c r="D12" s="8" t="s">
        <v>87</v>
      </c>
      <c r="E12" s="5" t="s">
        <v>24</v>
      </c>
      <c r="F12" s="5" t="s">
        <v>44</v>
      </c>
      <c r="G12" s="5">
        <v>35020062</v>
      </c>
      <c r="H12" s="51">
        <v>100000</v>
      </c>
      <c r="I12" s="10">
        <v>96804</v>
      </c>
      <c r="J12" s="10">
        <v>161924</v>
      </c>
      <c r="K12" s="35">
        <v>45566</v>
      </c>
      <c r="L12" s="9">
        <v>100000</v>
      </c>
      <c r="M12" s="48" t="s">
        <v>242</v>
      </c>
    </row>
    <row r="13" spans="1:13" x14ac:dyDescent="0.35">
      <c r="A13" s="5">
        <v>2</v>
      </c>
      <c r="B13" s="14" t="s">
        <v>89</v>
      </c>
      <c r="C13" s="7" t="s">
        <v>86</v>
      </c>
      <c r="D13" s="8" t="s">
        <v>90</v>
      </c>
      <c r="E13" s="5" t="s">
        <v>24</v>
      </c>
      <c r="F13" s="5" t="s">
        <v>44</v>
      </c>
      <c r="G13" s="13">
        <v>40021666</v>
      </c>
      <c r="H13" s="9">
        <v>20000</v>
      </c>
      <c r="I13" s="10">
        <v>65460</v>
      </c>
      <c r="J13" s="10">
        <v>88740</v>
      </c>
      <c r="K13" s="35">
        <v>45566</v>
      </c>
      <c r="L13" s="9">
        <v>30000</v>
      </c>
      <c r="M13" s="48" t="s">
        <v>243</v>
      </c>
    </row>
    <row r="14" spans="1:13" x14ac:dyDescent="0.35">
      <c r="A14" s="5">
        <v>3</v>
      </c>
      <c r="B14" s="14" t="s">
        <v>158</v>
      </c>
      <c r="C14" s="7" t="s">
        <v>86</v>
      </c>
      <c r="D14" s="8">
        <v>269</v>
      </c>
      <c r="E14" s="5" t="s">
        <v>24</v>
      </c>
      <c r="F14" s="5" t="s">
        <v>44</v>
      </c>
      <c r="G14" s="5">
        <v>74023856</v>
      </c>
      <c r="H14" s="9">
        <v>10000</v>
      </c>
      <c r="I14" s="10">
        <v>50883</v>
      </c>
      <c r="J14" s="10">
        <v>112645</v>
      </c>
      <c r="K14" s="35">
        <v>45532</v>
      </c>
      <c r="L14" s="9">
        <v>50000</v>
      </c>
      <c r="M14" s="48" t="s">
        <v>244</v>
      </c>
    </row>
    <row r="15" spans="1:13" x14ac:dyDescent="0.35">
      <c r="A15" s="5">
        <v>4</v>
      </c>
      <c r="B15" s="19" t="s">
        <v>211</v>
      </c>
      <c r="C15" s="20" t="s">
        <v>144</v>
      </c>
      <c r="D15" s="53" t="s">
        <v>146</v>
      </c>
      <c r="E15" s="22" t="s">
        <v>64</v>
      </c>
      <c r="F15" s="5" t="s">
        <v>44</v>
      </c>
      <c r="G15" s="21">
        <v>97017150</v>
      </c>
      <c r="H15" s="9">
        <v>20000</v>
      </c>
      <c r="I15" s="10">
        <v>43219</v>
      </c>
      <c r="J15" s="10">
        <v>30869</v>
      </c>
      <c r="K15" s="35">
        <v>45578</v>
      </c>
      <c r="L15" s="9">
        <v>30000</v>
      </c>
      <c r="M15" s="48" t="s">
        <v>245</v>
      </c>
    </row>
    <row r="16" spans="1:13" x14ac:dyDescent="0.35">
      <c r="A16" s="5">
        <v>5</v>
      </c>
      <c r="B16" s="19" t="s">
        <v>246</v>
      </c>
      <c r="C16" s="20" t="s">
        <v>144</v>
      </c>
      <c r="D16" s="53"/>
      <c r="E16" s="22" t="s">
        <v>247</v>
      </c>
      <c r="F16" s="5" t="s">
        <v>44</v>
      </c>
      <c r="G16" s="21">
        <v>23905383</v>
      </c>
      <c r="H16" s="9">
        <v>30000</v>
      </c>
      <c r="I16" s="10">
        <v>29766</v>
      </c>
      <c r="J16" s="10">
        <v>30077</v>
      </c>
      <c r="K16" s="35">
        <v>45578</v>
      </c>
      <c r="L16" s="9">
        <v>30000</v>
      </c>
      <c r="M16" s="48" t="s">
        <v>248</v>
      </c>
    </row>
    <row r="17" spans="1:13" x14ac:dyDescent="0.35">
      <c r="A17" s="5">
        <v>6</v>
      </c>
      <c r="B17" s="16" t="s">
        <v>95</v>
      </c>
      <c r="C17" s="7" t="s">
        <v>49</v>
      </c>
      <c r="D17" s="8">
        <v>183</v>
      </c>
      <c r="E17" s="5" t="s">
        <v>24</v>
      </c>
      <c r="F17" s="5" t="s">
        <v>25</v>
      </c>
      <c r="G17" s="8">
        <v>10230044268</v>
      </c>
      <c r="H17" s="9">
        <v>50000</v>
      </c>
      <c r="I17" s="10">
        <v>53600</v>
      </c>
      <c r="J17" s="10">
        <v>66497</v>
      </c>
      <c r="K17" s="35">
        <v>45572</v>
      </c>
      <c r="L17" s="9">
        <v>66497</v>
      </c>
      <c r="M17" s="17" t="s">
        <v>213</v>
      </c>
    </row>
    <row r="18" spans="1:13" x14ac:dyDescent="0.35">
      <c r="A18" s="415" t="s">
        <v>8</v>
      </c>
      <c r="B18" s="415"/>
      <c r="C18" s="415"/>
      <c r="D18" s="415"/>
      <c r="E18" s="415"/>
      <c r="F18" s="415"/>
      <c r="G18" s="415"/>
      <c r="H18" s="36">
        <f>SUM(H12:H17)</f>
        <v>230000</v>
      </c>
      <c r="I18" s="37"/>
      <c r="J18" s="25"/>
      <c r="K18" s="25"/>
      <c r="L18" s="26"/>
      <c r="M18" s="26"/>
    </row>
    <row r="19" spans="1:13" x14ac:dyDescent="0.35">
      <c r="A19" s="26"/>
      <c r="B19" s="26"/>
      <c r="C19" s="26"/>
      <c r="D19" s="26"/>
      <c r="E19" s="26"/>
      <c r="F19" s="26"/>
      <c r="G19" s="26"/>
      <c r="H19" s="26"/>
      <c r="I19" s="38"/>
      <c r="J19" s="26"/>
      <c r="K19" s="26"/>
      <c r="L19" s="26"/>
      <c r="M19" s="26"/>
    </row>
    <row r="20" spans="1:13" x14ac:dyDescent="0.35">
      <c r="A20" s="26"/>
      <c r="B20" s="26" t="s">
        <v>249</v>
      </c>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ht="15" thickBot="1" x14ac:dyDescent="0.4">
      <c r="A23" s="407" t="s">
        <v>66</v>
      </c>
      <c r="B23" s="407"/>
      <c r="C23" s="41"/>
      <c r="D23" s="26"/>
      <c r="E23" s="407" t="s">
        <v>67</v>
      </c>
      <c r="F23" s="407"/>
      <c r="G23" s="408"/>
      <c r="H23" s="408"/>
      <c r="I23" s="28"/>
      <c r="J23" s="28"/>
      <c r="K23" s="28"/>
      <c r="L23" s="39"/>
      <c r="M23" s="40"/>
    </row>
    <row r="24" spans="1:13" x14ac:dyDescent="0.35">
      <c r="A24" s="409" t="s">
        <v>69</v>
      </c>
      <c r="B24" s="409"/>
      <c r="C24" s="29" t="s">
        <v>113</v>
      </c>
      <c r="D24" s="29"/>
      <c r="E24" s="410" t="s">
        <v>70</v>
      </c>
      <c r="F24" s="410"/>
      <c r="G24" s="410" t="s">
        <v>71</v>
      </c>
      <c r="H24" s="410"/>
      <c r="I24" s="29"/>
      <c r="J24" s="29"/>
      <c r="K24" s="29" t="s">
        <v>72</v>
      </c>
      <c r="L24" s="31"/>
      <c r="M24" s="31"/>
    </row>
    <row r="25" spans="1:13" x14ac:dyDescent="0.35">
      <c r="A25" s="413" t="s">
        <v>92</v>
      </c>
      <c r="B25" s="413"/>
      <c r="C25" s="32" t="s">
        <v>7</v>
      </c>
      <c r="D25" s="32"/>
      <c r="E25" s="414" t="s">
        <v>73</v>
      </c>
      <c r="F25" s="414"/>
      <c r="G25" s="414" t="s">
        <v>74</v>
      </c>
      <c r="H25" s="414"/>
      <c r="I25" s="31"/>
      <c r="J25" s="31"/>
      <c r="K25" s="31" t="s">
        <v>75</v>
      </c>
      <c r="L25" s="33"/>
      <c r="M25" s="33"/>
    </row>
    <row r="26" spans="1:13" x14ac:dyDescent="0.35">
      <c r="A26" s="413" t="s">
        <v>94</v>
      </c>
      <c r="B26" s="413"/>
      <c r="C26" s="34" t="s">
        <v>77</v>
      </c>
      <c r="D26" s="34"/>
      <c r="E26" s="414" t="s">
        <v>78</v>
      </c>
      <c r="F26" s="414"/>
      <c r="G26" s="414" t="s">
        <v>79</v>
      </c>
      <c r="H26" s="414"/>
      <c r="I26" s="33"/>
      <c r="J26" s="33"/>
      <c r="K26" s="31" t="s">
        <v>80</v>
      </c>
      <c r="L26" s="34"/>
      <c r="M26" s="34"/>
    </row>
    <row r="27" spans="1:13" x14ac:dyDescent="0.35">
      <c r="A27" s="411" t="s">
        <v>76</v>
      </c>
      <c r="B27" s="411"/>
      <c r="C27" s="34" t="s">
        <v>81</v>
      </c>
      <c r="D27" s="34"/>
      <c r="E27" s="412" t="s">
        <v>76</v>
      </c>
      <c r="F27" s="412"/>
      <c r="G27" s="412" t="s">
        <v>76</v>
      </c>
      <c r="H27" s="412"/>
      <c r="I27" s="33"/>
      <c r="J27" s="33"/>
      <c r="K27" s="33"/>
    </row>
  </sheetData>
  <mergeCells count="34">
    <mergeCell ref="A27:B27"/>
    <mergeCell ref="E27:F27"/>
    <mergeCell ref="G27:H27"/>
    <mergeCell ref="A25:B25"/>
    <mergeCell ref="E25:F25"/>
    <mergeCell ref="G25:H25"/>
    <mergeCell ref="A26:B26"/>
    <mergeCell ref="E26:F26"/>
    <mergeCell ref="G26:H26"/>
    <mergeCell ref="A23:B23"/>
    <mergeCell ref="E23:F23"/>
    <mergeCell ref="G23:H23"/>
    <mergeCell ref="A24:B24"/>
    <mergeCell ref="E24:F24"/>
    <mergeCell ref="G24:H24"/>
    <mergeCell ref="A18:G18"/>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1923-C8D1-45A9-A561-29647C64F58F}">
  <sheetPr>
    <pageSetUpPr fitToPage="1"/>
  </sheetPr>
  <dimension ref="A1:M34"/>
  <sheetViews>
    <sheetView topLeftCell="A7" workbookViewId="0">
      <selection sqref="A1:M34"/>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0.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253</v>
      </c>
      <c r="D3" s="403"/>
      <c r="E3" s="403"/>
      <c r="F3" s="403"/>
      <c r="G3" s="403"/>
      <c r="H3" s="403"/>
      <c r="I3" s="403"/>
      <c r="J3" s="403"/>
      <c r="K3" s="403"/>
      <c r="L3" s="403"/>
      <c r="M3" s="385"/>
    </row>
    <row r="4" spans="1:13" x14ac:dyDescent="0.35">
      <c r="A4" s="384" t="s">
        <v>4</v>
      </c>
      <c r="B4" s="385"/>
      <c r="C4" s="393" t="s">
        <v>250</v>
      </c>
      <c r="D4" s="394"/>
      <c r="E4" s="394"/>
      <c r="F4" s="394"/>
      <c r="G4" s="394"/>
      <c r="H4" s="394"/>
      <c r="I4" s="394"/>
      <c r="J4" s="394"/>
      <c r="K4" s="394"/>
      <c r="L4" s="394"/>
      <c r="M4" s="395"/>
    </row>
    <row r="5" spans="1:13" x14ac:dyDescent="0.35">
      <c r="A5" s="384" t="s">
        <v>5</v>
      </c>
      <c r="B5" s="385"/>
      <c r="C5" s="387">
        <v>45622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H19</f>
        <v>286000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241</v>
      </c>
      <c r="J11" s="3" t="s">
        <v>18</v>
      </c>
      <c r="K11" s="3" t="s">
        <v>19</v>
      </c>
      <c r="L11" s="3" t="s">
        <v>20</v>
      </c>
      <c r="M11" s="3" t="s">
        <v>84</v>
      </c>
    </row>
    <row r="12" spans="1:13" x14ac:dyDescent="0.35">
      <c r="A12" s="5">
        <v>1</v>
      </c>
      <c r="B12" s="14" t="s">
        <v>85</v>
      </c>
      <c r="C12" s="7" t="s">
        <v>86</v>
      </c>
      <c r="D12" s="8" t="s">
        <v>87</v>
      </c>
      <c r="E12" s="5" t="s">
        <v>24</v>
      </c>
      <c r="F12" s="5" t="s">
        <v>44</v>
      </c>
      <c r="G12" s="5">
        <v>35020062</v>
      </c>
      <c r="H12" s="51">
        <v>120000</v>
      </c>
      <c r="I12" s="10">
        <v>68572</v>
      </c>
      <c r="J12" s="10">
        <v>142072</v>
      </c>
      <c r="K12" s="35">
        <v>45592</v>
      </c>
      <c r="L12" s="9">
        <v>100000</v>
      </c>
      <c r="M12" s="48" t="s">
        <v>242</v>
      </c>
    </row>
    <row r="13" spans="1:13" x14ac:dyDescent="0.35">
      <c r="A13" s="5">
        <v>2</v>
      </c>
      <c r="B13" s="14" t="s">
        <v>89</v>
      </c>
      <c r="C13" s="7" t="s">
        <v>86</v>
      </c>
      <c r="D13" s="8" t="s">
        <v>90</v>
      </c>
      <c r="E13" s="5" t="s">
        <v>24</v>
      </c>
      <c r="F13" s="5" t="s">
        <v>44</v>
      </c>
      <c r="G13" s="13">
        <v>40021666</v>
      </c>
      <c r="H13" s="9">
        <v>45000</v>
      </c>
      <c r="I13" s="10">
        <v>37275</v>
      </c>
      <c r="J13" s="10">
        <v>76335</v>
      </c>
      <c r="K13" s="35">
        <v>45592</v>
      </c>
      <c r="L13" s="9">
        <v>20000</v>
      </c>
      <c r="M13" s="48" t="s">
        <v>243</v>
      </c>
    </row>
    <row r="14" spans="1:13" x14ac:dyDescent="0.35">
      <c r="A14" s="5">
        <v>3</v>
      </c>
      <c r="B14" s="14" t="s">
        <v>158</v>
      </c>
      <c r="C14" s="7" t="s">
        <v>86</v>
      </c>
      <c r="D14" s="8">
        <v>269</v>
      </c>
      <c r="E14" s="5" t="s">
        <v>24</v>
      </c>
      <c r="F14" s="5" t="s">
        <v>44</v>
      </c>
      <c r="G14" s="5">
        <v>74023856</v>
      </c>
      <c r="H14" s="9">
        <v>40000</v>
      </c>
      <c r="I14" s="10">
        <v>19607</v>
      </c>
      <c r="J14" s="10">
        <v>479571</v>
      </c>
      <c r="K14" s="35">
        <v>45623</v>
      </c>
      <c r="L14" s="9">
        <v>10000</v>
      </c>
      <c r="M14" s="48" t="s">
        <v>244</v>
      </c>
    </row>
    <row r="15" spans="1:13" x14ac:dyDescent="0.35">
      <c r="A15" s="5">
        <v>4</v>
      </c>
      <c r="B15" s="19" t="s">
        <v>211</v>
      </c>
      <c r="C15" s="20" t="s">
        <v>144</v>
      </c>
      <c r="D15" s="53" t="s">
        <v>146</v>
      </c>
      <c r="E15" s="22" t="s">
        <v>64</v>
      </c>
      <c r="F15" s="5" t="s">
        <v>44</v>
      </c>
      <c r="G15" s="21">
        <v>97017150</v>
      </c>
      <c r="H15" s="9">
        <v>15000</v>
      </c>
      <c r="I15" s="10">
        <v>45330</v>
      </c>
      <c r="J15" s="10">
        <v>56382</v>
      </c>
      <c r="K15" s="35">
        <v>45603</v>
      </c>
      <c r="L15" s="9">
        <v>20000</v>
      </c>
      <c r="M15" s="48" t="s">
        <v>245</v>
      </c>
    </row>
    <row r="16" spans="1:13" x14ac:dyDescent="0.35">
      <c r="A16" s="5">
        <v>5</v>
      </c>
      <c r="B16" s="19" t="s">
        <v>246</v>
      </c>
      <c r="C16" s="20" t="s">
        <v>144</v>
      </c>
      <c r="D16" s="53" t="s">
        <v>254</v>
      </c>
      <c r="E16" s="22" t="s">
        <v>247</v>
      </c>
      <c r="F16" s="5" t="s">
        <v>44</v>
      </c>
      <c r="G16" s="21">
        <v>23905383</v>
      </c>
      <c r="H16" s="9">
        <v>10000</v>
      </c>
      <c r="I16" s="10">
        <v>51441</v>
      </c>
      <c r="J16" s="10">
        <v>73441</v>
      </c>
      <c r="K16" s="35">
        <v>45592</v>
      </c>
      <c r="L16" s="9">
        <v>30000</v>
      </c>
      <c r="M16" s="48" t="s">
        <v>248</v>
      </c>
    </row>
    <row r="17" spans="1:13" x14ac:dyDescent="0.35">
      <c r="A17" s="5">
        <v>6</v>
      </c>
      <c r="B17" s="19" t="s">
        <v>255</v>
      </c>
      <c r="C17" s="20" t="s">
        <v>23</v>
      </c>
      <c r="D17" s="53" t="s">
        <v>256</v>
      </c>
      <c r="E17" s="22" t="s">
        <v>247</v>
      </c>
      <c r="F17" s="5" t="s">
        <v>44</v>
      </c>
      <c r="G17" s="53" t="s">
        <v>257</v>
      </c>
      <c r="H17" s="9">
        <v>6000</v>
      </c>
      <c r="I17" s="10"/>
      <c r="J17" s="10"/>
      <c r="K17" s="35"/>
      <c r="L17" s="9"/>
      <c r="M17" s="48" t="s">
        <v>258</v>
      </c>
    </row>
    <row r="18" spans="1:13" x14ac:dyDescent="0.35">
      <c r="A18" s="5">
        <v>7</v>
      </c>
      <c r="B18" s="16" t="s">
        <v>95</v>
      </c>
      <c r="C18" s="7" t="s">
        <v>49</v>
      </c>
      <c r="D18" s="8">
        <v>183</v>
      </c>
      <c r="E18" s="5" t="s">
        <v>24</v>
      </c>
      <c r="F18" s="5" t="s">
        <v>25</v>
      </c>
      <c r="G18" s="8">
        <v>10230044268</v>
      </c>
      <c r="H18" s="9">
        <v>50000</v>
      </c>
      <c r="I18" s="10">
        <v>52700</v>
      </c>
      <c r="J18" s="10">
        <v>65530</v>
      </c>
      <c r="K18" s="35">
        <v>45604</v>
      </c>
      <c r="L18" s="9">
        <v>50000</v>
      </c>
      <c r="M18" s="17" t="s">
        <v>213</v>
      </c>
    </row>
    <row r="19" spans="1:13" x14ac:dyDescent="0.35">
      <c r="A19" s="415" t="s">
        <v>8</v>
      </c>
      <c r="B19" s="415"/>
      <c r="C19" s="415"/>
      <c r="D19" s="415"/>
      <c r="E19" s="415"/>
      <c r="F19" s="415"/>
      <c r="G19" s="415"/>
      <c r="H19" s="36">
        <f>SUM(H12:H18)</f>
        <v>286000</v>
      </c>
      <c r="I19" s="37"/>
      <c r="J19" s="25"/>
      <c r="K19" s="25"/>
      <c r="L19" s="26"/>
      <c r="M19" s="26"/>
    </row>
    <row r="20" spans="1:13" x14ac:dyDescent="0.35">
      <c r="A20" s="26"/>
      <c r="B20" s="26"/>
      <c r="C20" s="26"/>
      <c r="D20" s="26"/>
      <c r="E20" s="26"/>
      <c r="F20" s="26"/>
      <c r="G20" s="26"/>
      <c r="H20" s="26"/>
      <c r="I20" s="38"/>
      <c r="J20" s="26"/>
      <c r="K20" s="26"/>
      <c r="L20" s="26"/>
      <c r="M20" s="26"/>
    </row>
    <row r="21" spans="1:13" x14ac:dyDescent="0.35">
      <c r="A21" s="26"/>
      <c r="B21" s="26" t="s">
        <v>259</v>
      </c>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ht="15" thickBot="1" x14ac:dyDescent="0.4">
      <c r="A30" s="407" t="s">
        <v>66</v>
      </c>
      <c r="B30" s="407"/>
      <c r="C30" s="41"/>
      <c r="D30" s="26"/>
      <c r="E30" s="407" t="s">
        <v>67</v>
      </c>
      <c r="F30" s="407"/>
      <c r="G30" s="408"/>
      <c r="H30" s="408"/>
      <c r="I30" s="28"/>
      <c r="J30" s="28"/>
      <c r="K30" s="28"/>
      <c r="L30" s="39"/>
      <c r="M30" s="40"/>
    </row>
    <row r="31" spans="1:13" x14ac:dyDescent="0.35">
      <c r="A31" s="409" t="s">
        <v>69</v>
      </c>
      <c r="B31" s="409"/>
      <c r="C31" s="29" t="s">
        <v>113</v>
      </c>
      <c r="D31" s="29"/>
      <c r="E31" s="410" t="s">
        <v>70</v>
      </c>
      <c r="F31" s="410"/>
      <c r="G31" s="410" t="s">
        <v>71</v>
      </c>
      <c r="H31" s="410"/>
      <c r="I31" s="29"/>
      <c r="J31" s="29"/>
      <c r="K31" s="29" t="s">
        <v>72</v>
      </c>
      <c r="L31" s="31"/>
      <c r="M31" s="31"/>
    </row>
    <row r="32" spans="1:13" x14ac:dyDescent="0.35">
      <c r="A32" s="413" t="s">
        <v>92</v>
      </c>
      <c r="B32" s="413"/>
      <c r="C32" s="32" t="s">
        <v>7</v>
      </c>
      <c r="D32" s="32"/>
      <c r="E32" s="414" t="s">
        <v>73</v>
      </c>
      <c r="F32" s="414"/>
      <c r="G32" s="414" t="s">
        <v>74</v>
      </c>
      <c r="H32" s="414"/>
      <c r="I32" s="31"/>
      <c r="J32" s="31"/>
      <c r="K32" s="31" t="s">
        <v>75</v>
      </c>
      <c r="L32" s="33"/>
      <c r="M32" s="33"/>
    </row>
    <row r="33" spans="1:13" x14ac:dyDescent="0.35">
      <c r="A33" s="413" t="s">
        <v>94</v>
      </c>
      <c r="B33" s="413"/>
      <c r="C33" s="34" t="s">
        <v>77</v>
      </c>
      <c r="D33" s="34"/>
      <c r="E33" s="414" t="s">
        <v>78</v>
      </c>
      <c r="F33" s="414"/>
      <c r="G33" s="414" t="s">
        <v>79</v>
      </c>
      <c r="H33" s="414"/>
      <c r="I33" s="33"/>
      <c r="J33" s="33"/>
      <c r="K33" s="31" t="s">
        <v>80</v>
      </c>
      <c r="L33" s="34"/>
      <c r="M33" s="34"/>
    </row>
    <row r="34" spans="1:13" x14ac:dyDescent="0.35">
      <c r="A34" s="411" t="s">
        <v>76</v>
      </c>
      <c r="B34" s="411"/>
      <c r="C34" s="34" t="s">
        <v>81</v>
      </c>
      <c r="D34" s="34"/>
      <c r="E34" s="412" t="s">
        <v>76</v>
      </c>
      <c r="F34" s="412"/>
      <c r="G34" s="412" t="s">
        <v>76</v>
      </c>
      <c r="H34" s="412"/>
      <c r="I34" s="33"/>
      <c r="J34" s="33"/>
      <c r="K34" s="33"/>
    </row>
  </sheetData>
  <mergeCells count="34">
    <mergeCell ref="A34:B34"/>
    <mergeCell ref="E34:F34"/>
    <mergeCell ref="G34:H34"/>
    <mergeCell ref="A32:B32"/>
    <mergeCell ref="E32:F32"/>
    <mergeCell ref="G32:H32"/>
    <mergeCell ref="A33:B33"/>
    <mergeCell ref="E33:F33"/>
    <mergeCell ref="G33:H33"/>
    <mergeCell ref="A30:B30"/>
    <mergeCell ref="E30:F30"/>
    <mergeCell ref="G30:H30"/>
    <mergeCell ref="A31:B31"/>
    <mergeCell ref="E31:F31"/>
    <mergeCell ref="G31:H31"/>
    <mergeCell ref="A19:G19"/>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85CF-67DC-431F-BC6D-05D191FAFB0C}">
  <sheetPr>
    <pageSetUpPr fitToPage="1"/>
  </sheetPr>
  <dimension ref="A1:M35"/>
  <sheetViews>
    <sheetView topLeftCell="A5" workbookViewId="0">
      <selection activeCell="F24" sqref="A1:XFD1048576"/>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319</v>
      </c>
      <c r="D3" s="403"/>
      <c r="E3" s="403"/>
      <c r="F3" s="403"/>
      <c r="G3" s="403"/>
      <c r="H3" s="403"/>
      <c r="I3" s="403"/>
      <c r="J3" s="403"/>
      <c r="K3" s="403"/>
      <c r="L3" s="403"/>
      <c r="M3" s="385"/>
    </row>
    <row r="4" spans="1:13" x14ac:dyDescent="0.35">
      <c r="A4" s="384" t="s">
        <v>4</v>
      </c>
      <c r="B4" s="385"/>
      <c r="C4" s="393" t="s">
        <v>147</v>
      </c>
      <c r="D4" s="394"/>
      <c r="E4" s="394"/>
      <c r="F4" s="394"/>
      <c r="G4" s="394"/>
      <c r="H4" s="394"/>
      <c r="I4" s="394"/>
      <c r="J4" s="394"/>
      <c r="K4" s="394"/>
      <c r="L4" s="394"/>
      <c r="M4" s="395"/>
    </row>
    <row r="5" spans="1:13" x14ac:dyDescent="0.35">
      <c r="A5" s="384" t="s">
        <v>5</v>
      </c>
      <c r="B5" s="385"/>
      <c r="C5" s="387">
        <v>45708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317000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323</v>
      </c>
      <c r="J11" s="3" t="s">
        <v>18</v>
      </c>
      <c r="K11" s="3" t="s">
        <v>19</v>
      </c>
      <c r="L11" s="3" t="s">
        <v>20</v>
      </c>
      <c r="M11" s="3" t="s">
        <v>84</v>
      </c>
    </row>
    <row r="12" spans="1:13" x14ac:dyDescent="0.35">
      <c r="A12" s="5">
        <v>1</v>
      </c>
      <c r="B12" s="14" t="s">
        <v>85</v>
      </c>
      <c r="C12" s="7" t="s">
        <v>86</v>
      </c>
      <c r="D12" s="8" t="s">
        <v>87</v>
      </c>
      <c r="E12" s="5" t="s">
        <v>24</v>
      </c>
      <c r="F12" s="5" t="s">
        <v>44</v>
      </c>
      <c r="G12" s="5">
        <v>35020062</v>
      </c>
      <c r="H12" s="51">
        <v>120000</v>
      </c>
      <c r="I12" s="10">
        <v>130029</v>
      </c>
      <c r="J12" s="10">
        <v>228558</v>
      </c>
      <c r="K12" s="35">
        <v>45680</v>
      </c>
      <c r="L12" s="51">
        <v>190000</v>
      </c>
      <c r="M12" s="48" t="s">
        <v>324</v>
      </c>
    </row>
    <row r="13" spans="1:13" x14ac:dyDescent="0.35">
      <c r="A13" s="5">
        <v>2</v>
      </c>
      <c r="B13" s="14" t="s">
        <v>89</v>
      </c>
      <c r="C13" s="7" t="s">
        <v>86</v>
      </c>
      <c r="D13" s="8" t="s">
        <v>90</v>
      </c>
      <c r="E13" s="5" t="s">
        <v>24</v>
      </c>
      <c r="F13" s="5" t="s">
        <v>44</v>
      </c>
      <c r="G13" s="13">
        <v>40021666</v>
      </c>
      <c r="H13" s="9">
        <v>50000</v>
      </c>
      <c r="I13" s="10">
        <v>54627</v>
      </c>
      <c r="J13" s="10">
        <v>102355</v>
      </c>
      <c r="K13" s="35">
        <v>45680</v>
      </c>
      <c r="L13" s="9">
        <v>65000</v>
      </c>
      <c r="M13" s="48" t="s">
        <v>325</v>
      </c>
    </row>
    <row r="14" spans="1:13" ht="58" x14ac:dyDescent="0.35">
      <c r="A14" s="5">
        <v>3</v>
      </c>
      <c r="B14" s="14" t="s">
        <v>158</v>
      </c>
      <c r="C14" s="7" t="s">
        <v>86</v>
      </c>
      <c r="D14" s="8">
        <v>269</v>
      </c>
      <c r="E14" s="5" t="s">
        <v>24</v>
      </c>
      <c r="F14" s="5" t="s">
        <v>44</v>
      </c>
      <c r="G14" s="5"/>
      <c r="H14" s="9">
        <v>20000</v>
      </c>
      <c r="I14" s="10"/>
      <c r="J14" s="10"/>
      <c r="K14" s="35">
        <v>45680</v>
      </c>
      <c r="L14" s="9">
        <v>10000</v>
      </c>
      <c r="M14" s="12" t="s">
        <v>326</v>
      </c>
    </row>
    <row r="15" spans="1:13" x14ac:dyDescent="0.35">
      <c r="A15" s="5">
        <v>4</v>
      </c>
      <c r="B15" s="19" t="s">
        <v>211</v>
      </c>
      <c r="C15" s="20" t="s">
        <v>144</v>
      </c>
      <c r="D15" s="53" t="s">
        <v>146</v>
      </c>
      <c r="E15" s="22" t="s">
        <v>64</v>
      </c>
      <c r="F15" s="5" t="s">
        <v>44</v>
      </c>
      <c r="G15" s="21">
        <v>97017150</v>
      </c>
      <c r="H15" s="9">
        <v>30000</v>
      </c>
      <c r="I15" s="10">
        <v>25079</v>
      </c>
      <c r="J15" s="10">
        <v>53591</v>
      </c>
      <c r="K15" s="35">
        <v>45637</v>
      </c>
      <c r="L15" s="9">
        <v>15000</v>
      </c>
      <c r="M15" s="48" t="s">
        <v>327</v>
      </c>
    </row>
    <row r="16" spans="1:13" x14ac:dyDescent="0.35">
      <c r="A16" s="5">
        <v>5</v>
      </c>
      <c r="B16" s="19" t="s">
        <v>246</v>
      </c>
      <c r="C16" s="20" t="s">
        <v>144</v>
      </c>
      <c r="D16" s="53" t="s">
        <v>254</v>
      </c>
      <c r="E16" s="22" t="s">
        <v>247</v>
      </c>
      <c r="F16" s="5" t="s">
        <v>44</v>
      </c>
      <c r="G16" s="21">
        <v>23905383</v>
      </c>
      <c r="H16" s="9">
        <v>10000</v>
      </c>
      <c r="I16" s="10">
        <v>44965</v>
      </c>
      <c r="J16" s="10">
        <v>76209</v>
      </c>
      <c r="K16" s="35">
        <v>45628</v>
      </c>
      <c r="L16" s="9">
        <v>30000</v>
      </c>
      <c r="M16" s="48" t="s">
        <v>245</v>
      </c>
    </row>
    <row r="17" spans="1:13" x14ac:dyDescent="0.35">
      <c r="A17" s="5">
        <v>6</v>
      </c>
      <c r="B17" s="19" t="s">
        <v>255</v>
      </c>
      <c r="C17" s="20" t="s">
        <v>23</v>
      </c>
      <c r="D17" s="53" t="s">
        <v>256</v>
      </c>
      <c r="E17" s="22" t="s">
        <v>247</v>
      </c>
      <c r="F17" s="5" t="s">
        <v>44</v>
      </c>
      <c r="G17" s="53" t="s">
        <v>257</v>
      </c>
      <c r="H17" s="9">
        <v>7000</v>
      </c>
      <c r="I17" s="10">
        <v>12300</v>
      </c>
      <c r="J17" s="10">
        <v>18930</v>
      </c>
      <c r="K17" s="35">
        <v>45630</v>
      </c>
      <c r="L17" s="9">
        <v>6000</v>
      </c>
      <c r="M17" s="48" t="s">
        <v>258</v>
      </c>
    </row>
    <row r="18" spans="1:13" x14ac:dyDescent="0.35">
      <c r="A18" s="5">
        <v>7</v>
      </c>
      <c r="B18" s="19" t="s">
        <v>261</v>
      </c>
      <c r="C18" s="20" t="s">
        <v>49</v>
      </c>
      <c r="D18" s="53" t="s">
        <v>262</v>
      </c>
      <c r="E18" s="22" t="s">
        <v>247</v>
      </c>
      <c r="F18" s="5" t="s">
        <v>130</v>
      </c>
      <c r="G18" s="53" t="s">
        <v>263</v>
      </c>
      <c r="H18" s="9">
        <v>30000</v>
      </c>
      <c r="I18" s="10">
        <v>34600</v>
      </c>
      <c r="J18" s="10">
        <v>38164</v>
      </c>
      <c r="K18" s="35">
        <v>45638</v>
      </c>
      <c r="L18" s="9">
        <v>30000</v>
      </c>
      <c r="M18" s="48" t="s">
        <v>328</v>
      </c>
    </row>
    <row r="19" spans="1:13" x14ac:dyDescent="0.35">
      <c r="A19" s="5">
        <v>8</v>
      </c>
      <c r="B19" s="16" t="s">
        <v>95</v>
      </c>
      <c r="C19" s="7" t="s">
        <v>49</v>
      </c>
      <c r="D19" s="8">
        <v>183</v>
      </c>
      <c r="E19" s="5" t="s">
        <v>24</v>
      </c>
      <c r="F19" s="5" t="s">
        <v>25</v>
      </c>
      <c r="G19" s="73" t="s">
        <v>279</v>
      </c>
      <c r="H19" s="9">
        <v>50000</v>
      </c>
      <c r="I19" s="10">
        <v>59517</v>
      </c>
      <c r="J19" s="10">
        <v>59517</v>
      </c>
      <c r="K19" s="35">
        <v>45706</v>
      </c>
      <c r="L19" s="9">
        <v>50000</v>
      </c>
      <c r="M19" s="17" t="s">
        <v>213</v>
      </c>
    </row>
    <row r="20" spans="1:13" x14ac:dyDescent="0.35">
      <c r="A20" s="415" t="s">
        <v>8</v>
      </c>
      <c r="B20" s="415"/>
      <c r="C20" s="415"/>
      <c r="D20" s="415"/>
      <c r="E20" s="415"/>
      <c r="F20" s="415"/>
      <c r="G20" s="415"/>
      <c r="H20" s="36">
        <f>SUM(H12:H19)</f>
        <v>317000</v>
      </c>
      <c r="I20" s="37"/>
      <c r="J20" s="25"/>
      <c r="K20" s="25"/>
      <c r="L20" s="26"/>
      <c r="M20" s="26"/>
    </row>
    <row r="21" spans="1:13" x14ac:dyDescent="0.35">
      <c r="A21" s="26"/>
      <c r="B21" s="26"/>
      <c r="C21" s="26"/>
      <c r="D21" s="26"/>
      <c r="E21" s="26"/>
      <c r="F21" s="26"/>
      <c r="G21" s="26"/>
      <c r="H21" s="26"/>
      <c r="I21" s="38"/>
      <c r="J21" s="26"/>
      <c r="K21" s="26"/>
      <c r="L21" s="26"/>
      <c r="M21" s="26"/>
    </row>
    <row r="22" spans="1:13" x14ac:dyDescent="0.35">
      <c r="A22" s="26"/>
      <c r="B22" s="26" t="s">
        <v>329</v>
      </c>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ht="15" thickBot="1" x14ac:dyDescent="0.4">
      <c r="A31" s="407" t="s">
        <v>66</v>
      </c>
      <c r="B31" s="407"/>
      <c r="C31" s="41"/>
      <c r="D31" s="26"/>
      <c r="E31" s="407" t="s">
        <v>67</v>
      </c>
      <c r="F31" s="407"/>
      <c r="G31" s="408"/>
      <c r="H31" s="408"/>
      <c r="I31" s="28"/>
      <c r="J31" s="28"/>
      <c r="K31" s="28"/>
      <c r="L31" s="39"/>
      <c r="M31" s="40"/>
    </row>
    <row r="32" spans="1:13" x14ac:dyDescent="0.35">
      <c r="A32" s="409" t="s">
        <v>69</v>
      </c>
      <c r="B32" s="409"/>
      <c r="C32" s="29" t="s">
        <v>113</v>
      </c>
      <c r="D32" s="29"/>
      <c r="E32" s="410" t="s">
        <v>70</v>
      </c>
      <c r="F32" s="410"/>
      <c r="G32" s="410" t="s">
        <v>71</v>
      </c>
      <c r="H32" s="410"/>
      <c r="I32" s="29"/>
      <c r="J32" s="29"/>
      <c r="K32" s="29" t="s">
        <v>72</v>
      </c>
      <c r="L32" s="31"/>
      <c r="M32" s="31"/>
    </row>
    <row r="33" spans="1:13" x14ac:dyDescent="0.35">
      <c r="A33" s="413" t="s">
        <v>92</v>
      </c>
      <c r="B33" s="413"/>
      <c r="C33" s="32" t="s">
        <v>7</v>
      </c>
      <c r="D33" s="32"/>
      <c r="E33" s="414" t="s">
        <v>73</v>
      </c>
      <c r="F33" s="414"/>
      <c r="G33" s="414" t="s">
        <v>74</v>
      </c>
      <c r="H33" s="414"/>
      <c r="I33" s="31"/>
      <c r="J33" s="31"/>
      <c r="K33" s="31" t="s">
        <v>75</v>
      </c>
      <c r="L33" s="33"/>
      <c r="M33" s="33"/>
    </row>
    <row r="34" spans="1:13" x14ac:dyDescent="0.35">
      <c r="A34" s="413" t="s">
        <v>94</v>
      </c>
      <c r="B34" s="413"/>
      <c r="C34" s="34" t="s">
        <v>77</v>
      </c>
      <c r="D34" s="34"/>
      <c r="E34" s="414" t="s">
        <v>78</v>
      </c>
      <c r="F34" s="414"/>
      <c r="G34" s="414" t="s">
        <v>79</v>
      </c>
      <c r="H34" s="414"/>
      <c r="I34" s="33"/>
      <c r="J34" s="33"/>
      <c r="K34" s="31" t="s">
        <v>80</v>
      </c>
      <c r="L34" s="34"/>
      <c r="M34" s="34"/>
    </row>
    <row r="35" spans="1:13" x14ac:dyDescent="0.35">
      <c r="A35" s="411" t="s">
        <v>76</v>
      </c>
      <c r="B35" s="411"/>
      <c r="C35" s="34" t="s">
        <v>81</v>
      </c>
      <c r="D35" s="34"/>
      <c r="E35" s="412" t="s">
        <v>76</v>
      </c>
      <c r="F35" s="412"/>
      <c r="G35" s="412" t="s">
        <v>76</v>
      </c>
      <c r="H35" s="412"/>
      <c r="I35" s="33"/>
      <c r="J35" s="33"/>
      <c r="K35" s="33"/>
    </row>
  </sheetData>
  <mergeCells count="34">
    <mergeCell ref="A35:B35"/>
    <mergeCell ref="E35:F35"/>
    <mergeCell ref="G35:H35"/>
    <mergeCell ref="A33:B33"/>
    <mergeCell ref="E33:F33"/>
    <mergeCell ref="G33:H33"/>
    <mergeCell ref="A34:B34"/>
    <mergeCell ref="E34:F34"/>
    <mergeCell ref="G34:H34"/>
    <mergeCell ref="A31:B31"/>
    <mergeCell ref="E31:F31"/>
    <mergeCell ref="G31:H31"/>
    <mergeCell ref="A32:B32"/>
    <mergeCell ref="E32:F32"/>
    <mergeCell ref="G32:H32"/>
    <mergeCell ref="A20: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973D-9BCD-480C-9DD5-9717D6F33611}">
  <sheetPr>
    <pageSetUpPr fitToPage="1"/>
  </sheetPr>
  <dimension ref="A1:M48"/>
  <sheetViews>
    <sheetView workbookViewId="0">
      <selection sqref="A1:M37"/>
    </sheetView>
  </sheetViews>
  <sheetFormatPr defaultRowHeight="14.5" x14ac:dyDescent="0.35"/>
  <cols>
    <col min="1" max="1" width="5.81640625" bestFit="1" customWidth="1"/>
    <col min="2" max="2" width="30"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352</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319</v>
      </c>
      <c r="D3" s="403"/>
      <c r="E3" s="403"/>
      <c r="F3" s="403"/>
      <c r="G3" s="403"/>
      <c r="H3" s="403"/>
      <c r="I3" s="403"/>
      <c r="J3" s="403"/>
      <c r="K3" s="403"/>
      <c r="L3" s="403"/>
      <c r="M3" s="385"/>
    </row>
    <row r="4" spans="1:13" x14ac:dyDescent="0.35">
      <c r="A4" s="384" t="s">
        <v>4</v>
      </c>
      <c r="B4" s="385"/>
      <c r="C4" s="393" t="s">
        <v>147</v>
      </c>
      <c r="D4" s="394"/>
      <c r="E4" s="394"/>
      <c r="F4" s="394"/>
      <c r="G4" s="394"/>
      <c r="H4" s="394"/>
      <c r="I4" s="394"/>
      <c r="J4" s="394"/>
      <c r="K4" s="394"/>
      <c r="L4" s="394"/>
      <c r="M4" s="395"/>
    </row>
    <row r="5" spans="1:13" x14ac:dyDescent="0.35">
      <c r="A5" s="384" t="s">
        <v>5</v>
      </c>
      <c r="B5" s="385"/>
      <c r="C5" s="387">
        <v>45739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20030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323</v>
      </c>
      <c r="J11" s="3" t="s">
        <v>18</v>
      </c>
      <c r="K11" s="3" t="s">
        <v>19</v>
      </c>
      <c r="L11" s="3" t="s">
        <v>20</v>
      </c>
      <c r="M11" s="3" t="s">
        <v>84</v>
      </c>
    </row>
    <row r="12" spans="1:13" x14ac:dyDescent="0.35">
      <c r="A12" s="5">
        <v>1</v>
      </c>
      <c r="B12" s="14" t="s">
        <v>85</v>
      </c>
      <c r="C12" s="7" t="s">
        <v>86</v>
      </c>
      <c r="D12" s="8" t="s">
        <v>87</v>
      </c>
      <c r="E12" s="5" t="s">
        <v>24</v>
      </c>
      <c r="F12" s="5" t="s">
        <v>44</v>
      </c>
      <c r="G12" s="5">
        <v>35020062</v>
      </c>
      <c r="H12" s="51">
        <v>20030</v>
      </c>
      <c r="I12" s="10">
        <v>130029</v>
      </c>
      <c r="J12" s="10">
        <v>228558</v>
      </c>
      <c r="K12" s="35">
        <v>45680</v>
      </c>
      <c r="L12" s="51">
        <v>190000</v>
      </c>
      <c r="M12" s="48" t="s">
        <v>324</v>
      </c>
    </row>
    <row r="13" spans="1:13" x14ac:dyDescent="0.35">
      <c r="A13" s="415" t="s">
        <v>8</v>
      </c>
      <c r="B13" s="415"/>
      <c r="C13" s="415"/>
      <c r="D13" s="415"/>
      <c r="E13" s="415"/>
      <c r="F13" s="415"/>
      <c r="G13" s="415"/>
      <c r="H13" s="36">
        <f>SUM(H12:H12)</f>
        <v>20030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351</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454" t="s">
        <v>350</v>
      </c>
      <c r="C17" s="454"/>
      <c r="D17" s="454"/>
      <c r="E17" s="454"/>
      <c r="F17" s="454"/>
      <c r="G17" s="26"/>
      <c r="H17" s="26"/>
      <c r="I17" s="38"/>
      <c r="J17" s="26"/>
      <c r="K17" s="26"/>
      <c r="L17" s="26"/>
      <c r="M17" s="26"/>
    </row>
    <row r="18" spans="1:13" x14ac:dyDescent="0.35">
      <c r="A18" s="26"/>
      <c r="B18" s="454"/>
      <c r="C18" s="454"/>
      <c r="D18" s="454"/>
      <c r="E18" s="454"/>
      <c r="F18" s="454"/>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407" t="s">
        <v>66</v>
      </c>
      <c r="B24" s="407"/>
      <c r="C24" s="26"/>
      <c r="D24" s="26"/>
      <c r="E24" s="407" t="s">
        <v>67</v>
      </c>
      <c r="F24" s="407"/>
      <c r="G24" s="408"/>
      <c r="H24" s="408"/>
      <c r="I24" s="28"/>
      <c r="J24" s="28"/>
      <c r="K24" s="28"/>
      <c r="L24" s="39"/>
      <c r="M24" s="40"/>
    </row>
    <row r="25" spans="1:13" x14ac:dyDescent="0.35">
      <c r="A25" s="409" t="s">
        <v>69</v>
      </c>
      <c r="B25" s="409"/>
      <c r="D25" s="29"/>
      <c r="E25" s="410" t="s">
        <v>70</v>
      </c>
      <c r="F25" s="410"/>
      <c r="G25" s="410" t="s">
        <v>71</v>
      </c>
      <c r="H25" s="410"/>
      <c r="I25" s="29"/>
      <c r="J25" s="29"/>
      <c r="K25" s="29" t="s">
        <v>72</v>
      </c>
      <c r="L25" s="31"/>
      <c r="M25" s="31"/>
    </row>
    <row r="26" spans="1:13" x14ac:dyDescent="0.35">
      <c r="A26" s="413" t="s">
        <v>92</v>
      </c>
      <c r="B26" s="413"/>
      <c r="D26" s="32"/>
      <c r="E26" s="414" t="s">
        <v>73</v>
      </c>
      <c r="F26" s="414"/>
      <c r="G26" s="414" t="s">
        <v>74</v>
      </c>
      <c r="H26" s="414"/>
      <c r="I26" s="31"/>
      <c r="J26" s="31"/>
      <c r="K26" s="31" t="s">
        <v>75</v>
      </c>
      <c r="L26" s="33"/>
      <c r="M26" s="33"/>
    </row>
    <row r="27" spans="1:13" x14ac:dyDescent="0.35">
      <c r="A27" s="413" t="s">
        <v>94</v>
      </c>
      <c r="B27" s="413"/>
      <c r="D27" s="34"/>
      <c r="E27" s="414" t="s">
        <v>78</v>
      </c>
      <c r="F27" s="414"/>
      <c r="G27" s="414" t="s">
        <v>79</v>
      </c>
      <c r="H27" s="414"/>
      <c r="I27" s="33"/>
      <c r="J27" s="33"/>
      <c r="K27" s="31" t="s">
        <v>80</v>
      </c>
      <c r="L27" s="34"/>
      <c r="M27" s="34"/>
    </row>
    <row r="28" spans="1:13" x14ac:dyDescent="0.35">
      <c r="A28" s="411" t="s">
        <v>76</v>
      </c>
      <c r="B28" s="411"/>
      <c r="D28" s="34"/>
      <c r="E28" s="412" t="s">
        <v>76</v>
      </c>
      <c r="F28" s="412"/>
      <c r="G28" s="412" t="s">
        <v>76</v>
      </c>
      <c r="H28" s="412"/>
      <c r="I28" s="33"/>
      <c r="J28" s="33"/>
      <c r="K28" s="33"/>
    </row>
    <row r="34" spans="2:2" x14ac:dyDescent="0.35">
      <c r="B34" s="110" t="s">
        <v>282</v>
      </c>
    </row>
    <row r="35" spans="2:2" x14ac:dyDescent="0.35">
      <c r="B35" s="32" t="s">
        <v>7</v>
      </c>
    </row>
    <row r="36" spans="2:2" x14ac:dyDescent="0.35">
      <c r="B36" s="34" t="s">
        <v>77</v>
      </c>
    </row>
    <row r="37" spans="2:2" x14ac:dyDescent="0.35">
      <c r="B37" s="34" t="s">
        <v>81</v>
      </c>
    </row>
    <row r="42" spans="2:2" ht="15" thickBot="1" x14ac:dyDescent="0.4"/>
    <row r="43" spans="2:2" ht="15.5" thickTop="1" thickBot="1" x14ac:dyDescent="0.4">
      <c r="B43" s="56" t="s">
        <v>139</v>
      </c>
    </row>
    <row r="44" spans="2:2" ht="15" thickTop="1" x14ac:dyDescent="0.35">
      <c r="B44" s="54" t="s">
        <v>143</v>
      </c>
    </row>
    <row r="45" spans="2:2" x14ac:dyDescent="0.35">
      <c r="B45" s="54" t="s">
        <v>142</v>
      </c>
    </row>
    <row r="46" spans="2:2" x14ac:dyDescent="0.35">
      <c r="B46" s="54" t="s">
        <v>140</v>
      </c>
    </row>
    <row r="47" spans="2:2" ht="15" thickBot="1" x14ac:dyDescent="0.4">
      <c r="B47" s="55" t="s">
        <v>141</v>
      </c>
    </row>
    <row r="48" spans="2:2" ht="15" thickTop="1" x14ac:dyDescent="0.35"/>
  </sheetData>
  <mergeCells count="35">
    <mergeCell ref="A28:B28"/>
    <mergeCell ref="E28:F28"/>
    <mergeCell ref="G28:H28"/>
    <mergeCell ref="B17:F18"/>
    <mergeCell ref="A26:B26"/>
    <mergeCell ref="E26:F26"/>
    <mergeCell ref="G26:H26"/>
    <mergeCell ref="A27:B27"/>
    <mergeCell ref="E27:F27"/>
    <mergeCell ref="G27:H27"/>
    <mergeCell ref="A24:B24"/>
    <mergeCell ref="E24:F24"/>
    <mergeCell ref="G24:H24"/>
    <mergeCell ref="A25:B25"/>
    <mergeCell ref="E25:F25"/>
    <mergeCell ref="G25:H25"/>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68"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3A991-DB19-4C13-8B24-A1F8DB3BF432}">
  <sheetPr>
    <pageSetUpPr fitToPage="1"/>
  </sheetPr>
  <dimension ref="A1:M37"/>
  <sheetViews>
    <sheetView topLeftCell="A8" workbookViewId="0">
      <selection sqref="A1:M37"/>
    </sheetView>
  </sheetViews>
  <sheetFormatPr defaultRowHeight="14.5" x14ac:dyDescent="0.35"/>
  <cols>
    <col min="1" max="1" width="5.81640625" bestFit="1" customWidth="1"/>
    <col min="2" max="2" width="30"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8.5" customHeight="1" x14ac:dyDescent="0.35">
      <c r="A1" s="402" t="s">
        <v>354</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319</v>
      </c>
      <c r="D3" s="403"/>
      <c r="E3" s="403"/>
      <c r="F3" s="403"/>
      <c r="G3" s="403"/>
      <c r="H3" s="403"/>
      <c r="I3" s="403"/>
      <c r="J3" s="403"/>
      <c r="K3" s="403"/>
      <c r="L3" s="403"/>
      <c r="M3" s="385"/>
    </row>
    <row r="4" spans="1:13" x14ac:dyDescent="0.35">
      <c r="A4" s="384" t="s">
        <v>4</v>
      </c>
      <c r="B4" s="385"/>
      <c r="C4" s="393" t="s">
        <v>147</v>
      </c>
      <c r="D4" s="394"/>
      <c r="E4" s="394"/>
      <c r="F4" s="394"/>
      <c r="G4" s="394"/>
      <c r="H4" s="394"/>
      <c r="I4" s="394"/>
      <c r="J4" s="394"/>
      <c r="K4" s="394"/>
      <c r="L4" s="394"/>
      <c r="M4" s="395"/>
    </row>
    <row r="5" spans="1:13" x14ac:dyDescent="0.35">
      <c r="A5" s="384" t="s">
        <v>5</v>
      </c>
      <c r="B5" s="385"/>
      <c r="C5" s="387">
        <v>45739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323</v>
      </c>
      <c r="J11" s="3" t="s">
        <v>18</v>
      </c>
      <c r="K11" s="3" t="s">
        <v>19</v>
      </c>
      <c r="L11" s="3" t="s">
        <v>20</v>
      </c>
      <c r="M11" s="3" t="s">
        <v>84</v>
      </c>
    </row>
    <row r="12" spans="1:13" x14ac:dyDescent="0.35">
      <c r="A12" s="5">
        <v>1</v>
      </c>
      <c r="B12" s="14" t="s">
        <v>85</v>
      </c>
      <c r="C12" s="7" t="s">
        <v>86</v>
      </c>
      <c r="D12" s="8" t="s">
        <v>87</v>
      </c>
      <c r="E12" s="5" t="s">
        <v>24</v>
      </c>
      <c r="F12" s="5" t="s">
        <v>44</v>
      </c>
      <c r="G12" s="5">
        <v>35020062</v>
      </c>
      <c r="H12" s="51">
        <v>100000</v>
      </c>
      <c r="I12" s="10">
        <v>130029</v>
      </c>
      <c r="J12" s="10">
        <v>228558</v>
      </c>
      <c r="K12" s="35">
        <v>45680</v>
      </c>
      <c r="L12" s="51">
        <v>190000</v>
      </c>
      <c r="M12" s="48" t="s">
        <v>324</v>
      </c>
    </row>
    <row r="13" spans="1:13" x14ac:dyDescent="0.35">
      <c r="A13" s="415" t="s">
        <v>8</v>
      </c>
      <c r="B13" s="415"/>
      <c r="C13" s="415"/>
      <c r="D13" s="415"/>
      <c r="E13" s="415"/>
      <c r="F13" s="415"/>
      <c r="G13" s="415"/>
      <c r="H13" s="36">
        <f>SUM(H12:H12)</f>
        <v>100000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353</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455"/>
      <c r="C17" s="455"/>
      <c r="D17" s="455"/>
      <c r="E17" s="455"/>
      <c r="F17" s="455"/>
      <c r="G17" s="26"/>
      <c r="H17" s="26"/>
      <c r="I17" s="38"/>
      <c r="J17" s="26"/>
      <c r="K17" s="26"/>
      <c r="L17" s="26"/>
      <c r="M17" s="26"/>
    </row>
    <row r="18" spans="1:13" x14ac:dyDescent="0.35">
      <c r="A18" s="26"/>
      <c r="B18" s="455"/>
      <c r="C18" s="455"/>
      <c r="D18" s="455"/>
      <c r="E18" s="455"/>
      <c r="F18" s="455"/>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407" t="s">
        <v>66</v>
      </c>
      <c r="B24" s="407"/>
      <c r="C24" s="26"/>
      <c r="D24" s="26"/>
      <c r="E24" s="407" t="s">
        <v>67</v>
      </c>
      <c r="F24" s="407"/>
      <c r="G24" s="408"/>
      <c r="H24" s="408"/>
      <c r="I24" s="28"/>
      <c r="J24" s="28"/>
      <c r="K24" s="28"/>
      <c r="L24" s="39"/>
      <c r="M24" s="40"/>
    </row>
    <row r="25" spans="1:13" x14ac:dyDescent="0.35">
      <c r="A25" s="409" t="s">
        <v>69</v>
      </c>
      <c r="B25" s="409"/>
      <c r="D25" s="29"/>
      <c r="E25" s="410" t="s">
        <v>70</v>
      </c>
      <c r="F25" s="410"/>
      <c r="G25" s="410" t="s">
        <v>71</v>
      </c>
      <c r="H25" s="410"/>
      <c r="I25" s="29"/>
      <c r="J25" s="29"/>
      <c r="K25" s="29" t="s">
        <v>72</v>
      </c>
      <c r="L25" s="31"/>
      <c r="M25" s="31"/>
    </row>
    <row r="26" spans="1:13" x14ac:dyDescent="0.35">
      <c r="A26" s="413" t="s">
        <v>92</v>
      </c>
      <c r="B26" s="413"/>
      <c r="D26" s="32"/>
      <c r="E26" s="414" t="s">
        <v>73</v>
      </c>
      <c r="F26" s="414"/>
      <c r="G26" s="414" t="s">
        <v>74</v>
      </c>
      <c r="H26" s="414"/>
      <c r="I26" s="31"/>
      <c r="J26" s="31"/>
      <c r="K26" s="31" t="s">
        <v>75</v>
      </c>
      <c r="L26" s="33"/>
      <c r="M26" s="33"/>
    </row>
    <row r="27" spans="1:13" x14ac:dyDescent="0.35">
      <c r="A27" s="413" t="s">
        <v>94</v>
      </c>
      <c r="B27" s="413"/>
      <c r="D27" s="34"/>
      <c r="E27" s="414" t="s">
        <v>78</v>
      </c>
      <c r="F27" s="414"/>
      <c r="G27" s="414" t="s">
        <v>79</v>
      </c>
      <c r="H27" s="414"/>
      <c r="I27" s="33"/>
      <c r="J27" s="33"/>
      <c r="K27" s="31" t="s">
        <v>80</v>
      </c>
      <c r="L27" s="34"/>
      <c r="M27" s="34"/>
    </row>
    <row r="28" spans="1:13" x14ac:dyDescent="0.35">
      <c r="A28" s="411" t="s">
        <v>76</v>
      </c>
      <c r="B28" s="411"/>
      <c r="D28" s="34"/>
      <c r="E28" s="412" t="s">
        <v>76</v>
      </c>
      <c r="F28" s="412"/>
      <c r="G28" s="412" t="s">
        <v>76</v>
      </c>
      <c r="H28" s="412"/>
      <c r="I28" s="33"/>
      <c r="J28" s="33"/>
      <c r="K28" s="33"/>
    </row>
    <row r="34" spans="2:2" x14ac:dyDescent="0.35">
      <c r="B34" s="110" t="s">
        <v>282</v>
      </c>
    </row>
    <row r="35" spans="2:2" x14ac:dyDescent="0.35">
      <c r="B35" s="32" t="s">
        <v>7</v>
      </c>
    </row>
    <row r="36" spans="2:2" x14ac:dyDescent="0.35">
      <c r="B36" s="34" t="s">
        <v>77</v>
      </c>
    </row>
    <row r="37" spans="2:2" x14ac:dyDescent="0.35">
      <c r="B37" s="34" t="s">
        <v>81</v>
      </c>
    </row>
  </sheetData>
  <mergeCells count="35">
    <mergeCell ref="A28:B28"/>
    <mergeCell ref="E28:F28"/>
    <mergeCell ref="G28:H28"/>
    <mergeCell ref="A26:B26"/>
    <mergeCell ref="E26:F26"/>
    <mergeCell ref="G26:H26"/>
    <mergeCell ref="A27:B27"/>
    <mergeCell ref="E27:F27"/>
    <mergeCell ref="G27:H27"/>
    <mergeCell ref="B17:F18"/>
    <mergeCell ref="A24:B24"/>
    <mergeCell ref="E24:F24"/>
    <mergeCell ref="G24:H24"/>
    <mergeCell ref="A25:B25"/>
    <mergeCell ref="E25:F25"/>
    <mergeCell ref="G25:H25"/>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1"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1D1-BC2F-42D5-A55E-0B52339C881B}">
  <sheetPr>
    <pageSetUpPr fitToPage="1"/>
  </sheetPr>
  <dimension ref="A1:M44"/>
  <sheetViews>
    <sheetView topLeftCell="A6" workbookViewId="0">
      <selection sqref="A1:M44"/>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337</v>
      </c>
      <c r="D3" s="403"/>
      <c r="E3" s="403"/>
      <c r="F3" s="403"/>
      <c r="G3" s="403"/>
      <c r="H3" s="403"/>
      <c r="I3" s="403"/>
      <c r="J3" s="403"/>
      <c r="K3" s="403"/>
      <c r="L3" s="403"/>
      <c r="M3" s="385"/>
    </row>
    <row r="4" spans="1:13" x14ac:dyDescent="0.35">
      <c r="A4" s="384" t="s">
        <v>4</v>
      </c>
      <c r="B4" s="385"/>
      <c r="C4" s="393" t="s">
        <v>338</v>
      </c>
      <c r="D4" s="394"/>
      <c r="E4" s="394"/>
      <c r="F4" s="394"/>
      <c r="G4" s="394"/>
      <c r="H4" s="394"/>
      <c r="I4" s="394"/>
      <c r="J4" s="394"/>
      <c r="K4" s="394"/>
      <c r="L4" s="394"/>
      <c r="M4" s="395"/>
    </row>
    <row r="5" spans="1:13" x14ac:dyDescent="0.35">
      <c r="A5" s="384" t="s">
        <v>5</v>
      </c>
      <c r="B5" s="385"/>
      <c r="C5" s="387">
        <v>45733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462000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340</v>
      </c>
      <c r="J11" s="3" t="s">
        <v>18</v>
      </c>
      <c r="K11" s="3" t="s">
        <v>19</v>
      </c>
      <c r="L11" s="3" t="s">
        <v>20</v>
      </c>
      <c r="M11" s="3" t="s">
        <v>84</v>
      </c>
    </row>
    <row r="12" spans="1:13" x14ac:dyDescent="0.35">
      <c r="A12" s="5">
        <v>1</v>
      </c>
      <c r="B12" s="14" t="s">
        <v>85</v>
      </c>
      <c r="C12" s="7" t="s">
        <v>86</v>
      </c>
      <c r="D12" s="8" t="s">
        <v>87</v>
      </c>
      <c r="E12" s="5" t="s">
        <v>24</v>
      </c>
      <c r="F12" s="5" t="s">
        <v>44</v>
      </c>
      <c r="G12" s="5">
        <v>35020062</v>
      </c>
      <c r="H12" s="51">
        <v>130000</v>
      </c>
      <c r="I12" s="10">
        <v>130580</v>
      </c>
      <c r="J12" s="10">
        <v>219087</v>
      </c>
      <c r="K12" s="35">
        <v>45712</v>
      </c>
      <c r="L12" s="51">
        <v>120000</v>
      </c>
      <c r="M12" s="48" t="s">
        <v>341</v>
      </c>
    </row>
    <row r="13" spans="1:13" x14ac:dyDescent="0.35">
      <c r="A13" s="5">
        <v>2</v>
      </c>
      <c r="B13" s="14" t="s">
        <v>89</v>
      </c>
      <c r="C13" s="7" t="s">
        <v>86</v>
      </c>
      <c r="D13" s="8" t="s">
        <v>90</v>
      </c>
      <c r="E13" s="5" t="s">
        <v>24</v>
      </c>
      <c r="F13" s="5" t="s">
        <v>44</v>
      </c>
      <c r="G13" s="13">
        <v>40021666</v>
      </c>
      <c r="H13" s="9">
        <v>60000</v>
      </c>
      <c r="I13" s="10">
        <v>55019</v>
      </c>
      <c r="J13" s="10">
        <v>89421</v>
      </c>
      <c r="K13" s="35">
        <v>45712</v>
      </c>
      <c r="L13" s="9">
        <v>50000</v>
      </c>
      <c r="M13" s="48" t="s">
        <v>325</v>
      </c>
    </row>
    <row r="14" spans="1:13" x14ac:dyDescent="0.35">
      <c r="A14" s="5">
        <v>3</v>
      </c>
      <c r="B14" s="14" t="s">
        <v>158</v>
      </c>
      <c r="C14" s="7" t="s">
        <v>86</v>
      </c>
      <c r="D14" s="8">
        <v>269</v>
      </c>
      <c r="E14" s="5" t="s">
        <v>24</v>
      </c>
      <c r="F14" s="5" t="s">
        <v>44</v>
      </c>
      <c r="G14" s="5">
        <v>74023856</v>
      </c>
      <c r="H14" s="9">
        <v>130000</v>
      </c>
      <c r="I14" s="10">
        <v>8355</v>
      </c>
      <c r="J14" s="10">
        <v>37633</v>
      </c>
      <c r="K14" s="35">
        <v>45712</v>
      </c>
      <c r="L14" s="9">
        <v>20000</v>
      </c>
      <c r="M14" s="12" t="s">
        <v>342</v>
      </c>
    </row>
    <row r="15" spans="1:13" x14ac:dyDescent="0.35">
      <c r="A15" s="5">
        <v>4</v>
      </c>
      <c r="B15" s="19" t="s">
        <v>211</v>
      </c>
      <c r="C15" s="20" t="s">
        <v>144</v>
      </c>
      <c r="D15" s="53" t="s">
        <v>146</v>
      </c>
      <c r="E15" s="22" t="s">
        <v>64</v>
      </c>
      <c r="F15" s="5" t="s">
        <v>44</v>
      </c>
      <c r="G15" s="21">
        <v>97017150</v>
      </c>
      <c r="H15" s="9">
        <v>15000</v>
      </c>
      <c r="I15" s="10">
        <v>38658</v>
      </c>
      <c r="J15" s="10">
        <v>44453</v>
      </c>
      <c r="K15" s="35">
        <v>45727</v>
      </c>
      <c r="L15" s="9">
        <v>30000</v>
      </c>
      <c r="M15" s="48" t="s">
        <v>327</v>
      </c>
    </row>
    <row r="16" spans="1:13" x14ac:dyDescent="0.35">
      <c r="A16" s="5">
        <v>5</v>
      </c>
      <c r="B16" s="19" t="s">
        <v>246</v>
      </c>
      <c r="C16" s="20" t="s">
        <v>144</v>
      </c>
      <c r="D16" s="53" t="s">
        <v>254</v>
      </c>
      <c r="E16" s="22" t="s">
        <v>247</v>
      </c>
      <c r="F16" s="5" t="s">
        <v>44</v>
      </c>
      <c r="G16" s="21">
        <v>23905383</v>
      </c>
      <c r="H16" s="9">
        <v>15000</v>
      </c>
      <c r="I16" s="10">
        <v>30065</v>
      </c>
      <c r="J16" s="10">
        <v>76209</v>
      </c>
      <c r="K16" s="35">
        <v>45712</v>
      </c>
      <c r="L16" s="9">
        <v>10000</v>
      </c>
      <c r="M16" s="48" t="s">
        <v>245</v>
      </c>
    </row>
    <row r="17" spans="1:13" x14ac:dyDescent="0.35">
      <c r="A17" s="5">
        <v>6</v>
      </c>
      <c r="B17" s="19" t="s">
        <v>255</v>
      </c>
      <c r="C17" s="20" t="s">
        <v>23</v>
      </c>
      <c r="D17" s="53" t="s">
        <v>256</v>
      </c>
      <c r="E17" s="22" t="s">
        <v>247</v>
      </c>
      <c r="F17" s="5" t="s">
        <v>44</v>
      </c>
      <c r="G17" s="53" t="s">
        <v>257</v>
      </c>
      <c r="H17" s="9">
        <v>22000</v>
      </c>
      <c r="I17" s="10">
        <v>6984</v>
      </c>
      <c r="J17" s="10">
        <v>7784</v>
      </c>
      <c r="K17" s="35">
        <v>45728</v>
      </c>
      <c r="L17" s="9">
        <v>7000</v>
      </c>
      <c r="M17" s="48" t="s">
        <v>96</v>
      </c>
    </row>
    <row r="18" spans="1:13" x14ac:dyDescent="0.35">
      <c r="A18" s="5">
        <v>7</v>
      </c>
      <c r="B18" s="19" t="s">
        <v>261</v>
      </c>
      <c r="C18" s="20" t="s">
        <v>49</v>
      </c>
      <c r="D18" s="53" t="s">
        <v>262</v>
      </c>
      <c r="E18" s="22" t="s">
        <v>247</v>
      </c>
      <c r="F18" s="5" t="s">
        <v>130</v>
      </c>
      <c r="G18" s="53" t="s">
        <v>263</v>
      </c>
      <c r="H18" s="9">
        <v>30000</v>
      </c>
      <c r="I18" s="10">
        <v>45346</v>
      </c>
      <c r="J18" s="10">
        <v>45346</v>
      </c>
      <c r="K18" s="35">
        <v>45733</v>
      </c>
      <c r="L18" s="9">
        <v>30000</v>
      </c>
      <c r="M18" s="48" t="s">
        <v>328</v>
      </c>
    </row>
    <row r="19" spans="1:13" x14ac:dyDescent="0.35">
      <c r="A19" s="5">
        <v>8</v>
      </c>
      <c r="B19" s="16" t="s">
        <v>95</v>
      </c>
      <c r="C19" s="7" t="s">
        <v>49</v>
      </c>
      <c r="D19" s="8">
        <v>183</v>
      </c>
      <c r="E19" s="5" t="s">
        <v>24</v>
      </c>
      <c r="F19" s="5" t="s">
        <v>25</v>
      </c>
      <c r="G19" s="73" t="s">
        <v>279</v>
      </c>
      <c r="H19" s="9">
        <v>60000</v>
      </c>
      <c r="I19" s="10">
        <v>59517</v>
      </c>
      <c r="J19" s="10">
        <v>59517</v>
      </c>
      <c r="K19" s="35">
        <v>45733</v>
      </c>
      <c r="L19" s="9">
        <v>50000</v>
      </c>
      <c r="M19" s="17" t="s">
        <v>213</v>
      </c>
    </row>
    <row r="20" spans="1:13" x14ac:dyDescent="0.35">
      <c r="A20" s="415" t="s">
        <v>8</v>
      </c>
      <c r="B20" s="415"/>
      <c r="C20" s="415"/>
      <c r="D20" s="415"/>
      <c r="E20" s="415"/>
      <c r="F20" s="415"/>
      <c r="G20" s="415"/>
      <c r="H20" s="36">
        <f>SUM(H12:H19)</f>
        <v>462000</v>
      </c>
      <c r="I20" s="37"/>
      <c r="J20" s="25"/>
      <c r="K20" s="25"/>
      <c r="L20" s="26"/>
      <c r="M20" s="26"/>
    </row>
    <row r="21" spans="1:13" x14ac:dyDescent="0.35">
      <c r="A21" s="26"/>
      <c r="B21" s="26"/>
      <c r="C21" s="26"/>
      <c r="D21" s="26"/>
      <c r="E21" s="26"/>
      <c r="F21" s="26"/>
      <c r="G21" s="26"/>
      <c r="H21" s="26"/>
      <c r="I21" s="38"/>
      <c r="J21" s="26"/>
      <c r="K21" s="26"/>
      <c r="L21" s="26"/>
      <c r="M21" s="26"/>
    </row>
    <row r="22" spans="1:13" x14ac:dyDescent="0.35">
      <c r="A22" s="26"/>
      <c r="B22" s="26" t="s">
        <v>343</v>
      </c>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407" t="s">
        <v>66</v>
      </c>
      <c r="B31" s="407"/>
      <c r="C31" s="26"/>
      <c r="D31" s="26"/>
      <c r="E31" s="407" t="s">
        <v>67</v>
      </c>
      <c r="F31" s="407"/>
      <c r="G31" s="408"/>
      <c r="H31" s="408"/>
      <c r="I31" s="28"/>
      <c r="J31" s="28"/>
      <c r="K31" s="28"/>
      <c r="L31" s="39"/>
      <c r="M31" s="40"/>
    </row>
    <row r="32" spans="1:13" x14ac:dyDescent="0.35">
      <c r="A32" s="421" t="s">
        <v>69</v>
      </c>
      <c r="B32" s="421"/>
      <c r="D32" s="29"/>
      <c r="E32" s="410" t="s">
        <v>70</v>
      </c>
      <c r="F32" s="410"/>
      <c r="G32" s="410" t="s">
        <v>71</v>
      </c>
      <c r="H32" s="410"/>
      <c r="I32" s="29"/>
      <c r="J32" s="29"/>
      <c r="K32" s="29" t="s">
        <v>72</v>
      </c>
      <c r="L32" s="31"/>
      <c r="M32" s="31"/>
    </row>
    <row r="33" spans="1:13" x14ac:dyDescent="0.35">
      <c r="A33" s="414" t="s">
        <v>92</v>
      </c>
      <c r="B33" s="414"/>
      <c r="D33" s="32"/>
      <c r="E33" s="414" t="s">
        <v>73</v>
      </c>
      <c r="F33" s="414"/>
      <c r="G33" s="414" t="s">
        <v>74</v>
      </c>
      <c r="H33" s="414"/>
      <c r="I33" s="31"/>
      <c r="J33" s="31"/>
      <c r="K33" s="31" t="s">
        <v>75</v>
      </c>
      <c r="L33" s="33"/>
      <c r="M33" s="33"/>
    </row>
    <row r="34" spans="1:13" x14ac:dyDescent="0.35">
      <c r="A34" s="414" t="s">
        <v>94</v>
      </c>
      <c r="B34" s="414"/>
      <c r="D34" s="34"/>
      <c r="E34" s="414" t="s">
        <v>78</v>
      </c>
      <c r="F34" s="414"/>
      <c r="G34" s="414" t="s">
        <v>79</v>
      </c>
      <c r="H34" s="414"/>
      <c r="I34" s="33"/>
      <c r="J34" s="33"/>
      <c r="K34" s="31" t="s">
        <v>80</v>
      </c>
      <c r="L34" s="34"/>
      <c r="M34" s="34"/>
    </row>
    <row r="35" spans="1:13" x14ac:dyDescent="0.35">
      <c r="A35" s="412" t="s">
        <v>76</v>
      </c>
      <c r="B35" s="412"/>
      <c r="D35" s="34"/>
      <c r="E35" s="412" t="s">
        <v>76</v>
      </c>
      <c r="F35" s="412"/>
      <c r="G35" s="412" t="s">
        <v>76</v>
      </c>
      <c r="H35" s="412"/>
      <c r="I35" s="33"/>
      <c r="J35" s="33"/>
      <c r="K35" s="33"/>
    </row>
    <row r="40" spans="1:13" ht="15" thickBot="1" x14ac:dyDescent="0.4"/>
    <row r="41" spans="1:13" ht="15" thickTop="1" x14ac:dyDescent="0.35">
      <c r="A41" s="429" t="s">
        <v>113</v>
      </c>
      <c r="B41" s="429"/>
    </row>
    <row r="42" spans="1:13" x14ac:dyDescent="0.35">
      <c r="A42" s="32" t="s">
        <v>7</v>
      </c>
    </row>
    <row r="43" spans="1:13" x14ac:dyDescent="0.35">
      <c r="A43" s="34" t="s">
        <v>77</v>
      </c>
    </row>
    <row r="44" spans="1:13" x14ac:dyDescent="0.35">
      <c r="A44" s="412" t="s">
        <v>81</v>
      </c>
      <c r="B44" s="412"/>
    </row>
  </sheetData>
  <mergeCells count="36">
    <mergeCell ref="A4:B4"/>
    <mergeCell ref="C4:M4"/>
    <mergeCell ref="A1:M1"/>
    <mergeCell ref="A2:B2"/>
    <mergeCell ref="C2:M2"/>
    <mergeCell ref="A3:B3"/>
    <mergeCell ref="C3:M3"/>
    <mergeCell ref="A20:G20"/>
    <mergeCell ref="A5:B5"/>
    <mergeCell ref="C5:M5"/>
    <mergeCell ref="A6:B6"/>
    <mergeCell ref="C6:M6"/>
    <mergeCell ref="A7:B7"/>
    <mergeCell ref="C7:M7"/>
    <mergeCell ref="A8:B8"/>
    <mergeCell ref="C8:M8"/>
    <mergeCell ref="A9:B9"/>
    <mergeCell ref="C9:M9"/>
    <mergeCell ref="A10:M10"/>
    <mergeCell ref="A31:B31"/>
    <mergeCell ref="E31:F31"/>
    <mergeCell ref="G31:H31"/>
    <mergeCell ref="A32:B32"/>
    <mergeCell ref="E32:F32"/>
    <mergeCell ref="G32:H32"/>
    <mergeCell ref="A33:B33"/>
    <mergeCell ref="E33:F33"/>
    <mergeCell ref="G33:H33"/>
    <mergeCell ref="A34:B34"/>
    <mergeCell ref="E34:F34"/>
    <mergeCell ref="G34:H34"/>
    <mergeCell ref="A35:B35"/>
    <mergeCell ref="E35:F35"/>
    <mergeCell ref="G35:H35"/>
    <mergeCell ref="A41:B41"/>
    <mergeCell ref="A44:B44"/>
  </mergeCells>
  <pageMargins left="0.25" right="0.25" top="0.75" bottom="0.75" header="0.3" footer="0.3"/>
  <pageSetup scale="73"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1151-F009-422F-A26A-8935B20DD571}">
  <sheetPr>
    <pageSetUpPr fitToPage="1"/>
  </sheetPr>
  <dimension ref="A1:M44"/>
  <sheetViews>
    <sheetView topLeftCell="A7" workbookViewId="0">
      <selection sqref="A1:M35"/>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9"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360</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45771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250000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340</v>
      </c>
      <c r="J11" s="3" t="s">
        <v>18</v>
      </c>
      <c r="K11" s="3" t="s">
        <v>19</v>
      </c>
      <c r="L11" s="3" t="s">
        <v>20</v>
      </c>
      <c r="M11" s="3" t="s">
        <v>84</v>
      </c>
    </row>
    <row r="12" spans="1:13" x14ac:dyDescent="0.35">
      <c r="A12" s="5">
        <v>1</v>
      </c>
      <c r="B12" s="14" t="s">
        <v>85</v>
      </c>
      <c r="C12" s="7" t="s">
        <v>86</v>
      </c>
      <c r="D12" s="8" t="s">
        <v>87</v>
      </c>
      <c r="E12" s="5" t="s">
        <v>24</v>
      </c>
      <c r="F12" s="5" t="s">
        <v>44</v>
      </c>
      <c r="G12" s="5">
        <v>35020062</v>
      </c>
      <c r="H12" s="51">
        <v>50000</v>
      </c>
      <c r="I12" s="10">
        <v>218572</v>
      </c>
      <c r="J12" s="10">
        <v>361050</v>
      </c>
      <c r="K12" s="35">
        <v>45734</v>
      </c>
      <c r="L12" s="51">
        <v>130000</v>
      </c>
      <c r="M12" s="48" t="s">
        <v>341</v>
      </c>
    </row>
    <row r="13" spans="1:13" x14ac:dyDescent="0.35">
      <c r="A13" s="5">
        <v>2</v>
      </c>
      <c r="B13" s="14" t="s">
        <v>89</v>
      </c>
      <c r="C13" s="7" t="s">
        <v>86</v>
      </c>
      <c r="D13" s="8" t="s">
        <v>90</v>
      </c>
      <c r="E13" s="5" t="s">
        <v>24</v>
      </c>
      <c r="F13" s="5" t="s">
        <v>44</v>
      </c>
      <c r="G13" s="13">
        <v>40021666</v>
      </c>
      <c r="H13" s="9">
        <v>40000</v>
      </c>
      <c r="I13" s="10">
        <v>56115</v>
      </c>
      <c r="J13" s="10">
        <v>113620</v>
      </c>
      <c r="K13" s="35">
        <v>45734</v>
      </c>
      <c r="L13" s="9">
        <v>60000</v>
      </c>
      <c r="M13" s="48" t="s">
        <v>325</v>
      </c>
    </row>
    <row r="14" spans="1:13" x14ac:dyDescent="0.35">
      <c r="A14" s="5">
        <v>3</v>
      </c>
      <c r="B14" s="14" t="s">
        <v>158</v>
      </c>
      <c r="C14" s="7" t="s">
        <v>86</v>
      </c>
      <c r="D14" s="8">
        <v>269</v>
      </c>
      <c r="E14" s="5" t="s">
        <v>24</v>
      </c>
      <c r="F14" s="5" t="s">
        <v>44</v>
      </c>
      <c r="G14" s="5">
        <v>7402385</v>
      </c>
      <c r="H14" s="9">
        <v>40000</v>
      </c>
      <c r="I14" s="10">
        <v>76293</v>
      </c>
      <c r="J14" s="10">
        <v>128675</v>
      </c>
      <c r="K14" s="35">
        <v>45734</v>
      </c>
      <c r="L14" s="9">
        <v>130000</v>
      </c>
      <c r="M14" s="12" t="s">
        <v>369</v>
      </c>
    </row>
    <row r="15" spans="1:13" x14ac:dyDescent="0.35">
      <c r="A15" s="5">
        <v>4</v>
      </c>
      <c r="B15" s="19" t="s">
        <v>211</v>
      </c>
      <c r="C15" s="20" t="s">
        <v>144</v>
      </c>
      <c r="D15" s="53" t="s">
        <v>146</v>
      </c>
      <c r="E15" s="22" t="s">
        <v>64</v>
      </c>
      <c r="F15" s="5" t="s">
        <v>44</v>
      </c>
      <c r="G15" s="21">
        <v>97017150</v>
      </c>
      <c r="H15" s="9">
        <v>35000</v>
      </c>
      <c r="I15" s="10">
        <v>26565</v>
      </c>
      <c r="J15" s="10">
        <v>50207</v>
      </c>
      <c r="K15" s="35">
        <v>45742</v>
      </c>
      <c r="L15" s="9">
        <v>15000</v>
      </c>
      <c r="M15" s="48" t="s">
        <v>327</v>
      </c>
    </row>
    <row r="16" spans="1:13" x14ac:dyDescent="0.35">
      <c r="A16" s="5">
        <v>5</v>
      </c>
      <c r="B16" s="19" t="s">
        <v>246</v>
      </c>
      <c r="C16" s="20" t="s">
        <v>144</v>
      </c>
      <c r="D16" s="53" t="s">
        <v>254</v>
      </c>
      <c r="E16" s="22" t="s">
        <v>247</v>
      </c>
      <c r="F16" s="5" t="s">
        <v>44</v>
      </c>
      <c r="G16" s="21">
        <v>23905383</v>
      </c>
      <c r="H16" s="9">
        <v>10000</v>
      </c>
      <c r="I16" s="10">
        <v>50933</v>
      </c>
      <c r="J16" s="10">
        <v>58392</v>
      </c>
      <c r="K16" s="35">
        <v>45734</v>
      </c>
      <c r="L16" s="9">
        <v>15000</v>
      </c>
      <c r="M16" s="48" t="s">
        <v>370</v>
      </c>
    </row>
    <row r="17" spans="1:13" x14ac:dyDescent="0.35">
      <c r="A17" s="5">
        <v>6</v>
      </c>
      <c r="B17" s="19" t="s">
        <v>255</v>
      </c>
      <c r="C17" s="20" t="s">
        <v>23</v>
      </c>
      <c r="D17" s="53" t="s">
        <v>256</v>
      </c>
      <c r="E17" s="22" t="s">
        <v>247</v>
      </c>
      <c r="F17" s="5" t="s">
        <v>44</v>
      </c>
      <c r="G17" s="53" t="s">
        <v>257</v>
      </c>
      <c r="H17" s="9">
        <v>20000</v>
      </c>
      <c r="I17" s="10">
        <v>11303</v>
      </c>
      <c r="J17" s="10">
        <v>21503</v>
      </c>
      <c r="K17" s="35">
        <v>45742</v>
      </c>
      <c r="L17" s="9">
        <v>20000</v>
      </c>
      <c r="M17" s="48" t="s">
        <v>371</v>
      </c>
    </row>
    <row r="18" spans="1:13" x14ac:dyDescent="0.35">
      <c r="A18" s="5">
        <v>7</v>
      </c>
      <c r="B18" s="19" t="s">
        <v>261</v>
      </c>
      <c r="C18" s="20" t="s">
        <v>49</v>
      </c>
      <c r="D18" s="53" t="s">
        <v>262</v>
      </c>
      <c r="E18" s="22" t="s">
        <v>247</v>
      </c>
      <c r="F18" s="5" t="s">
        <v>130</v>
      </c>
      <c r="G18" s="53" t="s">
        <v>263</v>
      </c>
      <c r="H18" s="9">
        <v>15000</v>
      </c>
      <c r="I18" s="10">
        <v>37332</v>
      </c>
      <c r="J18" s="10">
        <v>42932</v>
      </c>
      <c r="K18" s="35">
        <v>45394</v>
      </c>
      <c r="L18" s="9">
        <v>30000</v>
      </c>
      <c r="M18" s="48" t="s">
        <v>328</v>
      </c>
    </row>
    <row r="19" spans="1:13" x14ac:dyDescent="0.35">
      <c r="A19" s="5">
        <v>8</v>
      </c>
      <c r="B19" s="16" t="s">
        <v>95</v>
      </c>
      <c r="C19" s="7" t="s">
        <v>49</v>
      </c>
      <c r="D19" s="8">
        <v>183</v>
      </c>
      <c r="E19" s="5" t="s">
        <v>24</v>
      </c>
      <c r="F19" s="5" t="s">
        <v>25</v>
      </c>
      <c r="G19" s="73" t="s">
        <v>279</v>
      </c>
      <c r="H19" s="9">
        <v>40000</v>
      </c>
      <c r="I19" s="10">
        <v>72675</v>
      </c>
      <c r="J19" s="10">
        <v>93474</v>
      </c>
      <c r="K19" s="35">
        <v>45754</v>
      </c>
      <c r="L19" s="9">
        <v>50000</v>
      </c>
      <c r="M19" s="17" t="s">
        <v>213</v>
      </c>
    </row>
    <row r="20" spans="1:13" x14ac:dyDescent="0.35">
      <c r="A20" s="415" t="s">
        <v>8</v>
      </c>
      <c r="B20" s="415"/>
      <c r="C20" s="415"/>
      <c r="D20" s="415"/>
      <c r="E20" s="415"/>
      <c r="F20" s="415"/>
      <c r="G20" s="415"/>
      <c r="H20" s="36">
        <f>SUM(H12:H19)</f>
        <v>250000</v>
      </c>
      <c r="I20" s="37"/>
      <c r="J20" s="25"/>
      <c r="K20" s="25"/>
      <c r="L20" s="26"/>
      <c r="M20" s="26"/>
    </row>
    <row r="21" spans="1:13" x14ac:dyDescent="0.35">
      <c r="A21" s="26"/>
      <c r="B21" s="26"/>
      <c r="C21" s="26"/>
      <c r="D21" s="26"/>
      <c r="E21" s="26"/>
      <c r="F21" s="26"/>
      <c r="G21" s="26"/>
      <c r="H21" s="26"/>
      <c r="I21" s="38"/>
      <c r="J21" s="26"/>
      <c r="K21" s="26"/>
      <c r="L21" s="26"/>
      <c r="M21" s="26"/>
    </row>
    <row r="22" spans="1:13" x14ac:dyDescent="0.35">
      <c r="A22" s="26"/>
      <c r="B22" s="26" t="s">
        <v>372</v>
      </c>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407" t="s">
        <v>66</v>
      </c>
      <c r="B31" s="407"/>
      <c r="C31" s="26"/>
      <c r="D31" s="26"/>
      <c r="E31" s="407" t="s">
        <v>67</v>
      </c>
      <c r="F31" s="407"/>
      <c r="G31" s="408"/>
      <c r="H31" s="408"/>
      <c r="I31" s="28"/>
      <c r="J31" s="28"/>
      <c r="K31" s="28"/>
      <c r="L31" s="39"/>
      <c r="M31" s="40"/>
    </row>
    <row r="32" spans="1:13" x14ac:dyDescent="0.35">
      <c r="A32" s="421" t="s">
        <v>69</v>
      </c>
      <c r="B32" s="421"/>
      <c r="D32" s="29"/>
      <c r="E32" s="410" t="s">
        <v>70</v>
      </c>
      <c r="F32" s="410"/>
      <c r="G32" s="410" t="s">
        <v>71</v>
      </c>
      <c r="H32" s="410"/>
      <c r="I32" s="29"/>
      <c r="J32" s="29"/>
      <c r="K32" s="29" t="s">
        <v>72</v>
      </c>
      <c r="L32" s="31"/>
      <c r="M32" s="31"/>
    </row>
    <row r="33" spans="1:13" x14ac:dyDescent="0.35">
      <c r="A33" s="414" t="s">
        <v>92</v>
      </c>
      <c r="B33" s="414"/>
      <c r="D33" s="32"/>
      <c r="E33" s="414" t="s">
        <v>73</v>
      </c>
      <c r="F33" s="414"/>
      <c r="G33" s="414" t="s">
        <v>74</v>
      </c>
      <c r="H33" s="414"/>
      <c r="I33" s="31"/>
      <c r="J33" s="31"/>
      <c r="K33" s="31" t="s">
        <v>75</v>
      </c>
      <c r="L33" s="33"/>
      <c r="M33" s="33"/>
    </row>
    <row r="34" spans="1:13" x14ac:dyDescent="0.35">
      <c r="A34" s="414" t="s">
        <v>94</v>
      </c>
      <c r="B34" s="414"/>
      <c r="D34" s="34"/>
      <c r="E34" s="414" t="s">
        <v>78</v>
      </c>
      <c r="F34" s="414"/>
      <c r="G34" s="414" t="s">
        <v>79</v>
      </c>
      <c r="H34" s="414"/>
      <c r="I34" s="33"/>
      <c r="J34" s="33"/>
      <c r="K34" s="31" t="s">
        <v>80</v>
      </c>
      <c r="L34" s="34"/>
      <c r="M34" s="34"/>
    </row>
    <row r="35" spans="1:13" x14ac:dyDescent="0.35">
      <c r="A35" s="412" t="s">
        <v>76</v>
      </c>
      <c r="B35" s="412"/>
      <c r="D35" s="34"/>
      <c r="E35" s="412" t="s">
        <v>76</v>
      </c>
      <c r="F35" s="412"/>
      <c r="G35" s="412" t="s">
        <v>76</v>
      </c>
      <c r="H35" s="412"/>
      <c r="I35" s="33"/>
      <c r="J35" s="33"/>
      <c r="K35" s="33"/>
    </row>
    <row r="40" spans="1:13" ht="15" thickBot="1" x14ac:dyDescent="0.4"/>
    <row r="41" spans="1:13" ht="15" thickTop="1" x14ac:dyDescent="0.35">
      <c r="A41" s="429" t="s">
        <v>113</v>
      </c>
      <c r="B41" s="429"/>
    </row>
    <row r="42" spans="1:13" x14ac:dyDescent="0.35">
      <c r="A42" s="32" t="s">
        <v>7</v>
      </c>
    </row>
    <row r="43" spans="1:13" x14ac:dyDescent="0.35">
      <c r="A43" s="34" t="s">
        <v>77</v>
      </c>
    </row>
    <row r="44" spans="1:13" x14ac:dyDescent="0.35">
      <c r="A44" s="412" t="s">
        <v>81</v>
      </c>
      <c r="B44" s="412"/>
    </row>
  </sheetData>
  <mergeCells count="36">
    <mergeCell ref="A35:B35"/>
    <mergeCell ref="E35:F35"/>
    <mergeCell ref="G35:H35"/>
    <mergeCell ref="A41:B41"/>
    <mergeCell ref="A44:B44"/>
    <mergeCell ref="A33:B33"/>
    <mergeCell ref="E33:F33"/>
    <mergeCell ref="G33:H33"/>
    <mergeCell ref="A34:B34"/>
    <mergeCell ref="E34:F34"/>
    <mergeCell ref="G34:H34"/>
    <mergeCell ref="A31:B31"/>
    <mergeCell ref="E31:F31"/>
    <mergeCell ref="G31:H31"/>
    <mergeCell ref="A32:B32"/>
    <mergeCell ref="E32:F32"/>
    <mergeCell ref="G32:H32"/>
    <mergeCell ref="A20: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3"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9C7C-214B-4C38-916E-0C255A7E18BF}">
  <sheetPr>
    <pageSetUpPr fitToPage="1"/>
  </sheetPr>
  <dimension ref="A1:M45"/>
  <sheetViews>
    <sheetView topLeftCell="A7" workbookViewId="0">
      <selection activeCell="B18" sqref="B18:E22"/>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8.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295</v>
      </c>
      <c r="D3" s="403"/>
      <c r="E3" s="403"/>
      <c r="F3" s="403"/>
      <c r="G3" s="403"/>
      <c r="H3" s="403"/>
      <c r="I3" s="403"/>
      <c r="J3" s="403"/>
      <c r="K3" s="403"/>
      <c r="L3" s="403"/>
      <c r="M3" s="385"/>
    </row>
    <row r="4" spans="1:13" x14ac:dyDescent="0.35">
      <c r="A4" s="384" t="s">
        <v>4</v>
      </c>
      <c r="B4" s="385"/>
      <c r="C4" s="393" t="s">
        <v>303</v>
      </c>
      <c r="D4" s="394"/>
      <c r="E4" s="394"/>
      <c r="F4" s="394"/>
      <c r="G4" s="394"/>
      <c r="H4" s="394"/>
      <c r="I4" s="394"/>
      <c r="J4" s="394"/>
      <c r="K4" s="394"/>
      <c r="L4" s="394"/>
      <c r="M4" s="395"/>
    </row>
    <row r="5" spans="1:13" x14ac:dyDescent="0.35">
      <c r="A5" s="384" t="s">
        <v>5</v>
      </c>
      <c r="B5" s="385"/>
      <c r="C5" s="387">
        <v>45680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3000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301</v>
      </c>
      <c r="J11" s="3" t="s">
        <v>18</v>
      </c>
      <c r="K11" s="3" t="s">
        <v>19</v>
      </c>
      <c r="L11" s="3" t="s">
        <v>20</v>
      </c>
      <c r="M11" s="3" t="s">
        <v>84</v>
      </c>
    </row>
    <row r="12" spans="1:13" x14ac:dyDescent="0.35">
      <c r="A12" s="5">
        <v>1</v>
      </c>
      <c r="B12" s="19" t="s">
        <v>246</v>
      </c>
      <c r="C12" s="20" t="s">
        <v>144</v>
      </c>
      <c r="D12" s="53" t="s">
        <v>254</v>
      </c>
      <c r="E12" s="22" t="s">
        <v>247</v>
      </c>
      <c r="F12" s="5" t="s">
        <v>44</v>
      </c>
      <c r="G12" s="21">
        <v>23905383</v>
      </c>
      <c r="H12" s="9">
        <v>3000</v>
      </c>
      <c r="I12" s="10">
        <v>2545</v>
      </c>
      <c r="J12" s="10">
        <v>2545</v>
      </c>
      <c r="K12" s="35"/>
      <c r="L12" s="9"/>
      <c r="M12" s="48" t="s">
        <v>258</v>
      </c>
    </row>
    <row r="13" spans="1:13" x14ac:dyDescent="0.35">
      <c r="A13" s="415" t="s">
        <v>8</v>
      </c>
      <c r="B13" s="415"/>
      <c r="C13" s="415"/>
      <c r="D13" s="415"/>
      <c r="E13" s="415"/>
      <c r="F13" s="415"/>
      <c r="G13" s="415"/>
      <c r="H13" s="36">
        <f>SUM(H12:H12)</f>
        <v>3000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302</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26"/>
      <c r="C17" s="26"/>
      <c r="D17" s="26"/>
      <c r="E17" s="26"/>
      <c r="F17" s="26"/>
      <c r="G17" s="26"/>
      <c r="H17" s="26"/>
      <c r="I17" s="38"/>
      <c r="J17" s="26"/>
      <c r="K17" s="26"/>
      <c r="L17" s="26"/>
      <c r="M17" s="26"/>
    </row>
    <row r="18" spans="1:13" x14ac:dyDescent="0.35">
      <c r="A18" s="26"/>
      <c r="B18" s="457" t="s">
        <v>167</v>
      </c>
      <c r="C18" s="457"/>
      <c r="D18" s="457"/>
      <c r="E18" s="457"/>
      <c r="F18" s="26"/>
      <c r="G18" s="26"/>
      <c r="H18" s="26"/>
      <c r="I18" s="38"/>
      <c r="J18" s="26"/>
      <c r="K18" s="26"/>
      <c r="L18" s="26"/>
      <c r="M18" s="26"/>
    </row>
    <row r="19" spans="1:13" x14ac:dyDescent="0.35">
      <c r="A19" s="26"/>
      <c r="B19" s="48" t="s">
        <v>7</v>
      </c>
      <c r="C19" s="433" t="s">
        <v>304</v>
      </c>
      <c r="D19" s="433"/>
      <c r="E19" s="433"/>
      <c r="F19" s="26"/>
      <c r="G19" s="26"/>
      <c r="H19" s="26"/>
      <c r="I19" s="38"/>
      <c r="J19" s="26"/>
      <c r="K19" s="26"/>
      <c r="L19" s="26"/>
      <c r="M19" s="26"/>
    </row>
    <row r="20" spans="1:13" x14ac:dyDescent="0.35">
      <c r="A20" s="26"/>
      <c r="B20" s="48" t="s">
        <v>305</v>
      </c>
      <c r="C20" s="456" t="s">
        <v>306</v>
      </c>
      <c r="D20" s="456"/>
      <c r="E20" s="456"/>
      <c r="F20" s="26"/>
      <c r="G20" s="26"/>
      <c r="H20" s="26"/>
      <c r="I20" s="38"/>
      <c r="J20" s="26"/>
      <c r="K20" s="26"/>
      <c r="L20" s="26"/>
      <c r="M20" s="26"/>
    </row>
    <row r="21" spans="1:13" x14ac:dyDescent="0.35">
      <c r="A21" s="26"/>
      <c r="B21" s="48" t="s">
        <v>307</v>
      </c>
      <c r="C21" s="433" t="s">
        <v>308</v>
      </c>
      <c r="D21" s="433"/>
      <c r="E21" s="433"/>
      <c r="F21" s="26"/>
      <c r="G21" s="26"/>
      <c r="H21" s="26"/>
      <c r="I21" s="38"/>
      <c r="J21" s="26"/>
      <c r="K21" s="26"/>
      <c r="L21" s="26"/>
      <c r="M21" s="26"/>
    </row>
    <row r="22" spans="1:13" x14ac:dyDescent="0.35">
      <c r="A22" s="26"/>
      <c r="B22" s="59" t="s">
        <v>309</v>
      </c>
      <c r="C22" s="438" t="s">
        <v>310</v>
      </c>
      <c r="D22" s="438"/>
      <c r="E22" s="438"/>
      <c r="F22" s="26"/>
      <c r="G22" s="26"/>
      <c r="H22" s="26"/>
      <c r="I22" s="38"/>
      <c r="J22" s="26"/>
      <c r="K22" s="26"/>
      <c r="L22" s="26"/>
      <c r="M22" s="26"/>
    </row>
    <row r="23" spans="1:13" x14ac:dyDescent="0.35">
      <c r="A23" s="26"/>
      <c r="C23" s="106"/>
      <c r="D23" s="106"/>
      <c r="E23" s="106"/>
      <c r="F23" s="26"/>
      <c r="G23" s="26"/>
      <c r="H23" s="26"/>
      <c r="I23" s="38"/>
      <c r="J23" s="26"/>
      <c r="K23" s="26"/>
      <c r="L23" s="26"/>
      <c r="M23" s="26"/>
    </row>
    <row r="24" spans="1:13" x14ac:dyDescent="0.35">
      <c r="A24" s="26"/>
      <c r="C24" s="106"/>
      <c r="D24" s="106"/>
      <c r="E24" s="10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407" t="s">
        <v>66</v>
      </c>
      <c r="B27" s="407"/>
      <c r="C27" s="26"/>
      <c r="D27" s="26"/>
      <c r="E27" s="407" t="s">
        <v>67</v>
      </c>
      <c r="F27" s="407"/>
      <c r="G27" s="408"/>
      <c r="H27" s="408"/>
      <c r="I27" s="28"/>
      <c r="J27" s="28"/>
      <c r="K27" s="28"/>
      <c r="L27" s="39"/>
      <c r="M27" s="40"/>
    </row>
    <row r="28" spans="1:13" x14ac:dyDescent="0.35">
      <c r="A28" s="409" t="s">
        <v>69</v>
      </c>
      <c r="B28" s="409"/>
      <c r="D28" s="29"/>
      <c r="E28" s="410" t="s">
        <v>70</v>
      </c>
      <c r="F28" s="410"/>
      <c r="G28" s="410" t="s">
        <v>71</v>
      </c>
      <c r="H28" s="410"/>
      <c r="I28" s="29"/>
      <c r="J28" s="29"/>
      <c r="K28" s="29" t="s">
        <v>72</v>
      </c>
      <c r="L28" s="31"/>
      <c r="M28" s="31"/>
    </row>
    <row r="29" spans="1:13" x14ac:dyDescent="0.35">
      <c r="A29" s="413" t="s">
        <v>92</v>
      </c>
      <c r="B29" s="413"/>
      <c r="D29" s="32"/>
      <c r="E29" s="414" t="s">
        <v>73</v>
      </c>
      <c r="F29" s="414"/>
      <c r="G29" s="414" t="s">
        <v>74</v>
      </c>
      <c r="H29" s="414"/>
      <c r="I29" s="31"/>
      <c r="J29" s="31"/>
      <c r="K29" s="31" t="s">
        <v>75</v>
      </c>
      <c r="L29" s="33"/>
      <c r="M29" s="33"/>
    </row>
    <row r="30" spans="1:13" x14ac:dyDescent="0.35">
      <c r="A30" s="413" t="s">
        <v>94</v>
      </c>
      <c r="B30" s="413"/>
      <c r="D30" s="34"/>
      <c r="E30" s="414" t="s">
        <v>78</v>
      </c>
      <c r="F30" s="414"/>
      <c r="G30" s="414" t="s">
        <v>79</v>
      </c>
      <c r="H30" s="414"/>
      <c r="I30" s="33"/>
      <c r="J30" s="33"/>
      <c r="K30" s="31" t="s">
        <v>80</v>
      </c>
      <c r="L30" s="34"/>
      <c r="M30" s="34"/>
    </row>
    <row r="31" spans="1:13" x14ac:dyDescent="0.35">
      <c r="A31" s="411" t="s">
        <v>76</v>
      </c>
      <c r="B31" s="411"/>
      <c r="D31" s="34"/>
      <c r="E31" s="412" t="s">
        <v>76</v>
      </c>
      <c r="F31" s="412"/>
      <c r="G31" s="412" t="s">
        <v>76</v>
      </c>
      <c r="H31" s="412"/>
      <c r="I31" s="33"/>
      <c r="J31" s="33"/>
      <c r="K31" s="33"/>
    </row>
    <row r="37" spans="1:7" x14ac:dyDescent="0.35">
      <c r="A37" s="410" t="s">
        <v>113</v>
      </c>
      <c r="B37" s="410"/>
    </row>
    <row r="38" spans="1:7" x14ac:dyDescent="0.35">
      <c r="A38" s="32" t="s">
        <v>7</v>
      </c>
    </row>
    <row r="39" spans="1:7" x14ac:dyDescent="0.35">
      <c r="A39" s="34" t="s">
        <v>77</v>
      </c>
    </row>
    <row r="40" spans="1:7" x14ac:dyDescent="0.35">
      <c r="A40" s="412" t="s">
        <v>81</v>
      </c>
      <c r="B40" s="412"/>
    </row>
    <row r="45" spans="1:7" x14ac:dyDescent="0.35">
      <c r="B45" s="458" t="s">
        <v>311</v>
      </c>
      <c r="C45" s="458"/>
      <c r="D45" s="458"/>
      <c r="E45" s="458"/>
      <c r="F45" s="458"/>
      <c r="G45" s="458"/>
    </row>
  </sheetData>
  <mergeCells count="42">
    <mergeCell ref="A37:B37"/>
    <mergeCell ref="A40:B40"/>
    <mergeCell ref="E28:F28"/>
    <mergeCell ref="B45:G45"/>
    <mergeCell ref="A31:B31"/>
    <mergeCell ref="E31:F31"/>
    <mergeCell ref="G31:H31"/>
    <mergeCell ref="A30:B30"/>
    <mergeCell ref="E30:F30"/>
    <mergeCell ref="G30:H30"/>
    <mergeCell ref="C19:E19"/>
    <mergeCell ref="A29:B29"/>
    <mergeCell ref="E29:F29"/>
    <mergeCell ref="G29:H29"/>
    <mergeCell ref="A27:B27"/>
    <mergeCell ref="E27:F27"/>
    <mergeCell ref="G27:H27"/>
    <mergeCell ref="A28:B28"/>
    <mergeCell ref="G28:H28"/>
    <mergeCell ref="A13:G13"/>
    <mergeCell ref="C20:E20"/>
    <mergeCell ref="C21:E21"/>
    <mergeCell ref="C22:E22"/>
    <mergeCell ref="A5:B5"/>
    <mergeCell ref="C5:M5"/>
    <mergeCell ref="A6:B6"/>
    <mergeCell ref="C6:M6"/>
    <mergeCell ref="A7:B7"/>
    <mergeCell ref="C7:M7"/>
    <mergeCell ref="A8:B8"/>
    <mergeCell ref="C8:M8"/>
    <mergeCell ref="A9:B9"/>
    <mergeCell ref="C9:M9"/>
    <mergeCell ref="A10:M10"/>
    <mergeCell ref="B18:E18"/>
    <mergeCell ref="A4:B4"/>
    <mergeCell ref="C4:M4"/>
    <mergeCell ref="A1:M1"/>
    <mergeCell ref="A2:B2"/>
    <mergeCell ref="C2:M2"/>
    <mergeCell ref="A3:B3"/>
    <mergeCell ref="C3:M3"/>
  </mergeCells>
  <pageMargins left="0.25" right="0.25" top="0.75" bottom="0.75" header="0.3" footer="0.3"/>
  <pageSetup scale="71"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68D8-4990-4F78-8DD7-1505E6648207}">
  <sheetPr>
    <pageSetUpPr fitToPage="1"/>
  </sheetPr>
  <dimension ref="A1:M37"/>
  <sheetViews>
    <sheetView view="pageBreakPreview" topLeftCell="A5" zoomScale="60" zoomScaleNormal="100" zoomScalePageLayoutView="85" workbookViewId="0">
      <selection sqref="A1:M37"/>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269</v>
      </c>
      <c r="D3" s="403"/>
      <c r="E3" s="403"/>
      <c r="F3" s="403"/>
      <c r="G3" s="403"/>
      <c r="H3" s="403"/>
      <c r="I3" s="403"/>
      <c r="J3" s="403"/>
      <c r="K3" s="403"/>
      <c r="L3" s="403"/>
      <c r="M3" s="385"/>
    </row>
    <row r="4" spans="1:13" x14ac:dyDescent="0.35">
      <c r="A4" s="384" t="s">
        <v>4</v>
      </c>
      <c r="B4" s="385"/>
      <c r="C4" s="393" t="s">
        <v>250</v>
      </c>
      <c r="D4" s="394"/>
      <c r="E4" s="394"/>
      <c r="F4" s="394"/>
      <c r="G4" s="394"/>
      <c r="H4" s="394"/>
      <c r="I4" s="394"/>
      <c r="J4" s="394"/>
      <c r="K4" s="394"/>
      <c r="L4" s="394"/>
      <c r="M4" s="395"/>
    </row>
    <row r="5" spans="1:13" x14ac:dyDescent="0.35">
      <c r="A5" s="384" t="s">
        <v>5</v>
      </c>
      <c r="B5" s="385"/>
      <c r="C5" s="387">
        <v>45666</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89" t="s">
        <v>281</v>
      </c>
      <c r="J11" s="3" t="s">
        <v>18</v>
      </c>
      <c r="K11" s="3" t="s">
        <v>19</v>
      </c>
      <c r="L11" s="3" t="s">
        <v>20</v>
      </c>
      <c r="M11" s="3" t="s">
        <v>84</v>
      </c>
    </row>
    <row r="12" spans="1:13" x14ac:dyDescent="0.35">
      <c r="A12" s="5">
        <v>1</v>
      </c>
      <c r="B12" s="14" t="s">
        <v>85</v>
      </c>
      <c r="C12" s="7" t="s">
        <v>86</v>
      </c>
      <c r="D12" s="8" t="s">
        <v>87</v>
      </c>
      <c r="E12" s="5" t="s">
        <v>24</v>
      </c>
      <c r="F12" s="5" t="s">
        <v>44</v>
      </c>
      <c r="G12" s="5">
        <v>35020062</v>
      </c>
      <c r="H12" s="51">
        <v>10000</v>
      </c>
      <c r="I12" s="42">
        <v>6257</v>
      </c>
      <c r="J12" s="10">
        <v>123215</v>
      </c>
      <c r="K12" s="35">
        <v>45628</v>
      </c>
      <c r="L12" s="9">
        <v>120000</v>
      </c>
      <c r="M12" s="48" t="s">
        <v>276</v>
      </c>
    </row>
    <row r="13" spans="1:13" x14ac:dyDescent="0.35">
      <c r="A13" s="415" t="s">
        <v>8</v>
      </c>
      <c r="B13" s="415"/>
      <c r="C13" s="415"/>
      <c r="D13" s="415"/>
      <c r="E13" s="415"/>
      <c r="F13" s="415"/>
      <c r="G13" s="415"/>
      <c r="H13" s="36">
        <f>SUM(H12:H12)</f>
        <v>10000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280</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26"/>
      <c r="C17" s="26"/>
      <c r="D17" s="26"/>
      <c r="E17" s="26"/>
      <c r="F17" s="26"/>
      <c r="G17" s="26"/>
      <c r="H17" s="26"/>
      <c r="I17" s="38"/>
      <c r="J17" s="26"/>
      <c r="K17" s="26"/>
      <c r="L17" s="26"/>
      <c r="M17" s="26"/>
    </row>
    <row r="18" spans="1:13" x14ac:dyDescent="0.35">
      <c r="A18" s="407" t="s">
        <v>66</v>
      </c>
      <c r="B18" s="407"/>
      <c r="D18" s="26"/>
      <c r="E18" s="407" t="s">
        <v>67</v>
      </c>
      <c r="F18" s="407"/>
      <c r="G18" s="408"/>
      <c r="H18" s="408"/>
      <c r="I18" s="28"/>
      <c r="J18" s="28"/>
      <c r="K18" s="28"/>
      <c r="L18" s="39"/>
      <c r="M18" s="40"/>
    </row>
    <row r="19" spans="1:13" x14ac:dyDescent="0.35">
      <c r="A19" s="421" t="s">
        <v>69</v>
      </c>
      <c r="B19" s="421"/>
      <c r="D19" s="29"/>
      <c r="E19" s="410" t="s">
        <v>70</v>
      </c>
      <c r="F19" s="410"/>
      <c r="G19" s="410" t="s">
        <v>71</v>
      </c>
      <c r="H19" s="410"/>
      <c r="I19" s="29"/>
      <c r="J19" s="29"/>
      <c r="K19" s="29" t="s">
        <v>72</v>
      </c>
      <c r="L19" s="31"/>
      <c r="M19" s="31"/>
    </row>
    <row r="20" spans="1:13" x14ac:dyDescent="0.35">
      <c r="A20" s="414" t="s">
        <v>92</v>
      </c>
      <c r="B20" s="414"/>
      <c r="D20" s="32"/>
      <c r="E20" s="414" t="s">
        <v>73</v>
      </c>
      <c r="F20" s="414"/>
      <c r="G20" s="414" t="s">
        <v>74</v>
      </c>
      <c r="H20" s="414"/>
      <c r="I20" s="31"/>
      <c r="J20" s="31"/>
      <c r="K20" s="31" t="s">
        <v>75</v>
      </c>
      <c r="L20" s="33"/>
      <c r="M20" s="33"/>
    </row>
    <row r="21" spans="1:13" x14ac:dyDescent="0.35">
      <c r="A21" s="414" t="s">
        <v>94</v>
      </c>
      <c r="B21" s="414"/>
      <c r="D21" s="34"/>
      <c r="E21" s="414" t="s">
        <v>78</v>
      </c>
      <c r="F21" s="414"/>
      <c r="G21" s="414" t="s">
        <v>79</v>
      </c>
      <c r="H21" s="414"/>
      <c r="I21" s="33"/>
      <c r="J21" s="33"/>
      <c r="K21" s="31" t="s">
        <v>80</v>
      </c>
      <c r="L21" s="34"/>
      <c r="M21" s="34"/>
    </row>
    <row r="22" spans="1:13" x14ac:dyDescent="0.35">
      <c r="A22" s="412" t="s">
        <v>76</v>
      </c>
      <c r="B22" s="412"/>
      <c r="D22" s="34"/>
      <c r="E22" s="412" t="s">
        <v>76</v>
      </c>
      <c r="F22" s="412"/>
      <c r="G22" s="412" t="s">
        <v>76</v>
      </c>
      <c r="H22" s="412"/>
      <c r="I22" s="33"/>
      <c r="J22" s="33"/>
      <c r="K22" s="33"/>
    </row>
    <row r="26" spans="1:13" ht="15" thickBot="1" x14ac:dyDescent="0.4">
      <c r="B26" s="41"/>
    </row>
    <row r="27" spans="1:13" x14ac:dyDescent="0.35">
      <c r="A27" s="410" t="s">
        <v>282</v>
      </c>
      <c r="B27" s="410"/>
    </row>
    <row r="28" spans="1:13" x14ac:dyDescent="0.35">
      <c r="A28" s="430" t="s">
        <v>7</v>
      </c>
      <c r="B28" s="430"/>
    </row>
    <row r="29" spans="1:13" x14ac:dyDescent="0.35">
      <c r="A29" s="431" t="s">
        <v>77</v>
      </c>
      <c r="B29" s="431"/>
    </row>
    <row r="30" spans="1:13" x14ac:dyDescent="0.35">
      <c r="A30" s="431" t="s">
        <v>81</v>
      </c>
      <c r="B30" s="431"/>
    </row>
    <row r="33" spans="2:3" x14ac:dyDescent="0.35">
      <c r="B33" s="458" t="s">
        <v>139</v>
      </c>
      <c r="C33" s="458"/>
    </row>
    <row r="34" spans="2:3" x14ac:dyDescent="0.35">
      <c r="B34" s="459" t="s">
        <v>143</v>
      </c>
      <c r="C34" s="459"/>
    </row>
    <row r="35" spans="2:3" x14ac:dyDescent="0.35">
      <c r="B35" s="459" t="s">
        <v>142</v>
      </c>
      <c r="C35" s="459"/>
    </row>
    <row r="36" spans="2:3" x14ac:dyDescent="0.35">
      <c r="B36" s="459" t="s">
        <v>140</v>
      </c>
      <c r="C36" s="459"/>
    </row>
    <row r="37" spans="2:3" x14ac:dyDescent="0.35">
      <c r="B37" s="459" t="s">
        <v>141</v>
      </c>
      <c r="C37" s="459"/>
    </row>
  </sheetData>
  <mergeCells count="43">
    <mergeCell ref="B37:C37"/>
    <mergeCell ref="A27:B27"/>
    <mergeCell ref="A28:B28"/>
    <mergeCell ref="A29:B29"/>
    <mergeCell ref="A30:B30"/>
    <mergeCell ref="B35:C35"/>
    <mergeCell ref="B36:C36"/>
    <mergeCell ref="A22:B22"/>
    <mergeCell ref="E22:F22"/>
    <mergeCell ref="G22:H22"/>
    <mergeCell ref="B34:C34"/>
    <mergeCell ref="B33:C33"/>
    <mergeCell ref="A20:B20"/>
    <mergeCell ref="E20:F20"/>
    <mergeCell ref="G20:H20"/>
    <mergeCell ref="A21:B21"/>
    <mergeCell ref="E21:F21"/>
    <mergeCell ref="G21:H21"/>
    <mergeCell ref="A18:B18"/>
    <mergeCell ref="E18:F18"/>
    <mergeCell ref="G18:H18"/>
    <mergeCell ref="A19:B19"/>
    <mergeCell ref="E19:F19"/>
    <mergeCell ref="G19:H19"/>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2E3F-FE69-44B9-8EFC-93A0FA87CAA2}">
  <dimension ref="A1:M37"/>
  <sheetViews>
    <sheetView workbookViewId="0">
      <selection activeCell="C15" sqref="C15"/>
    </sheetView>
  </sheetViews>
  <sheetFormatPr defaultRowHeight="14.5" x14ac:dyDescent="0.35"/>
  <cols>
    <col min="1" max="1" width="5.81640625" bestFit="1" customWidth="1"/>
    <col min="2" max="2" width="38.08984375" bestFit="1"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312</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314</v>
      </c>
      <c r="D3" s="403"/>
      <c r="E3" s="403"/>
      <c r="F3" s="403"/>
      <c r="G3" s="403"/>
      <c r="H3" s="403"/>
      <c r="I3" s="403"/>
      <c r="J3" s="403"/>
      <c r="K3" s="403"/>
      <c r="L3" s="403"/>
      <c r="M3" s="385"/>
    </row>
    <row r="4" spans="1:13" x14ac:dyDescent="0.35">
      <c r="A4" s="384" t="s">
        <v>4</v>
      </c>
      <c r="B4" s="385"/>
      <c r="C4" s="393" t="s">
        <v>313</v>
      </c>
      <c r="D4" s="394"/>
      <c r="E4" s="394"/>
      <c r="F4" s="394"/>
      <c r="G4" s="394"/>
      <c r="H4" s="394"/>
      <c r="I4" s="394"/>
      <c r="J4" s="394"/>
      <c r="K4" s="394"/>
      <c r="L4" s="394"/>
      <c r="M4" s="395"/>
    </row>
    <row r="5" spans="1:13" x14ac:dyDescent="0.35">
      <c r="A5" s="384" t="s">
        <v>5</v>
      </c>
      <c r="B5" s="385"/>
      <c r="C5" s="387">
        <v>45690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6848</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317</v>
      </c>
      <c r="H11" s="3" t="s">
        <v>17</v>
      </c>
      <c r="I11" s="89" t="s">
        <v>281</v>
      </c>
      <c r="J11" s="3" t="s">
        <v>18</v>
      </c>
      <c r="K11" s="3" t="s">
        <v>19</v>
      </c>
      <c r="L11" s="3" t="s">
        <v>20</v>
      </c>
      <c r="M11" s="3" t="s">
        <v>84</v>
      </c>
    </row>
    <row r="12" spans="1:13" x14ac:dyDescent="0.35">
      <c r="A12" s="5">
        <v>1</v>
      </c>
      <c r="B12" s="14" t="s">
        <v>315</v>
      </c>
      <c r="C12" s="7" t="s">
        <v>316</v>
      </c>
      <c r="D12" s="8">
        <v>815</v>
      </c>
      <c r="E12" s="5" t="s">
        <v>24</v>
      </c>
      <c r="F12" s="5" t="s">
        <v>130</v>
      </c>
      <c r="G12" s="5">
        <v>90060359</v>
      </c>
      <c r="H12" s="51">
        <v>6848</v>
      </c>
      <c r="I12" s="42" t="s">
        <v>97</v>
      </c>
      <c r="J12" s="10" t="s">
        <v>97</v>
      </c>
      <c r="K12" s="35" t="s">
        <v>97</v>
      </c>
      <c r="L12" s="51" t="s">
        <v>97</v>
      </c>
      <c r="M12" s="107" t="s">
        <v>97</v>
      </c>
    </row>
    <row r="13" spans="1:13" x14ac:dyDescent="0.35">
      <c r="A13" s="415" t="s">
        <v>8</v>
      </c>
      <c r="B13" s="415"/>
      <c r="C13" s="415"/>
      <c r="D13" s="415"/>
      <c r="E13" s="415"/>
      <c r="F13" s="415"/>
      <c r="G13" s="415"/>
      <c r="H13" s="36">
        <f>SUM(H12:H12)</f>
        <v>6848</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280</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26"/>
      <c r="C17" s="26"/>
      <c r="D17" s="26"/>
      <c r="E17" s="26"/>
      <c r="F17" s="26"/>
      <c r="G17" s="26"/>
      <c r="H17" s="26"/>
      <c r="I17" s="38"/>
      <c r="J17" s="26"/>
      <c r="K17" s="26"/>
      <c r="L17" s="26"/>
      <c r="M17" s="26"/>
    </row>
    <row r="18" spans="1:13" x14ac:dyDescent="0.35">
      <c r="A18" s="407" t="s">
        <v>66</v>
      </c>
      <c r="B18" s="407"/>
      <c r="D18" s="26"/>
      <c r="E18" s="407" t="s">
        <v>67</v>
      </c>
      <c r="F18" s="407"/>
      <c r="G18" s="408"/>
      <c r="H18" s="408"/>
      <c r="I18" s="28"/>
      <c r="J18" s="28"/>
      <c r="K18" s="28"/>
      <c r="L18" s="39"/>
      <c r="M18" s="40"/>
    </row>
    <row r="19" spans="1:13" x14ac:dyDescent="0.35">
      <c r="A19" s="421" t="s">
        <v>69</v>
      </c>
      <c r="B19" s="421"/>
      <c r="D19" s="29"/>
      <c r="E19" s="410" t="s">
        <v>70</v>
      </c>
      <c r="F19" s="410"/>
      <c r="G19" s="410" t="s">
        <v>71</v>
      </c>
      <c r="H19" s="410"/>
      <c r="I19" s="29"/>
      <c r="J19" s="29"/>
      <c r="K19" s="29" t="s">
        <v>72</v>
      </c>
      <c r="L19" s="31"/>
      <c r="M19" s="31"/>
    </row>
    <row r="20" spans="1:13" x14ac:dyDescent="0.35">
      <c r="A20" s="414" t="s">
        <v>92</v>
      </c>
      <c r="B20" s="414"/>
      <c r="D20" s="32"/>
      <c r="E20" s="414" t="s">
        <v>73</v>
      </c>
      <c r="F20" s="414"/>
      <c r="G20" s="414" t="s">
        <v>74</v>
      </c>
      <c r="H20" s="414"/>
      <c r="I20" s="31"/>
      <c r="J20" s="31"/>
      <c r="K20" s="31" t="s">
        <v>75</v>
      </c>
      <c r="L20" s="33"/>
      <c r="M20" s="33"/>
    </row>
    <row r="21" spans="1:13" x14ac:dyDescent="0.35">
      <c r="A21" s="414" t="s">
        <v>94</v>
      </c>
      <c r="B21" s="414"/>
      <c r="D21" s="34"/>
      <c r="E21" s="414" t="s">
        <v>78</v>
      </c>
      <c r="F21" s="414"/>
      <c r="G21" s="414" t="s">
        <v>79</v>
      </c>
      <c r="H21" s="414"/>
      <c r="I21" s="33"/>
      <c r="J21" s="33"/>
      <c r="K21" s="31" t="s">
        <v>80</v>
      </c>
      <c r="L21" s="34"/>
      <c r="M21" s="34"/>
    </row>
    <row r="22" spans="1:13" x14ac:dyDescent="0.35">
      <c r="A22" s="412" t="s">
        <v>76</v>
      </c>
      <c r="B22" s="412"/>
      <c r="D22" s="34"/>
      <c r="E22" s="412" t="s">
        <v>76</v>
      </c>
      <c r="F22" s="412"/>
      <c r="G22" s="412" t="s">
        <v>76</v>
      </c>
      <c r="H22" s="412"/>
      <c r="I22" s="33"/>
      <c r="J22" s="33"/>
      <c r="K22" s="33"/>
    </row>
    <row r="26" spans="1:13" ht="15" thickBot="1" x14ac:dyDescent="0.4">
      <c r="B26" s="41"/>
    </row>
    <row r="27" spans="1:13" x14ac:dyDescent="0.35">
      <c r="A27" s="410" t="s">
        <v>282</v>
      </c>
      <c r="B27" s="410"/>
    </row>
    <row r="28" spans="1:13" x14ac:dyDescent="0.35">
      <c r="A28" s="430" t="s">
        <v>7</v>
      </c>
      <c r="B28" s="430"/>
    </row>
    <row r="29" spans="1:13" x14ac:dyDescent="0.35">
      <c r="A29" s="431" t="s">
        <v>77</v>
      </c>
      <c r="B29" s="431"/>
    </row>
    <row r="30" spans="1:13" x14ac:dyDescent="0.35">
      <c r="A30" s="431" t="s">
        <v>81</v>
      </c>
      <c r="B30" s="431"/>
    </row>
    <row r="33" spans="2:3" x14ac:dyDescent="0.35">
      <c r="B33" s="458" t="s">
        <v>139</v>
      </c>
      <c r="C33" s="458"/>
    </row>
    <row r="34" spans="2:3" x14ac:dyDescent="0.35">
      <c r="B34" s="459" t="s">
        <v>143</v>
      </c>
      <c r="C34" s="459"/>
    </row>
    <row r="35" spans="2:3" x14ac:dyDescent="0.35">
      <c r="B35" s="459" t="s">
        <v>142</v>
      </c>
      <c r="C35" s="459"/>
    </row>
    <row r="36" spans="2:3" x14ac:dyDescent="0.35">
      <c r="B36" s="459" t="s">
        <v>140</v>
      </c>
      <c r="C36" s="459"/>
    </row>
    <row r="37" spans="2:3" x14ac:dyDescent="0.35">
      <c r="B37" s="459" t="s">
        <v>141</v>
      </c>
      <c r="C37" s="459"/>
    </row>
  </sheetData>
  <mergeCells count="43">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A18:B18"/>
    <mergeCell ref="E18:F18"/>
    <mergeCell ref="G18:H18"/>
    <mergeCell ref="A19:B19"/>
    <mergeCell ref="E19:F19"/>
    <mergeCell ref="G19:H19"/>
    <mergeCell ref="A20:B20"/>
    <mergeCell ref="E20:F20"/>
    <mergeCell ref="G20:H20"/>
    <mergeCell ref="A21:B21"/>
    <mergeCell ref="E21:F21"/>
    <mergeCell ref="G21:H21"/>
    <mergeCell ref="B37:C37"/>
    <mergeCell ref="A22:B22"/>
    <mergeCell ref="E22:F22"/>
    <mergeCell ref="G22:H22"/>
    <mergeCell ref="A27:B27"/>
    <mergeCell ref="A28:B28"/>
    <mergeCell ref="A29:B29"/>
    <mergeCell ref="A30:B30"/>
    <mergeCell ref="B33:C33"/>
    <mergeCell ref="B34:C34"/>
    <mergeCell ref="B35:C35"/>
    <mergeCell ref="B36:C36"/>
  </mergeCell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5C9B-0294-4679-85A3-BEFA421C8219}">
  <sheetPr>
    <pageSetUpPr fitToPage="1"/>
  </sheetPr>
  <dimension ref="A1:M52"/>
  <sheetViews>
    <sheetView topLeftCell="A10" workbookViewId="0">
      <selection activeCell="A10" sqref="A10:M10"/>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45859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H32</f>
        <v>539000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27071</v>
      </c>
      <c r="J12" s="82">
        <v>44571</v>
      </c>
      <c r="K12" s="11">
        <v>45848</v>
      </c>
      <c r="L12" s="79">
        <v>50000</v>
      </c>
      <c r="M12" s="84" t="s">
        <v>176</v>
      </c>
    </row>
    <row r="13" spans="1:13" x14ac:dyDescent="0.35">
      <c r="A13" s="5">
        <v>2</v>
      </c>
      <c r="B13" s="71" t="s">
        <v>227</v>
      </c>
      <c r="C13" s="72" t="s">
        <v>49</v>
      </c>
      <c r="D13" s="73" t="s">
        <v>54</v>
      </c>
      <c r="E13" s="44" t="s">
        <v>24</v>
      </c>
      <c r="F13" s="44" t="s">
        <v>25</v>
      </c>
      <c r="G13" s="73" t="s">
        <v>55</v>
      </c>
      <c r="H13" s="80">
        <v>5000</v>
      </c>
      <c r="I13" s="10">
        <v>42203</v>
      </c>
      <c r="J13" s="10">
        <v>48603</v>
      </c>
      <c r="K13" s="11">
        <v>45842</v>
      </c>
      <c r="L13" s="80">
        <v>10000</v>
      </c>
      <c r="M13" s="17" t="s">
        <v>204</v>
      </c>
    </row>
    <row r="14" spans="1:13" x14ac:dyDescent="0.35">
      <c r="A14" s="5">
        <v>3</v>
      </c>
      <c r="B14" s="16" t="s">
        <v>231</v>
      </c>
      <c r="C14" s="7" t="s">
        <v>49</v>
      </c>
      <c r="D14" s="8" t="s">
        <v>60</v>
      </c>
      <c r="E14" s="5" t="s">
        <v>24</v>
      </c>
      <c r="F14" s="5" t="s">
        <v>25</v>
      </c>
      <c r="G14" s="8" t="s">
        <v>61</v>
      </c>
      <c r="H14" s="80">
        <v>5000</v>
      </c>
      <c r="I14" s="10">
        <v>36272</v>
      </c>
      <c r="J14" s="10">
        <v>40772</v>
      </c>
      <c r="K14" s="11">
        <v>45849</v>
      </c>
      <c r="L14" s="80">
        <v>10000</v>
      </c>
      <c r="M14" s="17" t="s">
        <v>132</v>
      </c>
    </row>
    <row r="15" spans="1:13" x14ac:dyDescent="0.35">
      <c r="A15" s="5">
        <v>4</v>
      </c>
      <c r="B15" s="71" t="s">
        <v>229</v>
      </c>
      <c r="C15" s="72" t="s">
        <v>49</v>
      </c>
      <c r="D15" s="44" t="s">
        <v>47</v>
      </c>
      <c r="E15" s="44" t="s">
        <v>24</v>
      </c>
      <c r="F15" s="44" t="s">
        <v>25</v>
      </c>
      <c r="G15" s="44" t="s">
        <v>102</v>
      </c>
      <c r="H15" s="80">
        <v>5000</v>
      </c>
      <c r="I15" s="10">
        <v>8589</v>
      </c>
      <c r="J15" s="10">
        <v>22389</v>
      </c>
      <c r="K15" s="11">
        <v>45781</v>
      </c>
      <c r="L15" s="80">
        <v>15000</v>
      </c>
      <c r="M15" s="17" t="s">
        <v>204</v>
      </c>
    </row>
    <row r="16" spans="1:13" x14ac:dyDescent="0.35">
      <c r="A16" s="5">
        <v>5</v>
      </c>
      <c r="B16" s="16" t="s">
        <v>230</v>
      </c>
      <c r="C16" s="7" t="s">
        <v>49</v>
      </c>
      <c r="D16" s="8" t="s">
        <v>50</v>
      </c>
      <c r="E16" s="5" t="s">
        <v>24</v>
      </c>
      <c r="F16" s="5" t="s">
        <v>25</v>
      </c>
      <c r="G16" s="8" t="s">
        <v>51</v>
      </c>
      <c r="H16" s="80">
        <v>15000</v>
      </c>
      <c r="I16" s="10">
        <v>50005</v>
      </c>
      <c r="J16" s="10">
        <v>57505</v>
      </c>
      <c r="K16" s="11">
        <v>45843</v>
      </c>
      <c r="L16" s="80">
        <v>25000</v>
      </c>
      <c r="M16" s="17" t="s">
        <v>132</v>
      </c>
    </row>
    <row r="17" spans="1:13" x14ac:dyDescent="0.35">
      <c r="A17" s="5">
        <v>6</v>
      </c>
      <c r="B17" s="71" t="s">
        <v>232</v>
      </c>
      <c r="C17" s="72" t="s">
        <v>233</v>
      </c>
      <c r="D17" s="44" t="s">
        <v>234</v>
      </c>
      <c r="E17" s="5" t="s">
        <v>24</v>
      </c>
      <c r="F17" s="5" t="s">
        <v>25</v>
      </c>
      <c r="G17" s="44" t="s">
        <v>235</v>
      </c>
      <c r="H17" s="80">
        <v>65000</v>
      </c>
      <c r="I17" s="10">
        <v>55928</v>
      </c>
      <c r="J17" s="10">
        <v>98428</v>
      </c>
      <c r="K17" s="11">
        <v>45841</v>
      </c>
      <c r="L17" s="80">
        <v>70000</v>
      </c>
      <c r="M17" s="17" t="s">
        <v>236</v>
      </c>
    </row>
    <row r="18" spans="1:13" x14ac:dyDescent="0.35">
      <c r="A18" s="5">
        <v>7</v>
      </c>
      <c r="B18" s="71" t="s">
        <v>26</v>
      </c>
      <c r="C18" s="72" t="s">
        <v>23</v>
      </c>
      <c r="D18" s="73" t="s">
        <v>27</v>
      </c>
      <c r="E18" s="44" t="s">
        <v>24</v>
      </c>
      <c r="F18" s="44" t="s">
        <v>25</v>
      </c>
      <c r="G18" s="73" t="s">
        <v>28</v>
      </c>
      <c r="H18" s="80">
        <v>25000</v>
      </c>
      <c r="I18" s="10">
        <v>4204</v>
      </c>
      <c r="J18" s="10">
        <v>13204</v>
      </c>
      <c r="K18" s="11">
        <v>45838</v>
      </c>
      <c r="L18" s="80">
        <v>15000</v>
      </c>
      <c r="M18" s="17" t="s">
        <v>154</v>
      </c>
    </row>
    <row r="19" spans="1:13" x14ac:dyDescent="0.35">
      <c r="A19" s="5">
        <v>8</v>
      </c>
      <c r="B19" s="71" t="s">
        <v>30</v>
      </c>
      <c r="C19" s="72" t="s">
        <v>23</v>
      </c>
      <c r="D19" s="44" t="s">
        <v>31</v>
      </c>
      <c r="E19" s="44" t="s">
        <v>32</v>
      </c>
      <c r="F19" s="44" t="s">
        <v>25</v>
      </c>
      <c r="G19" s="44" t="s">
        <v>33</v>
      </c>
      <c r="H19" s="80">
        <v>50000</v>
      </c>
      <c r="I19" s="10">
        <v>48025</v>
      </c>
      <c r="J19" s="10">
        <v>78067</v>
      </c>
      <c r="K19" s="11">
        <v>45838</v>
      </c>
      <c r="L19" s="80">
        <v>60000</v>
      </c>
      <c r="M19" s="17" t="s">
        <v>104</v>
      </c>
    </row>
    <row r="20" spans="1:13" x14ac:dyDescent="0.35">
      <c r="A20" s="5">
        <v>9</v>
      </c>
      <c r="B20" s="71" t="s">
        <v>22</v>
      </c>
      <c r="C20" s="72" t="s">
        <v>23</v>
      </c>
      <c r="D20" s="44" t="s">
        <v>205</v>
      </c>
      <c r="E20" s="44" t="s">
        <v>24</v>
      </c>
      <c r="F20" s="44" t="s">
        <v>25</v>
      </c>
      <c r="G20" s="44" t="s">
        <v>105</v>
      </c>
      <c r="H20" s="80">
        <v>25000</v>
      </c>
      <c r="I20" s="10">
        <v>14043</v>
      </c>
      <c r="J20" s="10">
        <v>26843</v>
      </c>
      <c r="K20" s="11">
        <v>45842</v>
      </c>
      <c r="L20" s="80">
        <v>25000</v>
      </c>
      <c r="M20" s="17" t="s">
        <v>96</v>
      </c>
    </row>
    <row r="21" spans="1:13" x14ac:dyDescent="0.35">
      <c r="A21" s="5">
        <v>10</v>
      </c>
      <c r="B21" s="71" t="s">
        <v>36</v>
      </c>
      <c r="C21" s="72" t="s">
        <v>23</v>
      </c>
      <c r="D21" s="44">
        <v>1311</v>
      </c>
      <c r="E21" s="44" t="s">
        <v>24</v>
      </c>
      <c r="F21" s="44" t="s">
        <v>25</v>
      </c>
      <c r="G21" s="73" t="s">
        <v>37</v>
      </c>
      <c r="H21" s="80">
        <v>10000</v>
      </c>
      <c r="I21" s="10">
        <v>5608</v>
      </c>
      <c r="J21" s="10">
        <v>13603</v>
      </c>
      <c r="K21" s="11">
        <v>45842</v>
      </c>
      <c r="L21" s="80">
        <v>8000</v>
      </c>
      <c r="M21" s="17" t="s">
        <v>204</v>
      </c>
    </row>
    <row r="22" spans="1:13" x14ac:dyDescent="0.35">
      <c r="A22" s="5">
        <v>11</v>
      </c>
      <c r="B22" s="71" t="s">
        <v>38</v>
      </c>
      <c r="C22" s="72" t="s">
        <v>23</v>
      </c>
      <c r="D22" s="73" t="s">
        <v>39</v>
      </c>
      <c r="E22" s="44" t="s">
        <v>24</v>
      </c>
      <c r="F22" s="44" t="s">
        <v>25</v>
      </c>
      <c r="G22" s="73" t="s">
        <v>40</v>
      </c>
      <c r="H22" s="80">
        <v>8000</v>
      </c>
      <c r="I22" s="10">
        <v>8973</v>
      </c>
      <c r="J22" s="10">
        <v>14973</v>
      </c>
      <c r="K22" s="11">
        <v>45838</v>
      </c>
      <c r="L22" s="80">
        <v>8000</v>
      </c>
      <c r="M22" s="17" t="s">
        <v>154</v>
      </c>
    </row>
    <row r="23" spans="1:13" x14ac:dyDescent="0.35">
      <c r="A23" s="5">
        <v>13</v>
      </c>
      <c r="B23" s="6" t="s">
        <v>34</v>
      </c>
      <c r="C23" s="14" t="s">
        <v>23</v>
      </c>
      <c r="D23" s="15">
        <v>1149</v>
      </c>
      <c r="E23" s="15" t="s">
        <v>24</v>
      </c>
      <c r="F23" s="15" t="s">
        <v>25</v>
      </c>
      <c r="G23" s="13" t="s">
        <v>35</v>
      </c>
      <c r="H23" s="80">
        <v>6000</v>
      </c>
      <c r="I23" s="10">
        <v>11200</v>
      </c>
      <c r="J23" s="10">
        <v>16719</v>
      </c>
      <c r="K23" s="11">
        <v>45842</v>
      </c>
      <c r="L23" s="80">
        <v>8000</v>
      </c>
      <c r="M23" s="17" t="s">
        <v>154</v>
      </c>
    </row>
    <row r="24" spans="1:13" x14ac:dyDescent="0.35">
      <c r="A24" s="5">
        <v>14</v>
      </c>
      <c r="B24" s="97" t="s">
        <v>293</v>
      </c>
      <c r="C24" s="98" t="s">
        <v>23</v>
      </c>
      <c r="D24">
        <v>815</v>
      </c>
      <c r="E24" s="99" t="s">
        <v>24</v>
      </c>
      <c r="F24" s="99" t="s">
        <v>130</v>
      </c>
      <c r="G24" s="100" t="s">
        <v>287</v>
      </c>
      <c r="H24" s="122">
        <v>25000</v>
      </c>
      <c r="I24" s="102">
        <v>9516</v>
      </c>
      <c r="J24" s="102">
        <v>24716</v>
      </c>
      <c r="K24" s="103">
        <v>45809</v>
      </c>
      <c r="L24" s="122">
        <v>20000</v>
      </c>
      <c r="M24" s="64" t="s">
        <v>132</v>
      </c>
    </row>
    <row r="25" spans="1:13" x14ac:dyDescent="0.35">
      <c r="A25" s="5">
        <v>15</v>
      </c>
      <c r="B25" s="14" t="s">
        <v>373</v>
      </c>
      <c r="C25" s="7" t="s">
        <v>23</v>
      </c>
      <c r="D25" s="8">
        <v>1161</v>
      </c>
      <c r="E25" s="5" t="s">
        <v>24</v>
      </c>
      <c r="F25" s="5" t="s">
        <v>25</v>
      </c>
      <c r="G25" s="125" t="s">
        <v>374</v>
      </c>
      <c r="H25" s="122">
        <v>6000</v>
      </c>
      <c r="I25" s="10">
        <v>23581</v>
      </c>
      <c r="J25" s="10">
        <v>31581</v>
      </c>
      <c r="K25" s="124">
        <v>45839</v>
      </c>
      <c r="L25" s="122">
        <v>8000</v>
      </c>
      <c r="M25" s="48" t="s">
        <v>375</v>
      </c>
    </row>
    <row r="26" spans="1:13" x14ac:dyDescent="0.35">
      <c r="A26" s="5">
        <v>16</v>
      </c>
      <c r="B26" s="14" t="s">
        <v>398</v>
      </c>
      <c r="C26" s="7" t="s">
        <v>23</v>
      </c>
      <c r="D26" s="8">
        <v>741</v>
      </c>
      <c r="E26" s="5" t="s">
        <v>24</v>
      </c>
      <c r="F26" s="5" t="s">
        <v>25</v>
      </c>
      <c r="G26" s="125" t="s">
        <v>399</v>
      </c>
      <c r="H26" s="122">
        <v>7000</v>
      </c>
      <c r="I26" s="10">
        <v>20015</v>
      </c>
      <c r="J26" s="10">
        <v>28501</v>
      </c>
      <c r="K26" s="123">
        <v>45839</v>
      </c>
      <c r="L26" s="122">
        <v>10000</v>
      </c>
      <c r="M26" s="17" t="s">
        <v>204</v>
      </c>
    </row>
    <row r="27" spans="1:13" x14ac:dyDescent="0.35">
      <c r="A27" s="5">
        <v>17</v>
      </c>
      <c r="B27" s="71" t="s">
        <v>155</v>
      </c>
      <c r="C27" s="72" t="s">
        <v>23</v>
      </c>
      <c r="D27" s="73">
        <v>731</v>
      </c>
      <c r="E27" s="44" t="s">
        <v>24</v>
      </c>
      <c r="F27" s="44" t="s">
        <v>25</v>
      </c>
      <c r="G27" s="73" t="s">
        <v>131</v>
      </c>
      <c r="H27" s="80">
        <v>12000</v>
      </c>
      <c r="I27" s="10">
        <v>18061</v>
      </c>
      <c r="J27" s="10">
        <v>20602</v>
      </c>
      <c r="K27" s="11">
        <v>45854</v>
      </c>
      <c r="L27" s="80">
        <v>6000</v>
      </c>
      <c r="M27" s="17" t="s">
        <v>154</v>
      </c>
    </row>
    <row r="28" spans="1:13" x14ac:dyDescent="0.35">
      <c r="A28" s="5">
        <v>18</v>
      </c>
      <c r="B28" s="71" t="s">
        <v>450</v>
      </c>
      <c r="C28" s="72" t="s">
        <v>23</v>
      </c>
      <c r="D28" s="73" t="s">
        <v>451</v>
      </c>
      <c r="E28" s="44" t="s">
        <v>24</v>
      </c>
      <c r="F28" s="44" t="s">
        <v>130</v>
      </c>
      <c r="G28" s="73" t="s">
        <v>452</v>
      </c>
      <c r="H28" s="80">
        <v>30000</v>
      </c>
      <c r="I28" s="10">
        <v>4810</v>
      </c>
      <c r="J28" s="10">
        <v>5642</v>
      </c>
      <c r="K28" s="11">
        <v>45856</v>
      </c>
      <c r="L28" s="80">
        <v>10000</v>
      </c>
      <c r="M28" s="17" t="s">
        <v>364</v>
      </c>
    </row>
    <row r="29" spans="1:13" x14ac:dyDescent="0.35">
      <c r="A29" s="5">
        <v>19</v>
      </c>
      <c r="B29" s="71" t="s">
        <v>419</v>
      </c>
      <c r="C29" s="72" t="s">
        <v>144</v>
      </c>
      <c r="D29" s="73" t="s">
        <v>424</v>
      </c>
      <c r="E29" s="44" t="s">
        <v>24</v>
      </c>
      <c r="F29" s="44" t="s">
        <v>44</v>
      </c>
      <c r="G29" s="73" t="s">
        <v>421</v>
      </c>
      <c r="H29" s="80">
        <v>70000</v>
      </c>
      <c r="I29" s="10">
        <v>20649</v>
      </c>
      <c r="J29" s="10">
        <v>23449</v>
      </c>
      <c r="K29" s="11">
        <v>45794</v>
      </c>
      <c r="L29" s="80">
        <v>20000</v>
      </c>
      <c r="M29" s="17" t="s">
        <v>453</v>
      </c>
    </row>
    <row r="30" spans="1:13" x14ac:dyDescent="0.35">
      <c r="A30" s="5">
        <v>20</v>
      </c>
      <c r="B30" s="74" t="s">
        <v>330</v>
      </c>
      <c r="C30" s="72" t="s">
        <v>42</v>
      </c>
      <c r="D30" s="73" t="s">
        <v>43</v>
      </c>
      <c r="E30" s="44" t="s">
        <v>24</v>
      </c>
      <c r="F30" s="44" t="s">
        <v>44</v>
      </c>
      <c r="G30" s="44">
        <v>24024723</v>
      </c>
      <c r="H30" s="78">
        <v>80000</v>
      </c>
      <c r="I30" s="42">
        <v>28292</v>
      </c>
      <c r="J30" s="42">
        <v>56210</v>
      </c>
      <c r="K30" s="11">
        <v>45837</v>
      </c>
      <c r="L30" s="78">
        <v>35000</v>
      </c>
      <c r="M30" s="12" t="s">
        <v>365</v>
      </c>
    </row>
    <row r="31" spans="1:13" x14ac:dyDescent="0.35">
      <c r="A31" s="5">
        <v>21</v>
      </c>
      <c r="B31" s="85" t="s">
        <v>331</v>
      </c>
      <c r="C31" s="86" t="s">
        <v>332</v>
      </c>
      <c r="D31" s="53" t="s">
        <v>333</v>
      </c>
      <c r="E31" s="87" t="s">
        <v>24</v>
      </c>
      <c r="F31" s="87" t="s">
        <v>44</v>
      </c>
      <c r="G31" s="87" t="s">
        <v>335</v>
      </c>
      <c r="H31" s="78">
        <v>30000</v>
      </c>
      <c r="I31" s="42">
        <v>13476</v>
      </c>
      <c r="J31" s="42">
        <v>28556</v>
      </c>
      <c r="K31" s="11">
        <v>45777</v>
      </c>
      <c r="L31" s="78">
        <v>25000</v>
      </c>
      <c r="M31" s="12" t="s">
        <v>406</v>
      </c>
    </row>
    <row r="32" spans="1:13" x14ac:dyDescent="0.35">
      <c r="A32" s="415" t="s">
        <v>8</v>
      </c>
      <c r="B32" s="415"/>
      <c r="C32" s="415"/>
      <c r="D32" s="415"/>
      <c r="E32" s="415"/>
      <c r="F32" s="415"/>
      <c r="G32" s="415"/>
      <c r="H32" s="81">
        <f>SUM(H12:H31)</f>
        <v>539000</v>
      </c>
      <c r="I32" s="24"/>
      <c r="J32" s="25"/>
      <c r="K32" s="43"/>
      <c r="L32" s="26"/>
      <c r="M32" s="26"/>
    </row>
    <row r="33" spans="1:13" x14ac:dyDescent="0.35">
      <c r="A33" s="26"/>
      <c r="B33" s="26"/>
      <c r="C33" s="26"/>
      <c r="D33" s="26"/>
      <c r="E33" s="26"/>
      <c r="F33" s="26"/>
      <c r="G33" s="26"/>
      <c r="H33" s="26"/>
      <c r="I33" s="26"/>
      <c r="J33" s="26"/>
      <c r="K33" s="26"/>
      <c r="L33" s="26"/>
      <c r="M33" s="26"/>
    </row>
    <row r="34" spans="1:13" x14ac:dyDescent="0.35">
      <c r="A34" s="26"/>
      <c r="B34" s="26" t="s">
        <v>454</v>
      </c>
      <c r="C34" s="26"/>
      <c r="D34" s="26"/>
      <c r="E34" s="26"/>
      <c r="F34" s="26"/>
      <c r="G34" s="26"/>
      <c r="H34" s="26"/>
      <c r="I34" s="26"/>
      <c r="J34" s="26"/>
      <c r="K34" s="26"/>
      <c r="L34" s="26"/>
      <c r="M34" s="26"/>
    </row>
    <row r="35" spans="1:13" x14ac:dyDescent="0.35">
      <c r="A35" s="26"/>
      <c r="B35" s="26"/>
      <c r="C35" s="26"/>
      <c r="D35" s="26"/>
      <c r="E35" s="26"/>
      <c r="F35" s="26"/>
      <c r="G35" s="26"/>
      <c r="H35" s="26"/>
      <c r="I35" s="26"/>
      <c r="J35" s="26"/>
      <c r="K35" s="26"/>
      <c r="L35" s="26"/>
      <c r="M35" s="26"/>
    </row>
    <row r="36" spans="1:13" x14ac:dyDescent="0.35">
      <c r="A36" s="26"/>
      <c r="B36" s="26"/>
      <c r="C36" s="26"/>
      <c r="D36" s="26"/>
      <c r="E36" s="26"/>
      <c r="F36" s="26"/>
      <c r="G36" s="26"/>
      <c r="H36" s="26"/>
      <c r="I36" s="26"/>
      <c r="J36" s="26"/>
      <c r="K36" s="26"/>
      <c r="L36" s="26"/>
      <c r="M36" s="26"/>
    </row>
    <row r="37" spans="1:13" x14ac:dyDescent="0.35">
      <c r="A37" s="26"/>
      <c r="B37" s="26"/>
      <c r="C37" s="26"/>
      <c r="D37" s="26"/>
      <c r="E37" s="26"/>
      <c r="F37" s="26"/>
      <c r="G37" s="26"/>
      <c r="H37" s="26"/>
      <c r="I37" s="26"/>
      <c r="J37" s="26"/>
      <c r="K37" s="26"/>
      <c r="L37" s="26"/>
      <c r="M37" s="26"/>
    </row>
    <row r="38" spans="1:13" x14ac:dyDescent="0.35">
      <c r="A38" s="26"/>
      <c r="B38" s="26"/>
      <c r="C38" s="26"/>
      <c r="D38" s="26"/>
      <c r="E38" s="26"/>
      <c r="F38" s="26"/>
      <c r="G38" s="26"/>
      <c r="H38" s="26"/>
      <c r="I38" s="26"/>
      <c r="J38" s="26"/>
      <c r="K38" s="26"/>
      <c r="L38" s="26"/>
      <c r="M38" s="26"/>
    </row>
    <row r="39" spans="1:13" ht="15" thickBot="1" x14ac:dyDescent="0.4">
      <c r="A39" s="420" t="s">
        <v>66</v>
      </c>
      <c r="B39" s="420"/>
      <c r="C39" s="26"/>
      <c r="D39" s="26"/>
      <c r="E39" s="407" t="s">
        <v>67</v>
      </c>
      <c r="F39" s="407"/>
      <c r="G39" s="49"/>
      <c r="H39" s="49"/>
      <c r="I39" s="408"/>
      <c r="J39" s="408"/>
      <c r="K39" s="28"/>
      <c r="L39" s="29"/>
      <c r="M39" s="29"/>
    </row>
    <row r="40" spans="1:13" ht="15" thickTop="1" x14ac:dyDescent="0.35">
      <c r="A40" s="421" t="s">
        <v>69</v>
      </c>
      <c r="B40" s="421"/>
      <c r="D40" s="30"/>
      <c r="E40" s="410" t="s">
        <v>70</v>
      </c>
      <c r="F40" s="410"/>
      <c r="G40" s="410" t="s">
        <v>71</v>
      </c>
      <c r="H40" s="410"/>
      <c r="I40" s="29"/>
      <c r="J40" s="29"/>
      <c r="K40" s="29" t="s">
        <v>72</v>
      </c>
      <c r="L40" s="31"/>
      <c r="M40" s="31"/>
    </row>
    <row r="41" spans="1:13" x14ac:dyDescent="0.35">
      <c r="A41" s="414" t="s">
        <v>92</v>
      </c>
      <c r="B41" s="414"/>
      <c r="D41" s="32"/>
      <c r="E41" s="414" t="s">
        <v>73</v>
      </c>
      <c r="F41" s="414"/>
      <c r="G41" s="414" t="s">
        <v>74</v>
      </c>
      <c r="H41" s="414"/>
      <c r="I41" s="31"/>
      <c r="J41" s="31"/>
      <c r="K41" s="31" t="s">
        <v>75</v>
      </c>
      <c r="L41" s="33"/>
      <c r="M41" s="33"/>
    </row>
    <row r="42" spans="1:13" x14ac:dyDescent="0.35">
      <c r="A42" s="412" t="s">
        <v>94</v>
      </c>
      <c r="B42" s="412"/>
      <c r="D42" s="34"/>
      <c r="E42" s="414" t="s">
        <v>78</v>
      </c>
      <c r="F42" s="414"/>
      <c r="G42" s="414" t="s">
        <v>414</v>
      </c>
      <c r="H42" s="414"/>
      <c r="I42" s="33"/>
      <c r="J42" s="33"/>
      <c r="K42" s="33" t="s">
        <v>80</v>
      </c>
      <c r="L42" s="34"/>
      <c r="M42" s="34"/>
    </row>
    <row r="43" spans="1:13" x14ac:dyDescent="0.35">
      <c r="A43" s="412" t="s">
        <v>76</v>
      </c>
      <c r="B43" s="412"/>
      <c r="D43" s="34"/>
      <c r="E43" s="412" t="s">
        <v>76</v>
      </c>
      <c r="F43" s="412"/>
      <c r="G43" s="412" t="s">
        <v>76</v>
      </c>
      <c r="H43" s="412"/>
      <c r="I43" s="33"/>
      <c r="J43" s="33"/>
      <c r="K43" s="33"/>
    </row>
    <row r="48" spans="1:13" ht="15" thickBot="1" x14ac:dyDescent="0.4"/>
    <row r="49" spans="1:5" ht="15" thickTop="1" x14ac:dyDescent="0.35">
      <c r="A49" s="417" t="s">
        <v>114</v>
      </c>
      <c r="B49" s="417"/>
      <c r="C49" s="429" t="s">
        <v>282</v>
      </c>
      <c r="D49" s="429"/>
      <c r="E49" s="429"/>
    </row>
    <row r="50" spans="1:5" x14ac:dyDescent="0.35">
      <c r="A50" s="418" t="s">
        <v>115</v>
      </c>
      <c r="B50" s="418"/>
      <c r="C50" s="430" t="s">
        <v>7</v>
      </c>
      <c r="D50" s="430"/>
      <c r="E50" s="430"/>
    </row>
    <row r="51" spans="1:5" x14ac:dyDescent="0.35">
      <c r="A51" s="422" t="s">
        <v>116</v>
      </c>
      <c r="B51" s="418"/>
      <c r="C51" s="431" t="s">
        <v>77</v>
      </c>
      <c r="D51" s="431"/>
      <c r="E51" s="431"/>
    </row>
    <row r="52" spans="1:5" x14ac:dyDescent="0.35">
      <c r="A52" s="416" t="s">
        <v>117</v>
      </c>
      <c r="B52" s="416"/>
      <c r="C52" s="412" t="s">
        <v>81</v>
      </c>
      <c r="D52" s="412"/>
      <c r="E52" s="412"/>
    </row>
  </sheetData>
  <mergeCells count="42">
    <mergeCell ref="A51:B51"/>
    <mergeCell ref="C51:E51"/>
    <mergeCell ref="A52:B52"/>
    <mergeCell ref="C52:E52"/>
    <mergeCell ref="A43:B43"/>
    <mergeCell ref="E43:F43"/>
    <mergeCell ref="G43:H43"/>
    <mergeCell ref="A49:B49"/>
    <mergeCell ref="C49:E49"/>
    <mergeCell ref="A50:B50"/>
    <mergeCell ref="C50:E50"/>
    <mergeCell ref="A41:B41"/>
    <mergeCell ref="E41:F41"/>
    <mergeCell ref="G41:H41"/>
    <mergeCell ref="A42:B42"/>
    <mergeCell ref="E42:F42"/>
    <mergeCell ref="G42:H42"/>
    <mergeCell ref="A39:B39"/>
    <mergeCell ref="E39:F39"/>
    <mergeCell ref="I39:J39"/>
    <mergeCell ref="A40:B40"/>
    <mergeCell ref="E40:F40"/>
    <mergeCell ref="G40:H40"/>
    <mergeCell ref="A32:G32"/>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scale="60"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53BD-C79E-4662-B53A-550A52DDBF3F}">
  <sheetPr>
    <pageSetUpPr fitToPage="1"/>
  </sheetPr>
  <dimension ref="A1:M54"/>
  <sheetViews>
    <sheetView topLeftCell="A19" workbookViewId="0">
      <selection activeCell="B32" sqref="B32:G3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45889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H34</f>
        <v>547000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466</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39414</v>
      </c>
      <c r="J12" s="82">
        <v>55164</v>
      </c>
      <c r="K12" s="11">
        <v>45876</v>
      </c>
      <c r="L12" s="79">
        <v>60000</v>
      </c>
      <c r="M12" s="84" t="s">
        <v>176</v>
      </c>
    </row>
    <row r="13" spans="1:13" x14ac:dyDescent="0.35">
      <c r="A13" s="5">
        <v>2</v>
      </c>
      <c r="B13" s="71" t="s">
        <v>227</v>
      </c>
      <c r="C13" s="72" t="s">
        <v>49</v>
      </c>
      <c r="D13" s="73" t="s">
        <v>54</v>
      </c>
      <c r="E13" s="44" t="s">
        <v>24</v>
      </c>
      <c r="F13" s="44" t="s">
        <v>25</v>
      </c>
      <c r="G13" s="73" t="s">
        <v>55</v>
      </c>
      <c r="H13" s="80">
        <v>20000</v>
      </c>
      <c r="I13" s="10">
        <v>23580</v>
      </c>
      <c r="J13" s="10">
        <v>29984</v>
      </c>
      <c r="K13" s="11">
        <v>45868</v>
      </c>
      <c r="L13" s="80">
        <v>5000</v>
      </c>
      <c r="M13" s="17" t="s">
        <v>204</v>
      </c>
    </row>
    <row r="14" spans="1:13" x14ac:dyDescent="0.35">
      <c r="A14" s="5">
        <v>3</v>
      </c>
      <c r="B14" s="16" t="s">
        <v>231</v>
      </c>
      <c r="C14" s="7" t="s">
        <v>49</v>
      </c>
      <c r="D14" s="8" t="s">
        <v>60</v>
      </c>
      <c r="E14" s="5" t="s">
        <v>24</v>
      </c>
      <c r="F14" s="5" t="s">
        <v>25</v>
      </c>
      <c r="G14" s="8" t="s">
        <v>61</v>
      </c>
      <c r="H14" s="80">
        <v>10000</v>
      </c>
      <c r="I14" s="10">
        <v>29212</v>
      </c>
      <c r="J14" s="10">
        <v>30712</v>
      </c>
      <c r="K14" s="11">
        <v>45882</v>
      </c>
      <c r="L14" s="80">
        <v>5000</v>
      </c>
      <c r="M14" s="17" t="s">
        <v>132</v>
      </c>
    </row>
    <row r="15" spans="1:13" x14ac:dyDescent="0.35">
      <c r="A15" s="5">
        <v>4</v>
      </c>
      <c r="B15" s="71" t="s">
        <v>229</v>
      </c>
      <c r="C15" s="72" t="s">
        <v>49</v>
      </c>
      <c r="D15" s="44" t="s">
        <v>47</v>
      </c>
      <c r="E15" s="44" t="s">
        <v>24</v>
      </c>
      <c r="F15" s="44" t="s">
        <v>25</v>
      </c>
      <c r="G15" s="44" t="s">
        <v>102</v>
      </c>
      <c r="H15" s="80">
        <v>10000</v>
      </c>
      <c r="I15" s="10">
        <v>52384</v>
      </c>
      <c r="J15" s="10">
        <v>65584</v>
      </c>
      <c r="K15" s="11">
        <v>45851</v>
      </c>
      <c r="L15" s="80">
        <v>5000</v>
      </c>
      <c r="M15" s="17" t="s">
        <v>204</v>
      </c>
    </row>
    <row r="16" spans="1:13" x14ac:dyDescent="0.35">
      <c r="A16" s="5">
        <v>5</v>
      </c>
      <c r="B16" s="16" t="s">
        <v>230</v>
      </c>
      <c r="C16" s="7" t="s">
        <v>49</v>
      </c>
      <c r="D16" s="8" t="s">
        <v>50</v>
      </c>
      <c r="E16" s="5" t="s">
        <v>24</v>
      </c>
      <c r="F16" s="5" t="s">
        <v>25</v>
      </c>
      <c r="G16" s="8" t="s">
        <v>51</v>
      </c>
      <c r="H16" s="80">
        <v>15000</v>
      </c>
      <c r="I16" s="10">
        <v>43361</v>
      </c>
      <c r="J16" s="10">
        <v>48361</v>
      </c>
      <c r="K16" s="11">
        <v>45843</v>
      </c>
      <c r="L16" s="80">
        <v>15000</v>
      </c>
      <c r="M16" s="17" t="s">
        <v>132</v>
      </c>
    </row>
    <row r="17" spans="1:13" x14ac:dyDescent="0.35">
      <c r="A17" s="5">
        <v>6</v>
      </c>
      <c r="B17" s="71" t="s">
        <v>232</v>
      </c>
      <c r="C17" s="72" t="s">
        <v>233</v>
      </c>
      <c r="D17" s="44" t="s">
        <v>234</v>
      </c>
      <c r="E17" s="5" t="s">
        <v>24</v>
      </c>
      <c r="F17" s="5" t="s">
        <v>25</v>
      </c>
      <c r="G17" s="44" t="s">
        <v>235</v>
      </c>
      <c r="H17" s="80">
        <v>65000</v>
      </c>
      <c r="I17" s="10">
        <v>68926</v>
      </c>
      <c r="J17" s="10">
        <v>98926</v>
      </c>
      <c r="K17" s="11">
        <v>45873</v>
      </c>
      <c r="L17" s="80">
        <v>65000</v>
      </c>
      <c r="M17" s="17" t="s">
        <v>236</v>
      </c>
    </row>
    <row r="18" spans="1:13" x14ac:dyDescent="0.35">
      <c r="A18" s="5">
        <v>7</v>
      </c>
      <c r="B18" s="71" t="s">
        <v>26</v>
      </c>
      <c r="C18" s="72" t="s">
        <v>23</v>
      </c>
      <c r="D18" s="73" t="s">
        <v>27</v>
      </c>
      <c r="E18" s="44" t="s">
        <v>24</v>
      </c>
      <c r="F18" s="44" t="s">
        <v>25</v>
      </c>
      <c r="G18" s="73" t="s">
        <v>28</v>
      </c>
      <c r="H18" s="80">
        <v>25000</v>
      </c>
      <c r="I18" s="10">
        <v>13100</v>
      </c>
      <c r="J18" s="10">
        <v>23424</v>
      </c>
      <c r="K18" s="11">
        <v>45866</v>
      </c>
      <c r="L18" s="80">
        <v>25000</v>
      </c>
      <c r="M18" s="17" t="s">
        <v>154</v>
      </c>
    </row>
    <row r="19" spans="1:13" x14ac:dyDescent="0.35">
      <c r="A19" s="5">
        <v>8</v>
      </c>
      <c r="B19" s="71" t="s">
        <v>30</v>
      </c>
      <c r="C19" s="72" t="s">
        <v>23</v>
      </c>
      <c r="D19" s="44" t="s">
        <v>31</v>
      </c>
      <c r="E19" s="44" t="s">
        <v>32</v>
      </c>
      <c r="F19" s="44" t="s">
        <v>25</v>
      </c>
      <c r="G19" s="44" t="s">
        <v>33</v>
      </c>
      <c r="H19" s="80">
        <v>50000</v>
      </c>
      <c r="I19" s="10">
        <v>49077</v>
      </c>
      <c r="J19" s="10">
        <v>77877</v>
      </c>
      <c r="K19" s="11">
        <v>45873</v>
      </c>
      <c r="L19" s="80">
        <v>50000</v>
      </c>
      <c r="M19" s="17" t="s">
        <v>104</v>
      </c>
    </row>
    <row r="20" spans="1:13" x14ac:dyDescent="0.35">
      <c r="A20" s="5">
        <v>9</v>
      </c>
      <c r="B20" s="71" t="s">
        <v>22</v>
      </c>
      <c r="C20" s="72" t="s">
        <v>23</v>
      </c>
      <c r="D20" s="44" t="s">
        <v>205</v>
      </c>
      <c r="E20" s="44" t="s">
        <v>24</v>
      </c>
      <c r="F20" s="44" t="s">
        <v>25</v>
      </c>
      <c r="G20" s="44" t="s">
        <v>105</v>
      </c>
      <c r="H20" s="80">
        <v>23000</v>
      </c>
      <c r="I20" s="10">
        <v>19300</v>
      </c>
      <c r="J20" s="10">
        <v>35300</v>
      </c>
      <c r="K20" s="11">
        <v>45866</v>
      </c>
      <c r="L20" s="80">
        <v>25000</v>
      </c>
      <c r="M20" s="17" t="s">
        <v>96</v>
      </c>
    </row>
    <row r="21" spans="1:13" x14ac:dyDescent="0.35">
      <c r="A21" s="5">
        <v>10</v>
      </c>
      <c r="B21" s="71" t="s">
        <v>36</v>
      </c>
      <c r="C21" s="72" t="s">
        <v>23</v>
      </c>
      <c r="D21" s="44">
        <v>1311</v>
      </c>
      <c r="E21" s="44" t="s">
        <v>24</v>
      </c>
      <c r="F21" s="44" t="s">
        <v>25</v>
      </c>
      <c r="G21" s="73" t="s">
        <v>37</v>
      </c>
      <c r="H21" s="80">
        <v>10000</v>
      </c>
      <c r="I21" s="10">
        <v>6807</v>
      </c>
      <c r="J21" s="10">
        <v>16989</v>
      </c>
      <c r="K21" s="11">
        <v>45866</v>
      </c>
      <c r="L21" s="80">
        <v>10000</v>
      </c>
      <c r="M21" s="17" t="s">
        <v>204</v>
      </c>
    </row>
    <row r="22" spans="1:13" x14ac:dyDescent="0.35">
      <c r="A22" s="5">
        <v>11</v>
      </c>
      <c r="B22" s="71" t="s">
        <v>38</v>
      </c>
      <c r="C22" s="72" t="s">
        <v>23</v>
      </c>
      <c r="D22" s="73" t="s">
        <v>39</v>
      </c>
      <c r="E22" s="44" t="s">
        <v>24</v>
      </c>
      <c r="F22" s="44" t="s">
        <v>25</v>
      </c>
      <c r="G22" s="73" t="s">
        <v>40</v>
      </c>
      <c r="H22" s="80">
        <v>8000</v>
      </c>
      <c r="I22" s="10">
        <v>10500</v>
      </c>
      <c r="J22" s="10">
        <v>18119</v>
      </c>
      <c r="K22" s="11">
        <v>45866</v>
      </c>
      <c r="L22" s="80">
        <v>8000</v>
      </c>
      <c r="M22" s="17" t="s">
        <v>154</v>
      </c>
    </row>
    <row r="23" spans="1:13" x14ac:dyDescent="0.35">
      <c r="A23" s="5">
        <v>12</v>
      </c>
      <c r="B23" s="6" t="s">
        <v>34</v>
      </c>
      <c r="C23" s="14" t="s">
        <v>23</v>
      </c>
      <c r="D23" s="15">
        <v>1149</v>
      </c>
      <c r="E23" s="15" t="s">
        <v>24</v>
      </c>
      <c r="F23" s="15" t="s">
        <v>25</v>
      </c>
      <c r="G23" s="13" t="s">
        <v>35</v>
      </c>
      <c r="H23" s="80">
        <v>12000</v>
      </c>
      <c r="I23" s="10">
        <v>8340</v>
      </c>
      <c r="J23" s="10">
        <v>12648</v>
      </c>
      <c r="K23" s="11">
        <v>45873</v>
      </c>
      <c r="L23" s="80">
        <v>6000</v>
      </c>
      <c r="M23" s="17" t="s">
        <v>154</v>
      </c>
    </row>
    <row r="24" spans="1:13" x14ac:dyDescent="0.35">
      <c r="A24" s="5">
        <v>13</v>
      </c>
      <c r="B24" s="97" t="s">
        <v>293</v>
      </c>
      <c r="C24" s="98" t="s">
        <v>23</v>
      </c>
      <c r="D24">
        <v>815</v>
      </c>
      <c r="E24" s="99" t="s">
        <v>24</v>
      </c>
      <c r="F24" s="99" t="s">
        <v>130</v>
      </c>
      <c r="G24" s="100" t="s">
        <v>287</v>
      </c>
      <c r="H24" s="122">
        <v>25000</v>
      </c>
      <c r="I24" s="102">
        <v>18978</v>
      </c>
      <c r="J24" s="102">
        <v>29978</v>
      </c>
      <c r="K24" s="103">
        <v>45873</v>
      </c>
      <c r="L24" s="122">
        <v>25000</v>
      </c>
      <c r="M24" s="64" t="s">
        <v>132</v>
      </c>
    </row>
    <row r="25" spans="1:13" x14ac:dyDescent="0.35">
      <c r="A25" s="5">
        <v>14</v>
      </c>
      <c r="B25" s="14" t="s">
        <v>373</v>
      </c>
      <c r="C25" s="7" t="s">
        <v>23</v>
      </c>
      <c r="D25" s="8">
        <v>1161</v>
      </c>
      <c r="E25" s="5" t="s">
        <v>24</v>
      </c>
      <c r="F25" s="5" t="s">
        <v>25</v>
      </c>
      <c r="G25" s="125" t="s">
        <v>374</v>
      </c>
      <c r="H25" s="122">
        <v>10000</v>
      </c>
      <c r="I25" s="10">
        <v>18100</v>
      </c>
      <c r="J25" s="10">
        <v>27117</v>
      </c>
      <c r="K25" s="124">
        <v>45868</v>
      </c>
      <c r="L25" s="122">
        <v>6000</v>
      </c>
      <c r="M25" s="48" t="s">
        <v>375</v>
      </c>
    </row>
    <row r="26" spans="1:13" x14ac:dyDescent="0.35">
      <c r="A26" s="5">
        <v>15</v>
      </c>
      <c r="B26" s="14" t="s">
        <v>398</v>
      </c>
      <c r="C26" s="7" t="s">
        <v>23</v>
      </c>
      <c r="D26" s="8">
        <v>741</v>
      </c>
      <c r="E26" s="5" t="s">
        <v>24</v>
      </c>
      <c r="F26" s="5" t="s">
        <v>25</v>
      </c>
      <c r="G26" s="125" t="s">
        <v>399</v>
      </c>
      <c r="H26" s="122">
        <v>7000</v>
      </c>
      <c r="I26" s="10">
        <v>19500</v>
      </c>
      <c r="J26" s="10">
        <v>26512</v>
      </c>
      <c r="K26" s="123">
        <v>45873</v>
      </c>
      <c r="L26" s="122">
        <v>7000</v>
      </c>
      <c r="M26" s="17" t="s">
        <v>204</v>
      </c>
    </row>
    <row r="27" spans="1:13" x14ac:dyDescent="0.35">
      <c r="A27" s="5">
        <v>16</v>
      </c>
      <c r="B27" s="71" t="s">
        <v>155</v>
      </c>
      <c r="C27" s="72" t="s">
        <v>23</v>
      </c>
      <c r="D27" s="73">
        <v>731</v>
      </c>
      <c r="E27" s="44" t="s">
        <v>24</v>
      </c>
      <c r="F27" s="44" t="s">
        <v>25</v>
      </c>
      <c r="G27" s="73" t="s">
        <v>131</v>
      </c>
      <c r="H27" s="80">
        <v>10000</v>
      </c>
      <c r="I27" s="10">
        <v>15013</v>
      </c>
      <c r="J27" s="10">
        <v>25462</v>
      </c>
      <c r="K27" s="11">
        <v>45868</v>
      </c>
      <c r="L27" s="80">
        <v>12000</v>
      </c>
      <c r="M27" s="17" t="s">
        <v>154</v>
      </c>
    </row>
    <row r="28" spans="1:13" x14ac:dyDescent="0.35">
      <c r="A28" s="5">
        <v>17</v>
      </c>
      <c r="B28" s="71" t="s">
        <v>450</v>
      </c>
      <c r="C28" s="72" t="s">
        <v>23</v>
      </c>
      <c r="D28" s="73" t="s">
        <v>451</v>
      </c>
      <c r="E28" s="44" t="s">
        <v>24</v>
      </c>
      <c r="F28" s="44" t="s">
        <v>130</v>
      </c>
      <c r="G28" s="73" t="s">
        <v>452</v>
      </c>
      <c r="H28" s="80">
        <v>20000</v>
      </c>
      <c r="I28" s="10">
        <v>16227</v>
      </c>
      <c r="J28" s="10">
        <v>30627</v>
      </c>
      <c r="K28" s="11">
        <v>45864</v>
      </c>
      <c r="L28" s="80">
        <v>30000</v>
      </c>
      <c r="M28" s="17" t="s">
        <v>364</v>
      </c>
    </row>
    <row r="29" spans="1:13" x14ac:dyDescent="0.35">
      <c r="A29" s="5">
        <v>18</v>
      </c>
      <c r="B29" s="71" t="s">
        <v>457</v>
      </c>
      <c r="C29" s="72" t="s">
        <v>23</v>
      </c>
      <c r="D29" s="73" t="s">
        <v>444</v>
      </c>
      <c r="E29" s="44" t="s">
        <v>24</v>
      </c>
      <c r="F29" s="44" t="s">
        <v>130</v>
      </c>
      <c r="G29" s="73" t="s">
        <v>458</v>
      </c>
      <c r="H29" s="80">
        <v>60000</v>
      </c>
      <c r="I29" s="10">
        <v>28110</v>
      </c>
      <c r="J29" s="10">
        <v>59610</v>
      </c>
      <c r="K29" s="11">
        <v>45865</v>
      </c>
      <c r="L29" s="80">
        <v>60000</v>
      </c>
      <c r="M29" s="134" t="s">
        <v>104</v>
      </c>
    </row>
    <row r="30" spans="1:13" x14ac:dyDescent="0.35">
      <c r="A30" s="5">
        <v>19</v>
      </c>
      <c r="B30" s="71" t="s">
        <v>419</v>
      </c>
      <c r="C30" s="72" t="s">
        <v>144</v>
      </c>
      <c r="D30" s="73" t="s">
        <v>424</v>
      </c>
      <c r="E30" s="44" t="s">
        <v>24</v>
      </c>
      <c r="F30" s="44" t="s">
        <v>44</v>
      </c>
      <c r="G30" s="73" t="s">
        <v>421</v>
      </c>
      <c r="H30" s="80">
        <v>40000</v>
      </c>
      <c r="I30" s="10">
        <v>40000</v>
      </c>
      <c r="J30" s="10">
        <v>75160</v>
      </c>
      <c r="K30" s="11">
        <v>45862</v>
      </c>
      <c r="L30" s="80">
        <v>70000</v>
      </c>
      <c r="M30" s="17" t="s">
        <v>453</v>
      </c>
    </row>
    <row r="31" spans="1:13" x14ac:dyDescent="0.35">
      <c r="A31" s="5">
        <v>20</v>
      </c>
      <c r="B31" s="74" t="s">
        <v>330</v>
      </c>
      <c r="C31" s="72" t="s">
        <v>144</v>
      </c>
      <c r="D31" s="73" t="s">
        <v>43</v>
      </c>
      <c r="E31" s="44" t="s">
        <v>24</v>
      </c>
      <c r="F31" s="44" t="s">
        <v>44</v>
      </c>
      <c r="G31" s="44">
        <v>24024723</v>
      </c>
      <c r="H31" s="78">
        <v>30000</v>
      </c>
      <c r="I31" s="42">
        <v>67192</v>
      </c>
      <c r="J31" s="42">
        <v>94178</v>
      </c>
      <c r="K31" s="11">
        <v>45837</v>
      </c>
      <c r="L31" s="78">
        <v>80000</v>
      </c>
      <c r="M31" s="12" t="s">
        <v>365</v>
      </c>
    </row>
    <row r="32" spans="1:13" x14ac:dyDescent="0.35">
      <c r="A32" s="5">
        <v>21</v>
      </c>
      <c r="B32" s="85" t="s">
        <v>206</v>
      </c>
      <c r="C32" s="86" t="s">
        <v>144</v>
      </c>
      <c r="D32" s="53" t="s">
        <v>207</v>
      </c>
      <c r="E32" s="87" t="s">
        <v>24</v>
      </c>
      <c r="F32" s="87" t="s">
        <v>44</v>
      </c>
      <c r="G32" s="87" t="s">
        <v>208</v>
      </c>
      <c r="H32" s="78">
        <v>15000</v>
      </c>
      <c r="I32" s="42">
        <v>40265</v>
      </c>
      <c r="J32" s="42">
        <v>61966</v>
      </c>
      <c r="K32" s="11">
        <v>45837</v>
      </c>
      <c r="L32" s="78">
        <v>20000</v>
      </c>
      <c r="M32" s="12" t="s">
        <v>96</v>
      </c>
    </row>
    <row r="33" spans="1:13" x14ac:dyDescent="0.35">
      <c r="A33" s="5">
        <v>22</v>
      </c>
      <c r="B33" s="85" t="s">
        <v>331</v>
      </c>
      <c r="C33" s="86" t="s">
        <v>332</v>
      </c>
      <c r="D33" s="53" t="s">
        <v>333</v>
      </c>
      <c r="E33" s="87" t="s">
        <v>24</v>
      </c>
      <c r="F33" s="87" t="s">
        <v>44</v>
      </c>
      <c r="G33" s="87" t="s">
        <v>335</v>
      </c>
      <c r="H33" s="78">
        <v>22000</v>
      </c>
      <c r="I33" s="42">
        <v>18472</v>
      </c>
      <c r="J33" s="42">
        <v>34893</v>
      </c>
      <c r="K33" s="11">
        <v>45832</v>
      </c>
      <c r="L33" s="78">
        <v>30000</v>
      </c>
      <c r="M33" s="12" t="s">
        <v>406</v>
      </c>
    </row>
    <row r="34" spans="1:13" x14ac:dyDescent="0.35">
      <c r="A34" s="415" t="s">
        <v>8</v>
      </c>
      <c r="B34" s="415"/>
      <c r="C34" s="415"/>
      <c r="D34" s="415"/>
      <c r="E34" s="415"/>
      <c r="F34" s="415"/>
      <c r="G34" s="415"/>
      <c r="H34" s="81">
        <f>SUM(H12:H33)</f>
        <v>547000</v>
      </c>
      <c r="I34" s="24"/>
      <c r="J34" s="25"/>
      <c r="K34" s="43"/>
      <c r="L34" s="26"/>
      <c r="M34" s="26"/>
    </row>
    <row r="35" spans="1:13" x14ac:dyDescent="0.35">
      <c r="A35" s="26"/>
      <c r="B35" s="26"/>
      <c r="C35" s="26"/>
      <c r="D35" s="26"/>
      <c r="E35" s="26"/>
      <c r="F35" s="26"/>
      <c r="G35" s="26"/>
      <c r="H35" s="26"/>
      <c r="I35" s="26"/>
      <c r="J35" s="26"/>
      <c r="K35" s="26"/>
      <c r="L35" s="26"/>
      <c r="M35" s="26"/>
    </row>
    <row r="36" spans="1:13" x14ac:dyDescent="0.35">
      <c r="A36" s="26"/>
      <c r="B36" s="26" t="s">
        <v>467</v>
      </c>
      <c r="C36" s="26"/>
      <c r="D36" s="26"/>
      <c r="E36" s="26"/>
      <c r="F36" s="26"/>
      <c r="G36" s="26"/>
      <c r="H36" s="26"/>
      <c r="I36" s="26"/>
      <c r="J36" s="26"/>
      <c r="K36" s="26"/>
      <c r="L36" s="26"/>
      <c r="M36" s="26"/>
    </row>
    <row r="37" spans="1:13" x14ac:dyDescent="0.35">
      <c r="A37" s="26"/>
      <c r="B37" s="26"/>
      <c r="C37" s="26"/>
      <c r="D37" s="26"/>
      <c r="E37" s="26"/>
      <c r="F37" s="26"/>
      <c r="G37" s="26"/>
      <c r="H37" s="26"/>
      <c r="I37" s="26"/>
      <c r="J37" s="26"/>
      <c r="K37" s="26"/>
      <c r="L37" s="26"/>
      <c r="M37" s="26"/>
    </row>
    <row r="38" spans="1:13" x14ac:dyDescent="0.35">
      <c r="A38" s="26"/>
      <c r="B38" s="26"/>
      <c r="C38" s="26"/>
      <c r="D38" s="26"/>
      <c r="E38" s="26"/>
      <c r="F38" s="26"/>
      <c r="G38" s="26"/>
      <c r="H38" s="26"/>
      <c r="I38" s="26"/>
      <c r="J38" s="26"/>
      <c r="K38" s="26"/>
      <c r="L38" s="26"/>
      <c r="M38" s="26"/>
    </row>
    <row r="39" spans="1:13" x14ac:dyDescent="0.35">
      <c r="A39" s="26"/>
      <c r="B39" s="26"/>
      <c r="C39" s="26"/>
      <c r="D39" s="26"/>
      <c r="E39" s="26"/>
      <c r="F39" s="26"/>
      <c r="G39" s="26"/>
      <c r="H39" s="26"/>
      <c r="I39" s="26"/>
      <c r="J39" s="26"/>
      <c r="K39" s="26"/>
      <c r="L39" s="26"/>
      <c r="M39" s="26"/>
    </row>
    <row r="40" spans="1:13" x14ac:dyDescent="0.35">
      <c r="A40" s="26"/>
      <c r="B40" s="26"/>
      <c r="C40" s="26"/>
      <c r="D40" s="26"/>
      <c r="E40" s="26"/>
      <c r="F40" s="26"/>
      <c r="G40" s="26"/>
      <c r="H40" s="26"/>
      <c r="I40" s="26"/>
      <c r="J40" s="26"/>
      <c r="K40" s="26"/>
      <c r="L40" s="26"/>
      <c r="M40" s="26"/>
    </row>
    <row r="41" spans="1:13" ht="15" thickBot="1" x14ac:dyDescent="0.4">
      <c r="A41" s="420" t="s">
        <v>66</v>
      </c>
      <c r="B41" s="420"/>
      <c r="C41" s="26"/>
      <c r="D41" s="26"/>
      <c r="E41" s="407" t="s">
        <v>67</v>
      </c>
      <c r="F41" s="407"/>
      <c r="G41" s="49"/>
      <c r="H41" s="49"/>
      <c r="I41" s="408"/>
      <c r="J41" s="408"/>
      <c r="K41" s="28"/>
      <c r="L41" s="29"/>
      <c r="M41" s="29"/>
    </row>
    <row r="42" spans="1:13" ht="15" thickTop="1" x14ac:dyDescent="0.35">
      <c r="A42" s="421" t="s">
        <v>69</v>
      </c>
      <c r="B42" s="421"/>
      <c r="D42" s="30"/>
      <c r="E42" s="410" t="s">
        <v>70</v>
      </c>
      <c r="F42" s="410"/>
      <c r="G42" s="410" t="s">
        <v>71</v>
      </c>
      <c r="H42" s="410"/>
      <c r="I42" s="29"/>
      <c r="J42" s="29"/>
      <c r="K42" s="29" t="s">
        <v>72</v>
      </c>
      <c r="L42" s="31"/>
      <c r="M42" s="31"/>
    </row>
    <row r="43" spans="1:13" x14ac:dyDescent="0.35">
      <c r="A43" s="414" t="s">
        <v>92</v>
      </c>
      <c r="B43" s="414"/>
      <c r="D43" s="32"/>
      <c r="E43" s="414" t="s">
        <v>73</v>
      </c>
      <c r="F43" s="414"/>
      <c r="G43" s="414" t="s">
        <v>74</v>
      </c>
      <c r="H43" s="414"/>
      <c r="I43" s="31"/>
      <c r="J43" s="31"/>
      <c r="K43" s="31" t="s">
        <v>75</v>
      </c>
      <c r="L43" s="33"/>
      <c r="M43" s="33"/>
    </row>
    <row r="44" spans="1:13" x14ac:dyDescent="0.35">
      <c r="A44" s="412" t="s">
        <v>94</v>
      </c>
      <c r="B44" s="412"/>
      <c r="D44" s="34"/>
      <c r="E44" s="414" t="s">
        <v>78</v>
      </c>
      <c r="F44" s="414"/>
      <c r="G44" s="414" t="s">
        <v>414</v>
      </c>
      <c r="H44" s="414"/>
      <c r="I44" s="33"/>
      <c r="J44" s="33"/>
      <c r="K44" s="33" t="s">
        <v>80</v>
      </c>
      <c r="L44" s="34"/>
      <c r="M44" s="34"/>
    </row>
    <row r="45" spans="1:13" x14ac:dyDescent="0.35">
      <c r="A45" s="412" t="s">
        <v>76</v>
      </c>
      <c r="B45" s="412"/>
      <c r="D45" s="34"/>
      <c r="E45" s="412" t="s">
        <v>76</v>
      </c>
      <c r="F45" s="412"/>
      <c r="G45" s="412" t="s">
        <v>76</v>
      </c>
      <c r="H45" s="412"/>
      <c r="I45" s="33"/>
      <c r="J45" s="33"/>
      <c r="K45" s="33"/>
    </row>
    <row r="50" spans="1:5" ht="15" thickBot="1" x14ac:dyDescent="0.4"/>
    <row r="51" spans="1:5" ht="15" thickTop="1" x14ac:dyDescent="0.35">
      <c r="A51" s="417" t="s">
        <v>114</v>
      </c>
      <c r="B51" s="417"/>
      <c r="C51" s="429" t="s">
        <v>282</v>
      </c>
      <c r="D51" s="429"/>
      <c r="E51" s="429"/>
    </row>
    <row r="52" spans="1:5" x14ac:dyDescent="0.35">
      <c r="A52" s="418" t="s">
        <v>115</v>
      </c>
      <c r="B52" s="418"/>
      <c r="C52" s="430" t="s">
        <v>7</v>
      </c>
      <c r="D52" s="430"/>
      <c r="E52" s="430"/>
    </row>
    <row r="53" spans="1:5" x14ac:dyDescent="0.35">
      <c r="A53" s="422" t="s">
        <v>116</v>
      </c>
      <c r="B53" s="418"/>
      <c r="C53" s="431" t="s">
        <v>77</v>
      </c>
      <c r="D53" s="431"/>
      <c r="E53" s="431"/>
    </row>
    <row r="54" spans="1:5" x14ac:dyDescent="0.35">
      <c r="A54" s="416" t="s">
        <v>117</v>
      </c>
      <c r="B54" s="416"/>
      <c r="C54" s="412" t="s">
        <v>81</v>
      </c>
      <c r="D54" s="412"/>
      <c r="E54" s="412"/>
    </row>
  </sheetData>
  <mergeCells count="42">
    <mergeCell ref="A53:B53"/>
    <mergeCell ref="C53:E53"/>
    <mergeCell ref="A54:B54"/>
    <mergeCell ref="C54:E54"/>
    <mergeCell ref="A45:B45"/>
    <mergeCell ref="E45:F45"/>
    <mergeCell ref="G45:H45"/>
    <mergeCell ref="A51:B51"/>
    <mergeCell ref="C51:E51"/>
    <mergeCell ref="A52:B52"/>
    <mergeCell ref="C52:E52"/>
    <mergeCell ref="A43:B43"/>
    <mergeCell ref="E43:F43"/>
    <mergeCell ref="G43:H43"/>
    <mergeCell ref="A44:B44"/>
    <mergeCell ref="E44:F44"/>
    <mergeCell ref="G44:H44"/>
    <mergeCell ref="A41:B41"/>
    <mergeCell ref="E41:F41"/>
    <mergeCell ref="I41:J41"/>
    <mergeCell ref="A42:B42"/>
    <mergeCell ref="E42:F42"/>
    <mergeCell ref="G42:H42"/>
    <mergeCell ref="A34:G3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scale="59"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7F3B-95DB-4CC2-B21E-62372487B83C}">
  <sheetPr>
    <pageSetUpPr fitToPage="1"/>
  </sheetPr>
  <dimension ref="A1:M43"/>
  <sheetViews>
    <sheetView topLeftCell="A4" workbookViewId="0">
      <selection activeCell="K13" sqref="K1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45859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71" t="s">
        <v>450</v>
      </c>
      <c r="C12" s="72" t="s">
        <v>23</v>
      </c>
      <c r="D12" s="73" t="s">
        <v>451</v>
      </c>
      <c r="E12" s="44" t="s">
        <v>24</v>
      </c>
      <c r="F12" s="44" t="s">
        <v>130</v>
      </c>
      <c r="G12" s="73" t="s">
        <v>452</v>
      </c>
      <c r="H12" s="80">
        <v>5000</v>
      </c>
      <c r="I12" s="10"/>
      <c r="J12" s="10"/>
      <c r="K12" s="11"/>
      <c r="L12" s="80"/>
      <c r="M12" s="17" t="s">
        <v>258</v>
      </c>
    </row>
    <row r="13" spans="1:13" x14ac:dyDescent="0.35">
      <c r="A13" s="5">
        <v>2</v>
      </c>
      <c r="B13" s="71" t="s">
        <v>450</v>
      </c>
      <c r="C13" s="72" t="s">
        <v>23</v>
      </c>
      <c r="D13" s="73" t="s">
        <v>451</v>
      </c>
      <c r="E13" s="44" t="s">
        <v>24</v>
      </c>
      <c r="F13" s="44" t="s">
        <v>130</v>
      </c>
      <c r="G13" s="73" t="s">
        <v>452</v>
      </c>
      <c r="H13" s="80">
        <v>5000</v>
      </c>
      <c r="I13" s="10"/>
      <c r="J13" s="10"/>
      <c r="K13" s="11"/>
      <c r="L13" s="80"/>
      <c r="M13" s="17" t="s">
        <v>456</v>
      </c>
    </row>
    <row r="14" spans="1:13" x14ac:dyDescent="0.35">
      <c r="A14" s="415" t="s">
        <v>8</v>
      </c>
      <c r="B14" s="415"/>
      <c r="C14" s="415"/>
      <c r="D14" s="415"/>
      <c r="E14" s="415"/>
      <c r="F14" s="415"/>
      <c r="G14" s="415"/>
      <c r="H14" s="81">
        <f>SUM(H12:H13)</f>
        <v>10000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455</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ht="15" thickBot="1" x14ac:dyDescent="0.4">
      <c r="A21" s="26"/>
      <c r="B21" s="26"/>
      <c r="C21" s="26"/>
      <c r="D21" s="26"/>
      <c r="E21" s="26"/>
      <c r="F21" s="26"/>
      <c r="G21" s="26"/>
      <c r="H21" s="26"/>
      <c r="I21" s="26"/>
      <c r="J21" s="26"/>
      <c r="K21" s="26"/>
      <c r="L21" s="26"/>
      <c r="M21" s="26"/>
    </row>
    <row r="22" spans="1:13" ht="15.5" thickTop="1" thickBot="1" x14ac:dyDescent="0.4">
      <c r="A22" s="26"/>
      <c r="B22" s="447" t="s">
        <v>290</v>
      </c>
      <c r="C22" s="448"/>
      <c r="D22" s="448"/>
      <c r="E22" s="448"/>
      <c r="F22" s="26"/>
      <c r="G22" s="26"/>
      <c r="H22" s="26"/>
      <c r="I22" s="26"/>
      <c r="J22" s="26"/>
      <c r="K22" s="26"/>
      <c r="L22" s="26"/>
      <c r="M22" s="26"/>
    </row>
    <row r="23" spans="1:13" ht="15.5" thickTop="1" thickBot="1" x14ac:dyDescent="0.4">
      <c r="A23" s="26"/>
      <c r="B23" s="448"/>
      <c r="C23" s="448"/>
      <c r="D23" s="448"/>
      <c r="E23" s="448"/>
      <c r="F23" s="26"/>
      <c r="G23" s="26"/>
      <c r="H23" s="26"/>
      <c r="I23" s="26"/>
      <c r="J23" s="26"/>
      <c r="K23" s="26"/>
      <c r="L23" s="26"/>
      <c r="M23" s="26"/>
    </row>
    <row r="24" spans="1:13" ht="29" customHeight="1" thickTop="1" thickBot="1" x14ac:dyDescent="0.4">
      <c r="A24" s="26"/>
      <c r="B24" s="448"/>
      <c r="C24" s="448"/>
      <c r="D24" s="448"/>
      <c r="E24" s="448"/>
      <c r="F24" s="26"/>
      <c r="G24" s="26"/>
      <c r="H24" s="26"/>
      <c r="I24" s="26"/>
      <c r="J24" s="26"/>
      <c r="K24" s="26"/>
      <c r="L24" s="26"/>
      <c r="M24" s="26"/>
    </row>
    <row r="25" spans="1:13" ht="15" thickTop="1"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ht="15" thickBot="1" x14ac:dyDescent="0.4">
      <c r="A30" s="420" t="s">
        <v>66</v>
      </c>
      <c r="B30" s="420"/>
      <c r="C30" s="26"/>
      <c r="D30" s="26"/>
      <c r="E30" s="407" t="s">
        <v>67</v>
      </c>
      <c r="F30" s="407"/>
      <c r="G30" s="49"/>
      <c r="H30" s="49"/>
      <c r="I30" s="408"/>
      <c r="J30" s="408"/>
      <c r="K30" s="28"/>
      <c r="L30" s="29"/>
      <c r="M30" s="29"/>
    </row>
    <row r="31" spans="1:13" ht="15" thickTop="1" x14ac:dyDescent="0.35">
      <c r="A31" s="421" t="s">
        <v>69</v>
      </c>
      <c r="B31" s="421"/>
      <c r="D31" s="30"/>
      <c r="E31" s="410" t="s">
        <v>70</v>
      </c>
      <c r="F31" s="410"/>
      <c r="G31" s="410" t="s">
        <v>71</v>
      </c>
      <c r="H31" s="410"/>
      <c r="I31" s="29"/>
      <c r="J31" s="29"/>
      <c r="K31" s="29" t="s">
        <v>72</v>
      </c>
      <c r="L31" s="31"/>
      <c r="M31" s="31"/>
    </row>
    <row r="32" spans="1:13" x14ac:dyDescent="0.35">
      <c r="A32" s="414" t="s">
        <v>92</v>
      </c>
      <c r="B32" s="414"/>
      <c r="D32" s="32"/>
      <c r="E32" s="414" t="s">
        <v>73</v>
      </c>
      <c r="F32" s="414"/>
      <c r="G32" s="414" t="s">
        <v>74</v>
      </c>
      <c r="H32" s="414"/>
      <c r="I32" s="31"/>
      <c r="J32" s="31"/>
      <c r="K32" s="31" t="s">
        <v>75</v>
      </c>
      <c r="L32" s="33"/>
      <c r="M32" s="33"/>
    </row>
    <row r="33" spans="1:13" x14ac:dyDescent="0.35">
      <c r="A33" s="412" t="s">
        <v>94</v>
      </c>
      <c r="B33" s="412"/>
      <c r="D33" s="34"/>
      <c r="E33" s="414" t="s">
        <v>78</v>
      </c>
      <c r="F33" s="414"/>
      <c r="G33" s="414" t="s">
        <v>414</v>
      </c>
      <c r="H33" s="414"/>
      <c r="I33" s="33"/>
      <c r="J33" s="33"/>
      <c r="K33" s="33" t="s">
        <v>80</v>
      </c>
      <c r="L33" s="34"/>
      <c r="M33" s="34"/>
    </row>
    <row r="34" spans="1:13" x14ac:dyDescent="0.35">
      <c r="A34" s="412" t="s">
        <v>76</v>
      </c>
      <c r="B34" s="412"/>
      <c r="D34" s="34"/>
      <c r="E34" s="412" t="s">
        <v>76</v>
      </c>
      <c r="F34" s="412"/>
      <c r="G34" s="412" t="s">
        <v>76</v>
      </c>
      <c r="H34" s="412"/>
      <c r="I34" s="33"/>
      <c r="J34" s="33"/>
      <c r="K34" s="33"/>
    </row>
    <row r="39" spans="1:13" ht="15" thickBot="1" x14ac:dyDescent="0.4"/>
    <row r="40" spans="1:13" ht="15" thickTop="1" x14ac:dyDescent="0.35">
      <c r="A40" s="417" t="s">
        <v>114</v>
      </c>
      <c r="B40" s="417"/>
      <c r="C40" s="429" t="s">
        <v>282</v>
      </c>
      <c r="D40" s="429"/>
      <c r="E40" s="429"/>
    </row>
    <row r="41" spans="1:13" x14ac:dyDescent="0.35">
      <c r="A41" s="418" t="s">
        <v>115</v>
      </c>
      <c r="B41" s="418"/>
      <c r="C41" s="430" t="s">
        <v>7</v>
      </c>
      <c r="D41" s="430"/>
      <c r="E41" s="430"/>
    </row>
    <row r="42" spans="1:13" x14ac:dyDescent="0.35">
      <c r="A42" s="422" t="s">
        <v>116</v>
      </c>
      <c r="B42" s="418"/>
      <c r="C42" s="431" t="s">
        <v>77</v>
      </c>
      <c r="D42" s="431"/>
      <c r="E42" s="431"/>
    </row>
    <row r="43" spans="1:13" x14ac:dyDescent="0.35">
      <c r="A43" s="416" t="s">
        <v>117</v>
      </c>
      <c r="B43" s="416"/>
      <c r="C43" s="412" t="s">
        <v>81</v>
      </c>
      <c r="D43" s="412"/>
      <c r="E43" s="412"/>
    </row>
  </sheetData>
  <mergeCells count="43">
    <mergeCell ref="A4:B4"/>
    <mergeCell ref="C4:M4"/>
    <mergeCell ref="A1:M1"/>
    <mergeCell ref="A2:B2"/>
    <mergeCell ref="C2:M2"/>
    <mergeCell ref="A3:B3"/>
    <mergeCell ref="C3:M3"/>
    <mergeCell ref="A5:B5"/>
    <mergeCell ref="C5:M5"/>
    <mergeCell ref="A6:B6"/>
    <mergeCell ref="C6:M6"/>
    <mergeCell ref="A7:B7"/>
    <mergeCell ref="C7:M7"/>
    <mergeCell ref="I30:J30"/>
    <mergeCell ref="A31:B31"/>
    <mergeCell ref="E31:F31"/>
    <mergeCell ref="G31:H31"/>
    <mergeCell ref="A8:B8"/>
    <mergeCell ref="C8:M8"/>
    <mergeCell ref="A9:B9"/>
    <mergeCell ref="C9:M9"/>
    <mergeCell ref="A10:M10"/>
    <mergeCell ref="A14:G14"/>
    <mergeCell ref="G32:H32"/>
    <mergeCell ref="A33:B33"/>
    <mergeCell ref="E33:F33"/>
    <mergeCell ref="G33:H33"/>
    <mergeCell ref="A30:B30"/>
    <mergeCell ref="E30:F30"/>
    <mergeCell ref="G34:H34"/>
    <mergeCell ref="A40:B40"/>
    <mergeCell ref="C40:E40"/>
    <mergeCell ref="A41:B41"/>
    <mergeCell ref="C41:E41"/>
    <mergeCell ref="A42:B42"/>
    <mergeCell ref="C42:E42"/>
    <mergeCell ref="A43:B43"/>
    <mergeCell ref="C43:E43"/>
    <mergeCell ref="B22:E24"/>
    <mergeCell ref="A34:B34"/>
    <mergeCell ref="E34:F34"/>
    <mergeCell ref="A32:B32"/>
    <mergeCell ref="E32:F32"/>
  </mergeCells>
  <printOptions horizontalCentered="1"/>
  <pageMargins left="0.25" right="0.25" top="0.75" bottom="0.75" header="0.3" footer="0.3"/>
  <pageSetup scale="71"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24A7-4B54-46C2-875B-1A5ED4FE0FE8}">
  <sheetPr>
    <pageSetUpPr fitToPage="1"/>
  </sheetPr>
  <dimension ref="A1:M33"/>
  <sheetViews>
    <sheetView topLeftCell="A4" workbookViewId="0">
      <selection sqref="A1:M33"/>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4"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45861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85" t="s">
        <v>457</v>
      </c>
      <c r="C12" s="86" t="s">
        <v>23</v>
      </c>
      <c r="D12" s="53" t="s">
        <v>444</v>
      </c>
      <c r="E12" s="87" t="s">
        <v>24</v>
      </c>
      <c r="F12" s="87" t="s">
        <v>130</v>
      </c>
      <c r="G12" s="87" t="s">
        <v>458</v>
      </c>
      <c r="H12" s="78">
        <v>60000</v>
      </c>
      <c r="I12" s="42" t="s">
        <v>97</v>
      </c>
      <c r="J12" s="42" t="s">
        <v>97</v>
      </c>
      <c r="K12" s="11" t="s">
        <v>97</v>
      </c>
      <c r="L12" s="78" t="s">
        <v>97</v>
      </c>
      <c r="M12" s="12" t="s">
        <v>344</v>
      </c>
    </row>
    <row r="13" spans="1:13" x14ac:dyDescent="0.35">
      <c r="A13" s="415" t="s">
        <v>8</v>
      </c>
      <c r="B13" s="415"/>
      <c r="C13" s="415"/>
      <c r="D13" s="415"/>
      <c r="E13" s="415"/>
      <c r="F13" s="415"/>
      <c r="G13" s="415"/>
      <c r="H13" s="81">
        <f>SUM(H12:H12)</f>
        <v>60000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459</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ht="15" thickBot="1" x14ac:dyDescent="0.4">
      <c r="A20" s="420" t="s">
        <v>66</v>
      </c>
      <c r="B20" s="420"/>
      <c r="C20" s="26"/>
      <c r="D20" s="26"/>
      <c r="E20" s="407" t="s">
        <v>67</v>
      </c>
      <c r="F20" s="407"/>
      <c r="G20" s="49"/>
      <c r="H20" s="49"/>
      <c r="I20" s="408"/>
      <c r="J20" s="408"/>
      <c r="K20" s="28"/>
      <c r="L20" s="29"/>
      <c r="M20" s="29"/>
    </row>
    <row r="21" spans="1:13" ht="15" thickTop="1" x14ac:dyDescent="0.35">
      <c r="A21" s="421" t="s">
        <v>69</v>
      </c>
      <c r="B21" s="421"/>
      <c r="D21" s="30"/>
      <c r="E21" s="410" t="s">
        <v>70</v>
      </c>
      <c r="F21" s="410"/>
      <c r="G21" s="410" t="s">
        <v>71</v>
      </c>
      <c r="H21" s="410"/>
      <c r="I21" s="29"/>
      <c r="J21" s="29"/>
      <c r="K21" s="29" t="s">
        <v>72</v>
      </c>
      <c r="L21" s="31"/>
      <c r="M21" s="31"/>
    </row>
    <row r="22" spans="1:13" x14ac:dyDescent="0.35">
      <c r="A22" s="414" t="s">
        <v>92</v>
      </c>
      <c r="B22" s="414"/>
      <c r="D22" s="32"/>
      <c r="E22" s="414" t="s">
        <v>73</v>
      </c>
      <c r="F22" s="414"/>
      <c r="G22" s="414" t="s">
        <v>74</v>
      </c>
      <c r="H22" s="414"/>
      <c r="I22" s="31"/>
      <c r="J22" s="31"/>
      <c r="K22" s="31" t="s">
        <v>75</v>
      </c>
      <c r="L22" s="33"/>
      <c r="M22" s="33"/>
    </row>
    <row r="23" spans="1:13" x14ac:dyDescent="0.35">
      <c r="A23" s="412" t="s">
        <v>94</v>
      </c>
      <c r="B23" s="412"/>
      <c r="D23" s="34"/>
      <c r="E23" s="414" t="s">
        <v>78</v>
      </c>
      <c r="F23" s="414"/>
      <c r="G23" s="414" t="s">
        <v>414</v>
      </c>
      <c r="H23" s="414"/>
      <c r="I23" s="33"/>
      <c r="J23" s="33"/>
      <c r="K23" s="33" t="s">
        <v>80</v>
      </c>
      <c r="L23" s="34"/>
      <c r="M23" s="34"/>
    </row>
    <row r="24" spans="1:13" x14ac:dyDescent="0.35">
      <c r="A24" s="412" t="s">
        <v>76</v>
      </c>
      <c r="B24" s="412"/>
      <c r="D24" s="34"/>
      <c r="E24" s="412" t="s">
        <v>76</v>
      </c>
      <c r="F24" s="412"/>
      <c r="G24" s="412" t="s">
        <v>76</v>
      </c>
      <c r="H24" s="412"/>
      <c r="I24" s="33"/>
      <c r="J24" s="33"/>
      <c r="K24" s="3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32:B32"/>
    <mergeCell ref="C32:E32"/>
    <mergeCell ref="A33:B33"/>
    <mergeCell ref="C33:E33"/>
    <mergeCell ref="A24:B24"/>
    <mergeCell ref="E24:F24"/>
    <mergeCell ref="G24:H24"/>
    <mergeCell ref="A30:B30"/>
    <mergeCell ref="C30:E30"/>
    <mergeCell ref="A31:B31"/>
    <mergeCell ref="C31:E31"/>
    <mergeCell ref="A22:B22"/>
    <mergeCell ref="E22:F22"/>
    <mergeCell ref="G22:H22"/>
    <mergeCell ref="A23:B23"/>
    <mergeCell ref="E23:F23"/>
    <mergeCell ref="G23:H23"/>
    <mergeCell ref="A20:B20"/>
    <mergeCell ref="E20:F20"/>
    <mergeCell ref="I20:J20"/>
    <mergeCell ref="A21:B21"/>
    <mergeCell ref="E21:F21"/>
    <mergeCell ref="G21:H2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5"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AEF1-6DB0-469A-BFC9-0E49039FF8BB}">
  <sheetPr>
    <pageSetUpPr fitToPage="1"/>
  </sheetPr>
  <dimension ref="A1:M32"/>
  <sheetViews>
    <sheetView topLeftCell="A9" workbookViewId="0">
      <selection activeCell="H26" sqref="H26"/>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269</v>
      </c>
      <c r="D3" s="403"/>
      <c r="E3" s="403"/>
      <c r="F3" s="403"/>
      <c r="G3" s="403"/>
      <c r="H3" s="403"/>
      <c r="I3" s="403"/>
      <c r="J3" s="403"/>
      <c r="K3" s="403"/>
      <c r="L3" s="403"/>
      <c r="M3" s="385"/>
    </row>
    <row r="4" spans="1:13" x14ac:dyDescent="0.35">
      <c r="A4" s="384" t="s">
        <v>4</v>
      </c>
      <c r="B4" s="385"/>
      <c r="C4" s="393" t="s">
        <v>272</v>
      </c>
      <c r="D4" s="394"/>
      <c r="E4" s="394"/>
      <c r="F4" s="394"/>
      <c r="G4" s="394"/>
      <c r="H4" s="394"/>
      <c r="I4" s="394"/>
      <c r="J4" s="394"/>
      <c r="K4" s="394"/>
      <c r="L4" s="394"/>
      <c r="M4" s="395"/>
    </row>
    <row r="5" spans="1:13" x14ac:dyDescent="0.35">
      <c r="A5" s="384" t="s">
        <v>5</v>
      </c>
      <c r="B5" s="385"/>
      <c r="C5" s="387">
        <v>45648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H17</f>
        <v>295000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273</v>
      </c>
      <c r="J11" s="3" t="s">
        <v>18</v>
      </c>
      <c r="K11" s="3" t="s">
        <v>19</v>
      </c>
      <c r="L11" s="3" t="s">
        <v>20</v>
      </c>
      <c r="M11" s="3" t="s">
        <v>84</v>
      </c>
    </row>
    <row r="12" spans="1:13" x14ac:dyDescent="0.35">
      <c r="A12" s="5">
        <v>1</v>
      </c>
      <c r="B12" s="14" t="s">
        <v>85</v>
      </c>
      <c r="C12" s="7" t="s">
        <v>86</v>
      </c>
      <c r="D12" s="8" t="s">
        <v>87</v>
      </c>
      <c r="E12" s="5" t="s">
        <v>24</v>
      </c>
      <c r="F12" s="5" t="s">
        <v>44</v>
      </c>
      <c r="G12" s="5">
        <v>35020062</v>
      </c>
      <c r="H12" s="51">
        <v>140000</v>
      </c>
      <c r="I12" s="10">
        <v>52165</v>
      </c>
      <c r="J12" s="10">
        <v>123215</v>
      </c>
      <c r="K12" s="35">
        <v>45628</v>
      </c>
      <c r="L12" s="9">
        <v>120000</v>
      </c>
      <c r="M12" s="48" t="s">
        <v>276</v>
      </c>
    </row>
    <row r="13" spans="1:13" x14ac:dyDescent="0.35">
      <c r="A13" s="5">
        <v>2</v>
      </c>
      <c r="B13" s="14" t="s">
        <v>89</v>
      </c>
      <c r="C13" s="7" t="s">
        <v>86</v>
      </c>
      <c r="D13" s="8" t="s">
        <v>90</v>
      </c>
      <c r="E13" s="5" t="s">
        <v>24</v>
      </c>
      <c r="F13" s="5" t="s">
        <v>44</v>
      </c>
      <c r="G13" s="13">
        <v>40021666</v>
      </c>
      <c r="H13" s="9">
        <v>65000</v>
      </c>
      <c r="I13" s="10">
        <v>28710</v>
      </c>
      <c r="J13" s="10">
        <v>54674</v>
      </c>
      <c r="K13" s="35">
        <v>45628</v>
      </c>
      <c r="L13" s="9">
        <v>45000</v>
      </c>
      <c r="M13" s="48" t="s">
        <v>275</v>
      </c>
    </row>
    <row r="14" spans="1:13" x14ac:dyDescent="0.35">
      <c r="A14" s="5">
        <v>3</v>
      </c>
      <c r="B14" s="14" t="s">
        <v>158</v>
      </c>
      <c r="C14" s="7" t="s">
        <v>86</v>
      </c>
      <c r="D14" s="8">
        <v>269</v>
      </c>
      <c r="E14" s="5" t="s">
        <v>24</v>
      </c>
      <c r="F14" s="5" t="s">
        <v>44</v>
      </c>
      <c r="G14" s="5">
        <v>74023856</v>
      </c>
      <c r="H14" s="9">
        <v>10000</v>
      </c>
      <c r="I14" s="10">
        <v>38596</v>
      </c>
      <c r="J14" s="10">
        <v>56100</v>
      </c>
      <c r="K14" s="35">
        <v>45628</v>
      </c>
      <c r="L14" s="9">
        <v>40000</v>
      </c>
      <c r="M14" s="48" t="s">
        <v>274</v>
      </c>
    </row>
    <row r="15" spans="1:13" x14ac:dyDescent="0.35">
      <c r="A15" s="5">
        <v>5</v>
      </c>
      <c r="B15" s="19" t="s">
        <v>277</v>
      </c>
      <c r="C15" s="20" t="s">
        <v>49</v>
      </c>
      <c r="D15" s="53" t="s">
        <v>262</v>
      </c>
      <c r="E15" s="22" t="s">
        <v>247</v>
      </c>
      <c r="F15" s="5" t="s">
        <v>25</v>
      </c>
      <c r="G15" s="53" t="s">
        <v>263</v>
      </c>
      <c r="H15" s="9">
        <v>30000</v>
      </c>
      <c r="I15" s="10">
        <v>2374</v>
      </c>
      <c r="J15" s="10"/>
      <c r="K15" s="35">
        <v>45624</v>
      </c>
      <c r="L15" s="9">
        <v>5000</v>
      </c>
      <c r="M15" s="48" t="s">
        <v>258</v>
      </c>
    </row>
    <row r="16" spans="1:13" x14ac:dyDescent="0.35">
      <c r="A16" s="5">
        <v>6</v>
      </c>
      <c r="B16" s="16" t="s">
        <v>95</v>
      </c>
      <c r="C16" s="7" t="s">
        <v>49</v>
      </c>
      <c r="D16" s="73" t="s">
        <v>278</v>
      </c>
      <c r="E16" s="5" t="s">
        <v>24</v>
      </c>
      <c r="F16" s="5" t="s">
        <v>25</v>
      </c>
      <c r="G16" s="73" t="s">
        <v>279</v>
      </c>
      <c r="H16" s="9">
        <v>50000</v>
      </c>
      <c r="I16" s="10">
        <v>57691</v>
      </c>
      <c r="J16" s="10">
        <v>65697</v>
      </c>
      <c r="K16" s="35">
        <v>45634</v>
      </c>
      <c r="L16" s="9">
        <v>45000</v>
      </c>
      <c r="M16" s="17" t="s">
        <v>213</v>
      </c>
    </row>
    <row r="17" spans="1:13" x14ac:dyDescent="0.35">
      <c r="A17" s="415" t="s">
        <v>8</v>
      </c>
      <c r="B17" s="415"/>
      <c r="C17" s="415"/>
      <c r="D17" s="415"/>
      <c r="E17" s="415"/>
      <c r="F17" s="415"/>
      <c r="G17" s="415"/>
      <c r="H17" s="36">
        <f>SUM(H12:H16)</f>
        <v>295000</v>
      </c>
      <c r="I17" s="37"/>
      <c r="J17" s="25"/>
      <c r="K17" s="25"/>
      <c r="L17" s="26"/>
      <c r="M17" s="26"/>
    </row>
    <row r="18" spans="1:13" x14ac:dyDescent="0.35">
      <c r="A18" s="26"/>
      <c r="B18" s="26"/>
      <c r="C18" s="26"/>
      <c r="D18" s="26"/>
      <c r="E18" s="26"/>
      <c r="F18" s="26"/>
      <c r="G18" s="26"/>
      <c r="H18" s="26"/>
      <c r="I18" s="38"/>
      <c r="J18" s="26"/>
      <c r="K18" s="26"/>
      <c r="L18" s="26"/>
      <c r="M18" s="26"/>
    </row>
    <row r="19" spans="1:13" x14ac:dyDescent="0.35">
      <c r="A19" s="26"/>
      <c r="B19" s="26" t="s">
        <v>214</v>
      </c>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ht="15" thickBot="1" x14ac:dyDescent="0.4">
      <c r="A28" s="407" t="s">
        <v>66</v>
      </c>
      <c r="B28" s="407"/>
      <c r="C28" s="41"/>
      <c r="D28" s="26"/>
      <c r="E28" s="407" t="s">
        <v>67</v>
      </c>
      <c r="F28" s="407"/>
      <c r="G28" s="408"/>
      <c r="H28" s="408"/>
      <c r="I28" s="28"/>
      <c r="J28" s="28"/>
      <c r="K28" s="28"/>
      <c r="L28" s="39"/>
      <c r="M28" s="40"/>
    </row>
    <row r="29" spans="1:13" x14ac:dyDescent="0.35">
      <c r="A29" s="409" t="s">
        <v>69</v>
      </c>
      <c r="B29" s="409"/>
      <c r="C29" s="29" t="s">
        <v>113</v>
      </c>
      <c r="D29" s="29"/>
      <c r="E29" s="410" t="s">
        <v>70</v>
      </c>
      <c r="F29" s="410"/>
      <c r="G29" s="410" t="s">
        <v>71</v>
      </c>
      <c r="H29" s="410"/>
      <c r="I29" s="29"/>
      <c r="J29" s="29"/>
      <c r="K29" s="29" t="s">
        <v>72</v>
      </c>
      <c r="L29" s="31"/>
      <c r="M29" s="31"/>
    </row>
    <row r="30" spans="1:13" x14ac:dyDescent="0.35">
      <c r="A30" s="413" t="s">
        <v>92</v>
      </c>
      <c r="B30" s="413"/>
      <c r="C30" s="32" t="s">
        <v>7</v>
      </c>
      <c r="D30" s="32"/>
      <c r="E30" s="414" t="s">
        <v>73</v>
      </c>
      <c r="F30" s="414"/>
      <c r="G30" s="414" t="s">
        <v>74</v>
      </c>
      <c r="H30" s="414"/>
      <c r="I30" s="31"/>
      <c r="J30" s="31"/>
      <c r="K30" s="31" t="s">
        <v>75</v>
      </c>
      <c r="L30" s="33"/>
      <c r="M30" s="33"/>
    </row>
    <row r="31" spans="1:13" x14ac:dyDescent="0.35">
      <c r="A31" s="413" t="s">
        <v>94</v>
      </c>
      <c r="B31" s="413"/>
      <c r="C31" s="34" t="s">
        <v>77</v>
      </c>
      <c r="D31" s="34"/>
      <c r="E31" s="414" t="s">
        <v>78</v>
      </c>
      <c r="F31" s="414"/>
      <c r="G31" s="414" t="s">
        <v>79</v>
      </c>
      <c r="H31" s="414"/>
      <c r="I31" s="33"/>
      <c r="J31" s="33"/>
      <c r="K31" s="31" t="s">
        <v>80</v>
      </c>
      <c r="L31" s="34"/>
      <c r="M31" s="34"/>
    </row>
    <row r="32" spans="1:13" x14ac:dyDescent="0.35">
      <c r="A32" s="411" t="s">
        <v>76</v>
      </c>
      <c r="B32" s="411"/>
      <c r="C32" s="34" t="s">
        <v>81</v>
      </c>
      <c r="D32" s="34"/>
      <c r="E32" s="412" t="s">
        <v>76</v>
      </c>
      <c r="F32" s="412"/>
      <c r="G32" s="412" t="s">
        <v>76</v>
      </c>
      <c r="H32" s="412"/>
      <c r="I32" s="33"/>
      <c r="J32" s="33"/>
      <c r="K32" s="33"/>
    </row>
  </sheetData>
  <mergeCells count="34">
    <mergeCell ref="A32:B32"/>
    <mergeCell ref="E32:F32"/>
    <mergeCell ref="G32:H32"/>
    <mergeCell ref="A30:B30"/>
    <mergeCell ref="E30:F30"/>
    <mergeCell ref="G30:H30"/>
    <mergeCell ref="A31:B31"/>
    <mergeCell ref="E31:F31"/>
    <mergeCell ref="G31:H31"/>
    <mergeCell ref="A28:B28"/>
    <mergeCell ref="E28:F28"/>
    <mergeCell ref="G28:H28"/>
    <mergeCell ref="A29:B29"/>
    <mergeCell ref="E29:F29"/>
    <mergeCell ref="G29:H29"/>
    <mergeCell ref="A17:G17"/>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639D-1B53-4FC8-A5F7-F0C853DD0B85}">
  <sheetPr>
    <pageSetUpPr fitToPage="1"/>
  </sheetPr>
  <dimension ref="A1:M38"/>
  <sheetViews>
    <sheetView workbookViewId="0">
      <selection activeCell="L15" sqref="L15"/>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295</v>
      </c>
      <c r="D3" s="403"/>
      <c r="E3" s="403"/>
      <c r="F3" s="403"/>
      <c r="G3" s="403"/>
      <c r="H3" s="403"/>
      <c r="I3" s="403"/>
      <c r="J3" s="403"/>
      <c r="K3" s="403"/>
      <c r="L3" s="403"/>
      <c r="M3" s="385"/>
    </row>
    <row r="4" spans="1:13" x14ac:dyDescent="0.35">
      <c r="A4" s="384" t="s">
        <v>4</v>
      </c>
      <c r="B4" s="385"/>
      <c r="C4" s="393" t="s">
        <v>296</v>
      </c>
      <c r="D4" s="394"/>
      <c r="E4" s="394"/>
      <c r="F4" s="394"/>
      <c r="G4" s="394"/>
      <c r="H4" s="394"/>
      <c r="I4" s="394"/>
      <c r="J4" s="394"/>
      <c r="K4" s="394"/>
      <c r="L4" s="394"/>
      <c r="M4" s="395"/>
    </row>
    <row r="5" spans="1:13" x14ac:dyDescent="0.35">
      <c r="A5" s="384" t="s">
        <v>5</v>
      </c>
      <c r="B5" s="385"/>
      <c r="C5" s="387">
        <v>45673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H16</f>
        <v>330000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297</v>
      </c>
      <c r="J11" s="3" t="s">
        <v>18</v>
      </c>
      <c r="K11" s="3" t="s">
        <v>19</v>
      </c>
      <c r="L11" s="3" t="s">
        <v>20</v>
      </c>
      <c r="M11" s="3" t="s">
        <v>84</v>
      </c>
    </row>
    <row r="12" spans="1:13" x14ac:dyDescent="0.35">
      <c r="A12" s="5">
        <v>1</v>
      </c>
      <c r="B12" s="14" t="s">
        <v>85</v>
      </c>
      <c r="C12" s="7" t="s">
        <v>86</v>
      </c>
      <c r="D12" s="8" t="s">
        <v>87</v>
      </c>
      <c r="E12" s="5" t="s">
        <v>24</v>
      </c>
      <c r="F12" s="5" t="s">
        <v>44</v>
      </c>
      <c r="G12" s="5">
        <v>35020062</v>
      </c>
      <c r="H12" s="51">
        <v>190000</v>
      </c>
      <c r="I12" s="10">
        <v>81265</v>
      </c>
      <c r="J12" s="10">
        <v>140596</v>
      </c>
      <c r="K12" s="35">
        <v>45658</v>
      </c>
      <c r="L12" s="51">
        <v>140000</v>
      </c>
      <c r="M12" s="48" t="s">
        <v>298</v>
      </c>
    </row>
    <row r="13" spans="1:13" x14ac:dyDescent="0.35">
      <c r="A13" s="5">
        <v>2</v>
      </c>
      <c r="B13" s="14" t="s">
        <v>89</v>
      </c>
      <c r="C13" s="7" t="s">
        <v>86</v>
      </c>
      <c r="D13" s="8" t="s">
        <v>90</v>
      </c>
      <c r="E13" s="5" t="s">
        <v>24</v>
      </c>
      <c r="F13" s="5" t="s">
        <v>44</v>
      </c>
      <c r="G13" s="13">
        <v>40021666</v>
      </c>
      <c r="H13" s="9">
        <v>60000</v>
      </c>
      <c r="I13" s="10">
        <v>49361</v>
      </c>
      <c r="J13" s="10">
        <v>73553</v>
      </c>
      <c r="K13" s="35">
        <v>45658</v>
      </c>
      <c r="L13" s="9">
        <v>65000</v>
      </c>
      <c r="M13" s="48" t="s">
        <v>299</v>
      </c>
    </row>
    <row r="14" spans="1:13" x14ac:dyDescent="0.35">
      <c r="A14" s="5">
        <v>3</v>
      </c>
      <c r="B14" s="14" t="s">
        <v>158</v>
      </c>
      <c r="C14" s="7" t="s">
        <v>86</v>
      </c>
      <c r="D14" s="8">
        <v>269</v>
      </c>
      <c r="E14" s="5" t="s">
        <v>24</v>
      </c>
      <c r="F14" s="5" t="s">
        <v>44</v>
      </c>
      <c r="G14" s="5">
        <v>74023856</v>
      </c>
      <c r="H14" s="9">
        <v>30000</v>
      </c>
      <c r="I14" s="10">
        <v>28608</v>
      </c>
      <c r="J14" s="10">
        <v>41630</v>
      </c>
      <c r="K14" s="35">
        <v>45658</v>
      </c>
      <c r="L14" s="9">
        <v>10000</v>
      </c>
      <c r="M14" s="48" t="s">
        <v>274</v>
      </c>
    </row>
    <row r="15" spans="1:13" x14ac:dyDescent="0.35">
      <c r="A15" s="5">
        <v>4</v>
      </c>
      <c r="B15" s="16" t="s">
        <v>95</v>
      </c>
      <c r="C15" s="7" t="s">
        <v>49</v>
      </c>
      <c r="D15" s="73" t="s">
        <v>278</v>
      </c>
      <c r="E15" s="5" t="s">
        <v>24</v>
      </c>
      <c r="F15" s="5" t="s">
        <v>25</v>
      </c>
      <c r="G15" s="73" t="s">
        <v>279</v>
      </c>
      <c r="H15" s="9">
        <v>50000</v>
      </c>
      <c r="I15" s="10">
        <v>59707</v>
      </c>
      <c r="J15" s="10">
        <v>68682</v>
      </c>
      <c r="K15" s="35">
        <v>45299</v>
      </c>
      <c r="L15" s="9">
        <v>50000</v>
      </c>
      <c r="M15" s="17" t="s">
        <v>213</v>
      </c>
    </row>
    <row r="16" spans="1:13" x14ac:dyDescent="0.35">
      <c r="A16" s="415" t="s">
        <v>8</v>
      </c>
      <c r="B16" s="415"/>
      <c r="C16" s="415"/>
      <c r="D16" s="415"/>
      <c r="E16" s="415"/>
      <c r="F16" s="415"/>
      <c r="G16" s="415"/>
      <c r="H16" s="36">
        <f>SUM(H12:H15)</f>
        <v>330000</v>
      </c>
      <c r="I16" s="37"/>
      <c r="J16" s="25"/>
      <c r="K16" s="25"/>
      <c r="L16" s="26"/>
      <c r="M16" s="26"/>
    </row>
    <row r="17" spans="1:13" x14ac:dyDescent="0.35">
      <c r="A17" s="26"/>
      <c r="B17" s="26"/>
      <c r="C17" s="26"/>
      <c r="D17" s="26"/>
      <c r="E17" s="26"/>
      <c r="F17" s="26"/>
      <c r="G17" s="26"/>
      <c r="H17" s="26"/>
      <c r="I17" s="38"/>
      <c r="J17" s="26"/>
      <c r="K17" s="26"/>
      <c r="L17" s="26"/>
      <c r="M17" s="26"/>
    </row>
    <row r="18" spans="1:13" x14ac:dyDescent="0.35">
      <c r="A18" s="26"/>
      <c r="B18" s="26" t="s">
        <v>300</v>
      </c>
      <c r="C18" s="26"/>
      <c r="D18" s="26"/>
      <c r="E18" s="26"/>
      <c r="F18" s="26"/>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407" t="s">
        <v>66</v>
      </c>
      <c r="B27" s="407"/>
      <c r="C27" s="26"/>
      <c r="D27" s="26"/>
      <c r="E27" s="407" t="s">
        <v>67</v>
      </c>
      <c r="F27" s="407"/>
      <c r="G27" s="408"/>
      <c r="H27" s="408"/>
      <c r="I27" s="28"/>
      <c r="J27" s="28"/>
      <c r="K27" s="28"/>
      <c r="L27" s="39"/>
      <c r="M27" s="40"/>
    </row>
    <row r="28" spans="1:13" x14ac:dyDescent="0.35">
      <c r="A28" s="409" t="s">
        <v>69</v>
      </c>
      <c r="B28" s="409"/>
      <c r="D28" s="29"/>
      <c r="E28" s="410" t="s">
        <v>70</v>
      </c>
      <c r="F28" s="410"/>
      <c r="G28" s="410" t="s">
        <v>71</v>
      </c>
      <c r="H28" s="410"/>
      <c r="I28" s="29"/>
      <c r="J28" s="29"/>
      <c r="K28" s="29" t="s">
        <v>72</v>
      </c>
      <c r="L28" s="31"/>
      <c r="M28" s="31"/>
    </row>
    <row r="29" spans="1:13" x14ac:dyDescent="0.35">
      <c r="A29" s="413" t="s">
        <v>92</v>
      </c>
      <c r="B29" s="413"/>
      <c r="D29" s="32"/>
      <c r="E29" s="414" t="s">
        <v>73</v>
      </c>
      <c r="F29" s="414"/>
      <c r="G29" s="414" t="s">
        <v>74</v>
      </c>
      <c r="H29" s="414"/>
      <c r="I29" s="31"/>
      <c r="J29" s="31"/>
      <c r="K29" s="31" t="s">
        <v>75</v>
      </c>
      <c r="L29" s="33"/>
      <c r="M29" s="33"/>
    </row>
    <row r="30" spans="1:13" x14ac:dyDescent="0.35">
      <c r="A30" s="413" t="s">
        <v>94</v>
      </c>
      <c r="B30" s="413"/>
      <c r="D30" s="34"/>
      <c r="E30" s="414" t="s">
        <v>78</v>
      </c>
      <c r="F30" s="414"/>
      <c r="G30" s="414" t="s">
        <v>79</v>
      </c>
      <c r="H30" s="414"/>
      <c r="I30" s="33"/>
      <c r="J30" s="33"/>
      <c r="K30" s="31" t="s">
        <v>80</v>
      </c>
      <c r="L30" s="34"/>
      <c r="M30" s="34"/>
    </row>
    <row r="31" spans="1:13" x14ac:dyDescent="0.35">
      <c r="A31" s="411" t="s">
        <v>76</v>
      </c>
      <c r="B31" s="411"/>
      <c r="D31" s="34"/>
      <c r="E31" s="412" t="s">
        <v>76</v>
      </c>
      <c r="F31" s="412"/>
      <c r="G31" s="412" t="s">
        <v>76</v>
      </c>
      <c r="H31" s="412"/>
      <c r="I31" s="33"/>
      <c r="J31" s="33"/>
      <c r="K31" s="33"/>
    </row>
    <row r="34" spans="2:2" ht="15" thickBot="1" x14ac:dyDescent="0.4"/>
    <row r="35" spans="2:2" ht="15" thickTop="1" x14ac:dyDescent="0.35">
      <c r="B35" s="105" t="s">
        <v>113</v>
      </c>
    </row>
    <row r="36" spans="2:2" x14ac:dyDescent="0.35">
      <c r="B36" s="32" t="s">
        <v>7</v>
      </c>
    </row>
    <row r="37" spans="2:2" x14ac:dyDescent="0.35">
      <c r="B37" s="34" t="s">
        <v>77</v>
      </c>
    </row>
    <row r="38" spans="2:2" x14ac:dyDescent="0.35">
      <c r="B38" s="34" t="s">
        <v>81</v>
      </c>
    </row>
  </sheetData>
  <mergeCells count="34">
    <mergeCell ref="A4:B4"/>
    <mergeCell ref="C4:M4"/>
    <mergeCell ref="A1:M1"/>
    <mergeCell ref="A2:B2"/>
    <mergeCell ref="C2:M2"/>
    <mergeCell ref="A3:B3"/>
    <mergeCell ref="C3:M3"/>
    <mergeCell ref="A16:G16"/>
    <mergeCell ref="A5:B5"/>
    <mergeCell ref="C5:M5"/>
    <mergeCell ref="A6:B6"/>
    <mergeCell ref="C6:M6"/>
    <mergeCell ref="A7:B7"/>
    <mergeCell ref="C7:M7"/>
    <mergeCell ref="A8:B8"/>
    <mergeCell ref="C8:M8"/>
    <mergeCell ref="A9:B9"/>
    <mergeCell ref="C9:M9"/>
    <mergeCell ref="A10:M10"/>
    <mergeCell ref="A27:B27"/>
    <mergeCell ref="E27:F27"/>
    <mergeCell ref="G27:H27"/>
    <mergeCell ref="A28:B28"/>
    <mergeCell ref="E28:F28"/>
    <mergeCell ref="G28:H28"/>
    <mergeCell ref="A31:B31"/>
    <mergeCell ref="E31:F31"/>
    <mergeCell ref="G31:H31"/>
    <mergeCell ref="A29:B29"/>
    <mergeCell ref="E29:F29"/>
    <mergeCell ref="G29:H29"/>
    <mergeCell ref="A30:B30"/>
    <mergeCell ref="E30:F30"/>
    <mergeCell ref="G30:H30"/>
  </mergeCells>
  <pageMargins left="0.25" right="0.25" top="0.75" bottom="0.75" header="0.3" footer="0.3"/>
  <pageSetup scale="74"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AA45-FCB6-47DC-B302-060342FEB27D}">
  <sheetPr codeName="Sheet14">
    <pageSetUpPr fitToPage="1"/>
  </sheetPr>
  <dimension ref="A1:M26"/>
  <sheetViews>
    <sheetView topLeftCell="A4" workbookViewId="0">
      <selection activeCell="D29" sqref="D29"/>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200</v>
      </c>
      <c r="D3" s="403"/>
      <c r="E3" s="403"/>
      <c r="F3" s="403"/>
      <c r="G3" s="403"/>
      <c r="H3" s="403"/>
      <c r="I3" s="403"/>
      <c r="J3" s="403"/>
      <c r="K3" s="403"/>
      <c r="L3" s="403"/>
      <c r="M3" s="385"/>
    </row>
    <row r="4" spans="1:13" x14ac:dyDescent="0.35">
      <c r="A4" s="384" t="s">
        <v>4</v>
      </c>
      <c r="B4" s="385"/>
      <c r="C4" s="393" t="s">
        <v>210</v>
      </c>
      <c r="D4" s="394"/>
      <c r="E4" s="394"/>
      <c r="F4" s="394"/>
      <c r="G4" s="394"/>
      <c r="H4" s="394"/>
      <c r="I4" s="394"/>
      <c r="J4" s="394"/>
      <c r="K4" s="394"/>
      <c r="L4" s="394"/>
      <c r="M4" s="395"/>
    </row>
    <row r="5" spans="1:13" x14ac:dyDescent="0.35">
      <c r="A5" s="384" t="s">
        <v>5</v>
      </c>
      <c r="B5" s="385"/>
      <c r="C5" s="387">
        <v>45432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H17</f>
        <v>295000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203</v>
      </c>
      <c r="J11" s="3" t="s">
        <v>18</v>
      </c>
      <c r="K11" s="3" t="s">
        <v>19</v>
      </c>
      <c r="L11" s="3" t="s">
        <v>20</v>
      </c>
      <c r="M11" s="3" t="s">
        <v>84</v>
      </c>
    </row>
    <row r="12" spans="1:13" x14ac:dyDescent="0.35">
      <c r="A12" s="5">
        <v>1</v>
      </c>
      <c r="B12" s="14" t="s">
        <v>85</v>
      </c>
      <c r="C12" s="7" t="s">
        <v>86</v>
      </c>
      <c r="D12" s="8" t="s">
        <v>87</v>
      </c>
      <c r="E12" s="5" t="s">
        <v>24</v>
      </c>
      <c r="F12" s="5" t="s">
        <v>44</v>
      </c>
      <c r="G12" s="5">
        <v>35020062</v>
      </c>
      <c r="H12" s="51">
        <v>150000</v>
      </c>
      <c r="I12" s="10">
        <v>49925</v>
      </c>
      <c r="J12" s="10">
        <v>133760</v>
      </c>
      <c r="K12" s="35">
        <v>45407</v>
      </c>
      <c r="L12" s="9">
        <v>100000</v>
      </c>
      <c r="M12" s="48" t="s">
        <v>88</v>
      </c>
    </row>
    <row r="13" spans="1:13" x14ac:dyDescent="0.35">
      <c r="A13" s="5">
        <v>2</v>
      </c>
      <c r="B13" s="14" t="s">
        <v>89</v>
      </c>
      <c r="C13" s="7" t="s">
        <v>86</v>
      </c>
      <c r="D13" s="8" t="s">
        <v>90</v>
      </c>
      <c r="E13" s="5" t="s">
        <v>24</v>
      </c>
      <c r="F13" s="5" t="s">
        <v>44</v>
      </c>
      <c r="G13" s="13">
        <v>40021666</v>
      </c>
      <c r="H13" s="9">
        <v>50000</v>
      </c>
      <c r="I13" s="10">
        <v>9420</v>
      </c>
      <c r="J13" s="10">
        <v>47920</v>
      </c>
      <c r="K13" s="35">
        <v>45407</v>
      </c>
      <c r="L13" s="9">
        <v>40000</v>
      </c>
      <c r="M13" s="48" t="s">
        <v>91</v>
      </c>
    </row>
    <row r="14" spans="1:13" x14ac:dyDescent="0.35">
      <c r="A14" s="5">
        <v>3</v>
      </c>
      <c r="B14" s="14" t="s">
        <v>158</v>
      </c>
      <c r="C14" s="7" t="s">
        <v>86</v>
      </c>
      <c r="D14" s="8">
        <v>269</v>
      </c>
      <c r="E14" s="5" t="s">
        <v>24</v>
      </c>
      <c r="F14" s="5" t="s">
        <v>44</v>
      </c>
      <c r="G14" s="5">
        <v>74023856</v>
      </c>
      <c r="H14" s="9">
        <v>20000</v>
      </c>
      <c r="I14" s="10">
        <v>35060</v>
      </c>
      <c r="J14" s="10">
        <v>38065</v>
      </c>
      <c r="K14" s="35">
        <v>45426</v>
      </c>
      <c r="L14" s="9">
        <v>30000</v>
      </c>
      <c r="M14" s="48" t="s">
        <v>88</v>
      </c>
    </row>
    <row r="15" spans="1:13" x14ac:dyDescent="0.35">
      <c r="A15" s="5">
        <v>4</v>
      </c>
      <c r="B15" s="19" t="s">
        <v>211</v>
      </c>
      <c r="C15" s="20" t="s">
        <v>144</v>
      </c>
      <c r="D15" s="53" t="s">
        <v>146</v>
      </c>
      <c r="E15" s="22" t="s">
        <v>64</v>
      </c>
      <c r="F15" s="5" t="s">
        <v>145</v>
      </c>
      <c r="G15" s="21">
        <v>97017150</v>
      </c>
      <c r="H15" s="9">
        <v>25000</v>
      </c>
      <c r="I15" s="10">
        <v>10000</v>
      </c>
      <c r="J15" s="10"/>
      <c r="K15" s="35">
        <v>45426</v>
      </c>
      <c r="L15" s="9">
        <v>18000</v>
      </c>
      <c r="M15" s="48" t="s">
        <v>212</v>
      </c>
    </row>
    <row r="16" spans="1:13" x14ac:dyDescent="0.35">
      <c r="A16" s="5">
        <v>5</v>
      </c>
      <c r="B16" s="16" t="s">
        <v>95</v>
      </c>
      <c r="C16" s="7" t="s">
        <v>49</v>
      </c>
      <c r="D16" s="8">
        <v>183</v>
      </c>
      <c r="E16" s="5" t="s">
        <v>24</v>
      </c>
      <c r="F16" s="5" t="s">
        <v>25</v>
      </c>
      <c r="G16" s="8">
        <v>10230044268</v>
      </c>
      <c r="H16" s="9">
        <v>50000</v>
      </c>
      <c r="I16" s="10">
        <v>55731</v>
      </c>
      <c r="J16" s="10">
        <v>73634</v>
      </c>
      <c r="K16" s="35">
        <v>45416</v>
      </c>
      <c r="L16" s="45">
        <v>60000</v>
      </c>
      <c r="M16" s="17" t="s">
        <v>213</v>
      </c>
    </row>
    <row r="17" spans="1:13" x14ac:dyDescent="0.35">
      <c r="A17" s="415" t="s">
        <v>8</v>
      </c>
      <c r="B17" s="415"/>
      <c r="C17" s="415"/>
      <c r="D17" s="415"/>
      <c r="E17" s="415"/>
      <c r="F17" s="415"/>
      <c r="G17" s="415"/>
      <c r="H17" s="36">
        <f>SUM(H12:H16)</f>
        <v>295000</v>
      </c>
      <c r="I17" s="37"/>
      <c r="J17" s="25"/>
      <c r="K17" s="25"/>
      <c r="L17" s="26"/>
      <c r="M17" s="26"/>
    </row>
    <row r="18" spans="1:13" x14ac:dyDescent="0.35">
      <c r="A18" s="26"/>
      <c r="B18" s="26"/>
      <c r="C18" s="26"/>
      <c r="D18" s="26"/>
      <c r="E18" s="26"/>
      <c r="F18" s="26"/>
      <c r="G18" s="26"/>
      <c r="H18" s="26"/>
      <c r="I18" s="38"/>
      <c r="J18" s="26"/>
      <c r="K18" s="26"/>
      <c r="L18" s="26"/>
      <c r="M18" s="26"/>
    </row>
    <row r="19" spans="1:13" x14ac:dyDescent="0.35">
      <c r="A19" s="26"/>
      <c r="B19" s="26" t="s">
        <v>214</v>
      </c>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ht="15" thickBot="1" x14ac:dyDescent="0.4">
      <c r="A22" s="407" t="s">
        <v>66</v>
      </c>
      <c r="B22" s="407"/>
      <c r="C22" s="41"/>
      <c r="D22" s="26"/>
      <c r="E22" s="407" t="s">
        <v>67</v>
      </c>
      <c r="F22" s="407"/>
      <c r="G22" s="408"/>
      <c r="H22" s="408"/>
      <c r="I22" s="28"/>
      <c r="J22" s="28"/>
      <c r="K22" s="28"/>
      <c r="L22" s="39"/>
      <c r="M22" s="40"/>
    </row>
    <row r="23" spans="1:13" x14ac:dyDescent="0.35">
      <c r="A23" s="409" t="s">
        <v>69</v>
      </c>
      <c r="B23" s="409"/>
      <c r="C23" s="29" t="s">
        <v>113</v>
      </c>
      <c r="D23" s="29"/>
      <c r="E23" s="410" t="s">
        <v>70</v>
      </c>
      <c r="F23" s="410"/>
      <c r="G23" s="410" t="s">
        <v>71</v>
      </c>
      <c r="H23" s="410"/>
      <c r="I23" s="29"/>
      <c r="J23" s="29"/>
      <c r="K23" s="29" t="s">
        <v>72</v>
      </c>
      <c r="L23" s="31"/>
      <c r="M23" s="31"/>
    </row>
    <row r="24" spans="1:13" x14ac:dyDescent="0.35">
      <c r="A24" s="413" t="s">
        <v>92</v>
      </c>
      <c r="B24" s="413"/>
      <c r="C24" s="32" t="s">
        <v>7</v>
      </c>
      <c r="D24" s="32"/>
      <c r="E24" s="414" t="s">
        <v>73</v>
      </c>
      <c r="F24" s="414"/>
      <c r="G24" s="414" t="s">
        <v>74</v>
      </c>
      <c r="H24" s="414"/>
      <c r="I24" s="31"/>
      <c r="J24" s="31"/>
      <c r="K24" s="31" t="s">
        <v>75</v>
      </c>
      <c r="L24" s="33"/>
      <c r="M24" s="33"/>
    </row>
    <row r="25" spans="1:13" x14ac:dyDescent="0.35">
      <c r="A25" s="413" t="s">
        <v>94</v>
      </c>
      <c r="B25" s="413"/>
      <c r="C25" s="34" t="s">
        <v>77</v>
      </c>
      <c r="D25" s="34"/>
      <c r="E25" s="414" t="s">
        <v>78</v>
      </c>
      <c r="F25" s="414"/>
      <c r="G25" s="414" t="s">
        <v>79</v>
      </c>
      <c r="H25" s="414"/>
      <c r="I25" s="33"/>
      <c r="J25" s="33"/>
      <c r="K25" s="31" t="s">
        <v>80</v>
      </c>
      <c r="L25" s="34"/>
      <c r="M25" s="34"/>
    </row>
    <row r="26" spans="1:13" x14ac:dyDescent="0.35">
      <c r="A26" s="411" t="s">
        <v>76</v>
      </c>
      <c r="B26" s="411"/>
      <c r="C26" s="34" t="s">
        <v>81</v>
      </c>
      <c r="D26" s="34"/>
      <c r="E26" s="412" t="s">
        <v>76</v>
      </c>
      <c r="F26" s="412"/>
      <c r="G26" s="412" t="s">
        <v>76</v>
      </c>
      <c r="H26" s="412"/>
      <c r="I26" s="33"/>
      <c r="J26" s="33"/>
      <c r="K26" s="33"/>
    </row>
  </sheetData>
  <mergeCells count="34">
    <mergeCell ref="A26:B26"/>
    <mergeCell ref="E26:F26"/>
    <mergeCell ref="G26:H26"/>
    <mergeCell ref="A24:B24"/>
    <mergeCell ref="E24:F24"/>
    <mergeCell ref="G24:H24"/>
    <mergeCell ref="A25:B25"/>
    <mergeCell ref="E25:F25"/>
    <mergeCell ref="G25:H25"/>
    <mergeCell ref="A22:B22"/>
    <mergeCell ref="E22:F22"/>
    <mergeCell ref="G22:H22"/>
    <mergeCell ref="A23:B23"/>
    <mergeCell ref="E23:F23"/>
    <mergeCell ref="G23:H23"/>
    <mergeCell ref="A17:G17"/>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fitToHeight="0"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399B9-F3E5-4958-B3C7-CEC48A4EA284}">
  <sheetPr codeName="Sheet15">
    <pageSetUpPr fitToPage="1"/>
  </sheetPr>
  <dimension ref="A1:M24"/>
  <sheetViews>
    <sheetView topLeftCell="A7" workbookViewId="0">
      <selection sqref="A1:M25"/>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52"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177</v>
      </c>
      <c r="D3" s="403"/>
      <c r="E3" s="403"/>
      <c r="F3" s="403"/>
      <c r="G3" s="403"/>
      <c r="H3" s="403"/>
      <c r="I3" s="403"/>
      <c r="J3" s="403"/>
      <c r="K3" s="403"/>
      <c r="L3" s="403"/>
      <c r="M3" s="385"/>
    </row>
    <row r="4" spans="1:13" x14ac:dyDescent="0.35">
      <c r="A4" s="384" t="s">
        <v>4</v>
      </c>
      <c r="B4" s="385"/>
      <c r="C4" s="393" t="s">
        <v>178</v>
      </c>
      <c r="D4" s="394"/>
      <c r="E4" s="394"/>
      <c r="F4" s="394"/>
      <c r="G4" s="394"/>
      <c r="H4" s="394"/>
      <c r="I4" s="394"/>
      <c r="J4" s="394"/>
      <c r="K4" s="394"/>
      <c r="L4" s="394"/>
      <c r="M4" s="395"/>
    </row>
    <row r="5" spans="1:13" x14ac:dyDescent="0.35">
      <c r="A5" s="384" t="s">
        <v>5</v>
      </c>
      <c r="B5" s="385"/>
      <c r="C5" s="387">
        <v>45400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H15</f>
        <v>200000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126</v>
      </c>
      <c r="J11" s="3" t="s">
        <v>18</v>
      </c>
      <c r="K11" s="3" t="s">
        <v>19</v>
      </c>
      <c r="L11" s="3" t="s">
        <v>20</v>
      </c>
      <c r="M11" s="3" t="s">
        <v>84</v>
      </c>
    </row>
    <row r="12" spans="1:13" x14ac:dyDescent="0.35">
      <c r="A12" s="5">
        <v>1</v>
      </c>
      <c r="B12" s="14" t="s">
        <v>85</v>
      </c>
      <c r="C12" s="7" t="s">
        <v>86</v>
      </c>
      <c r="D12" s="8" t="s">
        <v>87</v>
      </c>
      <c r="E12" s="5" t="s">
        <v>24</v>
      </c>
      <c r="F12" s="5" t="s">
        <v>44</v>
      </c>
      <c r="G12" s="5">
        <v>35020062</v>
      </c>
      <c r="H12" s="51">
        <v>100000</v>
      </c>
      <c r="I12" s="10">
        <v>93640</v>
      </c>
      <c r="J12" s="10">
        <v>174140</v>
      </c>
      <c r="K12" s="35">
        <v>45375</v>
      </c>
      <c r="L12" s="9">
        <v>120000</v>
      </c>
      <c r="M12" s="48" t="s">
        <v>88</v>
      </c>
    </row>
    <row r="13" spans="1:13" x14ac:dyDescent="0.35">
      <c r="A13" s="5">
        <v>2</v>
      </c>
      <c r="B13" s="14" t="s">
        <v>89</v>
      </c>
      <c r="C13" s="7" t="s">
        <v>86</v>
      </c>
      <c r="D13" s="8" t="s">
        <v>90</v>
      </c>
      <c r="E13" s="5" t="s">
        <v>24</v>
      </c>
      <c r="F13" s="5" t="s">
        <v>44</v>
      </c>
      <c r="G13" s="13">
        <v>40021666</v>
      </c>
      <c r="H13" s="9">
        <v>40000</v>
      </c>
      <c r="I13" s="10">
        <v>61475</v>
      </c>
      <c r="J13" s="10">
        <v>61475</v>
      </c>
      <c r="K13" s="35">
        <v>45375</v>
      </c>
      <c r="L13" s="9">
        <v>40000</v>
      </c>
      <c r="M13" s="48" t="s">
        <v>91</v>
      </c>
    </row>
    <row r="14" spans="1:13" x14ac:dyDescent="0.35">
      <c r="A14" s="5">
        <v>3</v>
      </c>
      <c r="B14" s="16" t="s">
        <v>95</v>
      </c>
      <c r="C14" s="7" t="s">
        <v>49</v>
      </c>
      <c r="D14" s="8">
        <v>183</v>
      </c>
      <c r="E14" s="5" t="s">
        <v>24</v>
      </c>
      <c r="F14" s="5" t="s">
        <v>25</v>
      </c>
      <c r="G14" s="8">
        <v>10230044268</v>
      </c>
      <c r="H14" s="9">
        <v>60000</v>
      </c>
      <c r="I14" s="10">
        <v>61134</v>
      </c>
      <c r="J14" s="10">
        <v>90341</v>
      </c>
      <c r="K14" s="35">
        <v>45380</v>
      </c>
      <c r="L14" s="45">
        <v>65000</v>
      </c>
      <c r="M14" s="17" t="s">
        <v>176</v>
      </c>
    </row>
    <row r="15" spans="1:13" x14ac:dyDescent="0.35">
      <c r="A15" s="415" t="s">
        <v>8</v>
      </c>
      <c r="B15" s="415"/>
      <c r="C15" s="415"/>
      <c r="D15" s="415"/>
      <c r="E15" s="415"/>
      <c r="F15" s="415"/>
      <c r="G15" s="415"/>
      <c r="H15" s="36">
        <f>SUM(H12:H14)</f>
        <v>200000</v>
      </c>
      <c r="I15" s="37"/>
      <c r="J15" s="25"/>
      <c r="K15" s="25"/>
      <c r="L15" s="26"/>
      <c r="M15" s="26"/>
    </row>
    <row r="16" spans="1:13" x14ac:dyDescent="0.35">
      <c r="A16" s="26"/>
      <c r="B16" s="26"/>
      <c r="C16" s="26"/>
      <c r="D16" s="26"/>
      <c r="E16" s="26"/>
      <c r="F16" s="26"/>
      <c r="G16" s="26"/>
      <c r="H16" s="26"/>
      <c r="I16" s="38"/>
      <c r="J16" s="26"/>
      <c r="K16" s="26"/>
      <c r="L16" s="26"/>
      <c r="M16" s="26"/>
    </row>
    <row r="17" spans="1:13" x14ac:dyDescent="0.35">
      <c r="A17" s="26"/>
      <c r="B17" s="26" t="s">
        <v>179</v>
      </c>
      <c r="C17" s="26"/>
      <c r="D17" s="26"/>
      <c r="E17" s="26"/>
      <c r="F17" s="26"/>
      <c r="G17" s="26"/>
      <c r="H17" s="26"/>
      <c r="I17" s="38"/>
      <c r="J17" s="26"/>
      <c r="K17" s="26"/>
      <c r="L17" s="26"/>
      <c r="M17" s="26"/>
    </row>
    <row r="18" spans="1:13" x14ac:dyDescent="0.35">
      <c r="A18" s="26"/>
      <c r="B18" s="26"/>
      <c r="C18" s="26"/>
      <c r="D18" s="26"/>
      <c r="E18" s="26"/>
      <c r="F18" s="26"/>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ht="15" thickBot="1" x14ac:dyDescent="0.4">
      <c r="A20" s="407" t="s">
        <v>66</v>
      </c>
      <c r="B20" s="407"/>
      <c r="C20" s="41"/>
      <c r="D20" s="26"/>
      <c r="E20" s="407" t="s">
        <v>67</v>
      </c>
      <c r="F20" s="407"/>
      <c r="G20" s="408"/>
      <c r="H20" s="408"/>
      <c r="I20" s="28"/>
      <c r="J20" s="28"/>
      <c r="K20" s="28"/>
      <c r="L20" s="39"/>
      <c r="M20" s="40"/>
    </row>
    <row r="21" spans="1:13" x14ac:dyDescent="0.35">
      <c r="A21" s="409" t="s">
        <v>69</v>
      </c>
      <c r="B21" s="409"/>
      <c r="C21" s="29" t="s">
        <v>113</v>
      </c>
      <c r="D21" s="29"/>
      <c r="E21" s="410" t="s">
        <v>70</v>
      </c>
      <c r="F21" s="410"/>
      <c r="G21" s="410" t="s">
        <v>71</v>
      </c>
      <c r="H21" s="410"/>
      <c r="I21" s="29"/>
      <c r="J21" s="29"/>
      <c r="K21" s="29" t="s">
        <v>72</v>
      </c>
      <c r="L21" s="31"/>
      <c r="M21" s="31"/>
    </row>
    <row r="22" spans="1:13" x14ac:dyDescent="0.35">
      <c r="A22" s="413" t="s">
        <v>92</v>
      </c>
      <c r="B22" s="413"/>
      <c r="C22" s="32" t="s">
        <v>7</v>
      </c>
      <c r="D22" s="32"/>
      <c r="E22" s="414" t="s">
        <v>73</v>
      </c>
      <c r="F22" s="414"/>
      <c r="G22" s="414" t="s">
        <v>74</v>
      </c>
      <c r="H22" s="414"/>
      <c r="I22" s="31"/>
      <c r="J22" s="31"/>
      <c r="K22" s="31" t="s">
        <v>75</v>
      </c>
      <c r="L22" s="33"/>
      <c r="M22" s="33"/>
    </row>
    <row r="23" spans="1:13" x14ac:dyDescent="0.35">
      <c r="A23" s="413" t="s">
        <v>94</v>
      </c>
      <c r="B23" s="413"/>
      <c r="C23" s="34" t="s">
        <v>77</v>
      </c>
      <c r="D23" s="34"/>
      <c r="E23" s="414" t="s">
        <v>78</v>
      </c>
      <c r="F23" s="414"/>
      <c r="G23" s="414" t="s">
        <v>79</v>
      </c>
      <c r="H23" s="414"/>
      <c r="I23" s="33"/>
      <c r="J23" s="33"/>
      <c r="K23" s="31" t="s">
        <v>80</v>
      </c>
      <c r="L23" s="34"/>
      <c r="M23" s="34"/>
    </row>
    <row r="24" spans="1:13" x14ac:dyDescent="0.35">
      <c r="A24" s="411" t="s">
        <v>76</v>
      </c>
      <c r="B24" s="411"/>
      <c r="C24" s="34" t="s">
        <v>81</v>
      </c>
      <c r="D24" s="34"/>
      <c r="E24" s="412" t="s">
        <v>76</v>
      </c>
      <c r="F24" s="412"/>
      <c r="G24" s="412" t="s">
        <v>76</v>
      </c>
      <c r="H24" s="412"/>
      <c r="I24" s="33"/>
      <c r="J24" s="33"/>
      <c r="K24" s="33"/>
    </row>
  </sheetData>
  <mergeCells count="34">
    <mergeCell ref="A24:B24"/>
    <mergeCell ref="E24:F24"/>
    <mergeCell ref="G24:H24"/>
    <mergeCell ref="A22:B22"/>
    <mergeCell ref="E22:F22"/>
    <mergeCell ref="G22:H22"/>
    <mergeCell ref="A23:B23"/>
    <mergeCell ref="E23:F23"/>
    <mergeCell ref="G23:H23"/>
    <mergeCell ref="A20:B20"/>
    <mergeCell ref="E20:F20"/>
    <mergeCell ref="G20:H20"/>
    <mergeCell ref="A21:B21"/>
    <mergeCell ref="E21:F21"/>
    <mergeCell ref="G21:H21"/>
    <mergeCell ref="A15:G15"/>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63C4-451C-4BAC-9CE0-38714AD24D48}">
  <sheetPr>
    <pageSetUpPr fitToPage="1"/>
  </sheetPr>
  <dimension ref="A1:M43"/>
  <sheetViews>
    <sheetView topLeftCell="A10" workbookViewId="0">
      <selection sqref="A1:M42"/>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6"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393</v>
      </c>
      <c r="D3" s="403"/>
      <c r="E3" s="403"/>
      <c r="F3" s="403"/>
      <c r="G3" s="403"/>
      <c r="H3" s="403"/>
      <c r="I3" s="403"/>
      <c r="J3" s="403"/>
      <c r="K3" s="403"/>
      <c r="L3" s="403"/>
      <c r="M3" s="385"/>
    </row>
    <row r="4" spans="1:13" x14ac:dyDescent="0.35">
      <c r="A4" s="384" t="s">
        <v>4</v>
      </c>
      <c r="B4" s="385"/>
      <c r="C4" s="393" t="s">
        <v>392</v>
      </c>
      <c r="D4" s="394"/>
      <c r="E4" s="394"/>
      <c r="F4" s="394"/>
      <c r="G4" s="394"/>
      <c r="H4" s="394"/>
      <c r="I4" s="394"/>
      <c r="J4" s="394"/>
      <c r="K4" s="394"/>
      <c r="L4" s="394"/>
      <c r="M4" s="395"/>
    </row>
    <row r="5" spans="1:13" x14ac:dyDescent="0.35">
      <c r="A5" s="384" t="s">
        <v>5</v>
      </c>
      <c r="B5" s="385"/>
      <c r="C5" s="387">
        <v>45790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379</v>
      </c>
      <c r="J11" s="3" t="s">
        <v>18</v>
      </c>
      <c r="K11" s="3" t="s">
        <v>19</v>
      </c>
      <c r="L11" s="3" t="s">
        <v>20</v>
      </c>
      <c r="M11" s="3" t="s">
        <v>84</v>
      </c>
    </row>
    <row r="12" spans="1:13" x14ac:dyDescent="0.35">
      <c r="A12" s="5">
        <v>1</v>
      </c>
      <c r="B12" s="16" t="s">
        <v>95</v>
      </c>
      <c r="C12" s="7" t="s">
        <v>49</v>
      </c>
      <c r="D12" s="8">
        <v>183</v>
      </c>
      <c r="E12" s="5" t="s">
        <v>24</v>
      </c>
      <c r="F12" s="5" t="s">
        <v>25</v>
      </c>
      <c r="G12" s="73" t="s">
        <v>279</v>
      </c>
      <c r="H12" s="9">
        <v>6000</v>
      </c>
      <c r="I12" s="10"/>
      <c r="J12" s="10"/>
      <c r="K12" s="35"/>
      <c r="L12" s="45"/>
      <c r="M12" s="17" t="s">
        <v>176</v>
      </c>
    </row>
    <row r="13" spans="1:13" x14ac:dyDescent="0.35">
      <c r="A13" s="415" t="s">
        <v>8</v>
      </c>
      <c r="B13" s="415"/>
      <c r="C13" s="415"/>
      <c r="D13" s="415"/>
      <c r="E13" s="415"/>
      <c r="F13" s="415"/>
      <c r="G13" s="415"/>
      <c r="H13" s="36">
        <f>SUM(H12:H12)</f>
        <v>6000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394</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26"/>
      <c r="C17" s="26"/>
      <c r="D17" s="26"/>
      <c r="E17" s="26"/>
      <c r="F17" s="26"/>
      <c r="G17" s="26"/>
      <c r="H17" s="26"/>
      <c r="I17" s="38"/>
      <c r="J17" s="26"/>
      <c r="K17" s="26"/>
      <c r="L17" s="26"/>
      <c r="M17" s="26"/>
    </row>
    <row r="18" spans="1:13" x14ac:dyDescent="0.35">
      <c r="A18" s="26"/>
      <c r="B18" s="26"/>
      <c r="C18" s="26"/>
      <c r="D18" s="26"/>
      <c r="E18" s="26"/>
      <c r="F18" s="26"/>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454" t="s">
        <v>395</v>
      </c>
      <c r="C21" s="454"/>
      <c r="D21" s="454"/>
      <c r="E21" s="454"/>
      <c r="F21" s="26"/>
      <c r="G21" s="26"/>
      <c r="H21" s="26"/>
      <c r="I21" s="38"/>
      <c r="J21" s="26"/>
      <c r="K21" s="26"/>
      <c r="L21" s="26"/>
      <c r="M21" s="26"/>
    </row>
    <row r="22" spans="1:13" x14ac:dyDescent="0.35">
      <c r="A22" s="26"/>
      <c r="B22" s="454"/>
      <c r="C22" s="454"/>
      <c r="D22" s="454"/>
      <c r="E22" s="454"/>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ht="15" thickBot="1" x14ac:dyDescent="0.4">
      <c r="A30" s="407" t="s">
        <v>66</v>
      </c>
      <c r="B30" s="407"/>
      <c r="C30" s="41"/>
      <c r="D30" s="26"/>
      <c r="E30" s="407" t="s">
        <v>67</v>
      </c>
      <c r="F30" s="407"/>
      <c r="G30" s="408"/>
      <c r="H30" s="408"/>
      <c r="I30" s="28"/>
      <c r="J30" s="28"/>
      <c r="K30" s="28"/>
      <c r="L30" s="39"/>
      <c r="M30" s="40"/>
    </row>
    <row r="31" spans="1:13" x14ac:dyDescent="0.35">
      <c r="A31" s="409" t="s">
        <v>69</v>
      </c>
      <c r="B31" s="409"/>
      <c r="C31" s="29" t="s">
        <v>113</v>
      </c>
      <c r="D31" s="29"/>
      <c r="E31" s="410" t="s">
        <v>70</v>
      </c>
      <c r="F31" s="410"/>
      <c r="G31" s="410" t="s">
        <v>71</v>
      </c>
      <c r="H31" s="410"/>
      <c r="I31" s="29"/>
      <c r="J31" s="29"/>
      <c r="K31" s="29" t="s">
        <v>72</v>
      </c>
      <c r="L31" s="31"/>
      <c r="M31" s="31"/>
    </row>
    <row r="32" spans="1:13" x14ac:dyDescent="0.35">
      <c r="A32" s="413" t="s">
        <v>92</v>
      </c>
      <c r="B32" s="413"/>
      <c r="C32" s="32" t="s">
        <v>7</v>
      </c>
      <c r="D32" s="32"/>
      <c r="E32" s="414" t="s">
        <v>73</v>
      </c>
      <c r="F32" s="414"/>
      <c r="G32" s="414" t="s">
        <v>74</v>
      </c>
      <c r="H32" s="414"/>
      <c r="I32" s="31"/>
      <c r="J32" s="31"/>
      <c r="K32" s="31" t="s">
        <v>75</v>
      </c>
      <c r="L32" s="33"/>
      <c r="M32" s="33"/>
    </row>
    <row r="33" spans="1:13" x14ac:dyDescent="0.35">
      <c r="A33" s="413" t="s">
        <v>94</v>
      </c>
      <c r="B33" s="413"/>
      <c r="C33" s="34" t="s">
        <v>77</v>
      </c>
      <c r="D33" s="34"/>
      <c r="E33" s="414" t="s">
        <v>78</v>
      </c>
      <c r="F33" s="414"/>
      <c r="G33" s="414" t="s">
        <v>79</v>
      </c>
      <c r="H33" s="414"/>
      <c r="I33" s="33"/>
      <c r="J33" s="33"/>
      <c r="K33" s="31" t="s">
        <v>80</v>
      </c>
      <c r="L33" s="34"/>
      <c r="M33" s="34"/>
    </row>
    <row r="34" spans="1:13" x14ac:dyDescent="0.35">
      <c r="A34" s="411" t="s">
        <v>76</v>
      </c>
      <c r="B34" s="411"/>
      <c r="C34" s="34" t="s">
        <v>81</v>
      </c>
      <c r="D34" s="34"/>
      <c r="E34" s="412" t="s">
        <v>76</v>
      </c>
      <c r="F34" s="412"/>
      <c r="G34" s="412" t="s">
        <v>76</v>
      </c>
      <c r="H34" s="412"/>
      <c r="I34" s="33"/>
      <c r="J34" s="33"/>
      <c r="K34" s="33"/>
    </row>
    <row r="39" spans="1:13" ht="15" thickBot="1" x14ac:dyDescent="0.4"/>
    <row r="40" spans="1:13" ht="15.5" thickTop="1" thickBot="1" x14ac:dyDescent="0.4">
      <c r="A40" s="447" t="s">
        <v>267</v>
      </c>
      <c r="B40" s="448"/>
      <c r="C40" s="448"/>
      <c r="D40" s="448"/>
    </row>
    <row r="41" spans="1:13" ht="15.5" thickTop="1" thickBot="1" x14ac:dyDescent="0.4">
      <c r="A41" s="448"/>
      <c r="B41" s="448"/>
      <c r="C41" s="448"/>
      <c r="D41" s="448"/>
    </row>
    <row r="42" spans="1:13" ht="31.5" customHeight="1" thickTop="1" thickBot="1" x14ac:dyDescent="0.4">
      <c r="A42" s="448"/>
      <c r="B42" s="448"/>
      <c r="C42" s="448"/>
      <c r="D42" s="448"/>
    </row>
    <row r="43" spans="1:13" ht="15" thickTop="1" x14ac:dyDescent="0.35"/>
  </sheetData>
  <mergeCells count="36">
    <mergeCell ref="A4:B4"/>
    <mergeCell ref="C4:M4"/>
    <mergeCell ref="A1:M1"/>
    <mergeCell ref="A2:B2"/>
    <mergeCell ref="C2:M2"/>
    <mergeCell ref="A3:B3"/>
    <mergeCell ref="C3:M3"/>
    <mergeCell ref="A5:B5"/>
    <mergeCell ref="C5:M5"/>
    <mergeCell ref="A6:B6"/>
    <mergeCell ref="C6:M6"/>
    <mergeCell ref="A7:B7"/>
    <mergeCell ref="C7:M7"/>
    <mergeCell ref="G31:H31"/>
    <mergeCell ref="A8:B8"/>
    <mergeCell ref="C8:M8"/>
    <mergeCell ref="A9:B9"/>
    <mergeCell ref="C9:M9"/>
    <mergeCell ref="A10:M10"/>
    <mergeCell ref="A13:G13"/>
    <mergeCell ref="A34:B34"/>
    <mergeCell ref="E34:F34"/>
    <mergeCell ref="G34:H34"/>
    <mergeCell ref="B21:E22"/>
    <mergeCell ref="A40:D42"/>
    <mergeCell ref="A32:B32"/>
    <mergeCell ref="E32:F32"/>
    <mergeCell ref="G32:H32"/>
    <mergeCell ref="A33:B33"/>
    <mergeCell ref="E33:F33"/>
    <mergeCell ref="G33:H33"/>
    <mergeCell ref="A30:B30"/>
    <mergeCell ref="E30:F30"/>
    <mergeCell ref="G30:H30"/>
    <mergeCell ref="A31:B31"/>
    <mergeCell ref="E31:F31"/>
  </mergeCells>
  <pageMargins left="0.25" right="0.25" top="0.75" bottom="0.75" header="0.3" footer="0.3"/>
  <pageSetup scale="73"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18DD2-D372-46AE-8863-6D6594D432DA}">
  <sheetPr codeName="Sheet16">
    <pageSetUpPr fitToPage="1"/>
  </sheetPr>
  <dimension ref="A1:M23"/>
  <sheetViews>
    <sheetView workbookViewId="0">
      <selection activeCell="B13" sqref="B13:G13"/>
    </sheetView>
  </sheetViews>
  <sheetFormatPr defaultRowHeight="14.5" x14ac:dyDescent="0.35"/>
  <cols>
    <col min="1" max="1" width="5.81640625" bestFit="1" customWidth="1"/>
    <col min="2" max="2" width="31.0898437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189</v>
      </c>
      <c r="D3" s="403"/>
      <c r="E3" s="403"/>
      <c r="F3" s="403"/>
      <c r="G3" s="403"/>
      <c r="H3" s="403"/>
      <c r="I3" s="403"/>
      <c r="J3" s="403"/>
      <c r="K3" s="403"/>
      <c r="L3" s="403"/>
      <c r="M3" s="385"/>
    </row>
    <row r="4" spans="1:13" x14ac:dyDescent="0.35">
      <c r="A4" s="384" t="s">
        <v>4</v>
      </c>
      <c r="B4" s="385"/>
      <c r="C4" s="393" t="s">
        <v>178</v>
      </c>
      <c r="D4" s="394"/>
      <c r="E4" s="394"/>
      <c r="F4" s="394"/>
      <c r="G4" s="394"/>
      <c r="H4" s="394"/>
      <c r="I4" s="394"/>
      <c r="J4" s="394"/>
      <c r="K4" s="394"/>
      <c r="L4" s="394"/>
      <c r="M4" s="395"/>
    </row>
    <row r="5" spans="1:13" x14ac:dyDescent="0.35">
      <c r="A5" s="384" t="s">
        <v>5</v>
      </c>
      <c r="B5" s="385"/>
      <c r="C5" s="387">
        <v>45421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48000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188</v>
      </c>
      <c r="H11" s="3" t="s">
        <v>17</v>
      </c>
      <c r="I11" s="3" t="s">
        <v>191</v>
      </c>
      <c r="J11" s="3" t="s">
        <v>18</v>
      </c>
      <c r="K11" s="3" t="s">
        <v>19</v>
      </c>
      <c r="L11" s="3" t="s">
        <v>20</v>
      </c>
      <c r="M11" s="3" t="s">
        <v>84</v>
      </c>
    </row>
    <row r="12" spans="1:13" x14ac:dyDescent="0.35">
      <c r="A12" s="5">
        <v>1</v>
      </c>
      <c r="B12" s="14" t="s">
        <v>158</v>
      </c>
      <c r="C12" s="7" t="s">
        <v>86</v>
      </c>
      <c r="D12" s="8">
        <v>269</v>
      </c>
      <c r="E12" s="5" t="s">
        <v>24</v>
      </c>
      <c r="F12" s="5" t="s">
        <v>44</v>
      </c>
      <c r="G12" s="5">
        <v>74023856</v>
      </c>
      <c r="H12" s="51">
        <v>30000</v>
      </c>
      <c r="I12" s="10">
        <v>35530</v>
      </c>
      <c r="J12" s="10">
        <v>57997</v>
      </c>
      <c r="K12" s="35">
        <v>45375</v>
      </c>
      <c r="L12" s="9">
        <v>40000</v>
      </c>
      <c r="M12" s="48" t="s">
        <v>88</v>
      </c>
    </row>
    <row r="13" spans="1:13" x14ac:dyDescent="0.35">
      <c r="A13" s="5">
        <v>2</v>
      </c>
      <c r="B13" s="19" t="s">
        <v>149</v>
      </c>
      <c r="C13" s="20" t="s">
        <v>144</v>
      </c>
      <c r="D13" s="53" t="s">
        <v>146</v>
      </c>
      <c r="E13" s="22" t="s">
        <v>64</v>
      </c>
      <c r="F13" s="5" t="s">
        <v>145</v>
      </c>
      <c r="G13" s="21">
        <v>97017150</v>
      </c>
      <c r="H13" s="9">
        <v>18000</v>
      </c>
      <c r="I13" s="10">
        <v>10000</v>
      </c>
      <c r="J13" s="42" t="s">
        <v>97</v>
      </c>
      <c r="K13" s="35">
        <v>45406</v>
      </c>
      <c r="L13" s="9">
        <v>3000</v>
      </c>
      <c r="M13" s="17" t="s">
        <v>132</v>
      </c>
    </row>
    <row r="14" spans="1:13" x14ac:dyDescent="0.35">
      <c r="A14" s="415" t="s">
        <v>8</v>
      </c>
      <c r="B14" s="415"/>
      <c r="C14" s="415"/>
      <c r="D14" s="415"/>
      <c r="E14" s="415"/>
      <c r="F14" s="415"/>
      <c r="G14" s="415"/>
      <c r="H14" s="36">
        <f>SUM(H12:H13)</f>
        <v>48000</v>
      </c>
      <c r="I14" s="37"/>
      <c r="J14" s="25"/>
      <c r="K14" s="25"/>
      <c r="L14" s="26"/>
      <c r="M14" s="26"/>
    </row>
    <row r="15" spans="1:13" x14ac:dyDescent="0.35">
      <c r="A15" s="26"/>
      <c r="B15" s="26"/>
      <c r="C15" s="26"/>
      <c r="D15" s="26"/>
      <c r="E15" s="26"/>
      <c r="F15" s="26"/>
      <c r="G15" s="26"/>
      <c r="H15" s="26"/>
      <c r="I15" s="38"/>
      <c r="J15" s="26"/>
      <c r="K15" s="26"/>
      <c r="L15" s="26"/>
      <c r="M15" s="26"/>
    </row>
    <row r="16" spans="1:13" x14ac:dyDescent="0.35">
      <c r="A16" s="26"/>
      <c r="B16" s="26" t="s">
        <v>190</v>
      </c>
      <c r="C16" s="26"/>
      <c r="D16" s="26"/>
      <c r="E16" s="26"/>
      <c r="F16" s="26"/>
      <c r="G16" s="26"/>
      <c r="H16" s="26"/>
      <c r="I16" s="38"/>
      <c r="J16" s="26"/>
      <c r="K16" s="26"/>
      <c r="L16" s="26"/>
      <c r="M16" s="26"/>
    </row>
    <row r="17" spans="1:13" x14ac:dyDescent="0.35">
      <c r="A17" s="26"/>
      <c r="B17" s="26"/>
      <c r="C17" s="26"/>
      <c r="D17" s="26"/>
      <c r="E17" s="26"/>
      <c r="F17" s="26"/>
      <c r="G17" s="26"/>
      <c r="H17" s="26"/>
      <c r="I17" s="38"/>
      <c r="J17" s="26"/>
      <c r="K17" s="26"/>
      <c r="L17" s="26"/>
      <c r="M17" s="26"/>
    </row>
    <row r="18" spans="1:13" x14ac:dyDescent="0.35">
      <c r="A18" s="26"/>
      <c r="B18" s="26"/>
      <c r="C18" s="26"/>
      <c r="D18" s="26"/>
      <c r="E18" s="26"/>
      <c r="F18" s="26"/>
      <c r="G18" s="26"/>
      <c r="H18" s="26"/>
      <c r="I18" s="38"/>
      <c r="J18" s="26"/>
      <c r="K18" s="26"/>
      <c r="L18" s="26"/>
      <c r="M18" s="26"/>
    </row>
    <row r="19" spans="1:13" ht="15" thickBot="1" x14ac:dyDescent="0.4">
      <c r="A19" s="407" t="s">
        <v>66</v>
      </c>
      <c r="B19" s="407"/>
      <c r="C19" s="41"/>
      <c r="D19" s="26"/>
      <c r="E19" s="407" t="s">
        <v>67</v>
      </c>
      <c r="F19" s="407"/>
      <c r="G19" s="408"/>
      <c r="H19" s="408"/>
      <c r="I19" s="28"/>
      <c r="J19" s="28"/>
      <c r="K19" s="28"/>
      <c r="L19" s="39"/>
      <c r="M19" s="40"/>
    </row>
    <row r="20" spans="1:13" x14ac:dyDescent="0.35">
      <c r="A20" s="421" t="s">
        <v>69</v>
      </c>
      <c r="B20" s="421"/>
      <c r="C20" s="29" t="s">
        <v>113</v>
      </c>
      <c r="D20" s="29"/>
      <c r="E20" s="410" t="s">
        <v>70</v>
      </c>
      <c r="F20" s="410"/>
      <c r="G20" s="410" t="s">
        <v>71</v>
      </c>
      <c r="H20" s="410"/>
      <c r="I20" s="29"/>
      <c r="J20" s="29"/>
      <c r="K20" s="29" t="s">
        <v>72</v>
      </c>
      <c r="L20" s="31"/>
      <c r="M20" s="31"/>
    </row>
    <row r="21" spans="1:13" x14ac:dyDescent="0.35">
      <c r="A21" s="414" t="s">
        <v>92</v>
      </c>
      <c r="B21" s="414"/>
      <c r="C21" s="32" t="s">
        <v>7</v>
      </c>
      <c r="D21" s="32"/>
      <c r="E21" s="414" t="s">
        <v>73</v>
      </c>
      <c r="F21" s="414"/>
      <c r="G21" s="414" t="s">
        <v>74</v>
      </c>
      <c r="H21" s="414"/>
      <c r="I21" s="31"/>
      <c r="J21" s="31"/>
      <c r="K21" s="31" t="s">
        <v>75</v>
      </c>
      <c r="L21" s="33"/>
      <c r="M21" s="33"/>
    </row>
    <row r="22" spans="1:13" x14ac:dyDescent="0.35">
      <c r="A22" s="414" t="s">
        <v>94</v>
      </c>
      <c r="B22" s="414"/>
      <c r="C22" s="34" t="s">
        <v>77</v>
      </c>
      <c r="D22" s="34"/>
      <c r="E22" s="414" t="s">
        <v>78</v>
      </c>
      <c r="F22" s="414"/>
      <c r="G22" s="414" t="s">
        <v>79</v>
      </c>
      <c r="H22" s="414"/>
      <c r="I22" s="33"/>
      <c r="J22" s="33"/>
      <c r="K22" s="31" t="s">
        <v>80</v>
      </c>
      <c r="L22" s="34"/>
      <c r="M22" s="34"/>
    </row>
    <row r="23" spans="1:13" x14ac:dyDescent="0.35">
      <c r="A23" s="412" t="s">
        <v>76</v>
      </c>
      <c r="B23" s="412"/>
      <c r="C23" s="34" t="s">
        <v>81</v>
      </c>
      <c r="D23" s="34"/>
      <c r="E23" s="412" t="s">
        <v>76</v>
      </c>
      <c r="F23" s="412"/>
      <c r="G23" s="412" t="s">
        <v>76</v>
      </c>
      <c r="H23" s="412"/>
      <c r="I23" s="33"/>
      <c r="J23" s="33"/>
      <c r="K23" s="33"/>
    </row>
  </sheetData>
  <mergeCells count="34">
    <mergeCell ref="A23:B23"/>
    <mergeCell ref="E23:F23"/>
    <mergeCell ref="G23:H23"/>
    <mergeCell ref="A21:B21"/>
    <mergeCell ref="E21:F21"/>
    <mergeCell ref="G21:H21"/>
    <mergeCell ref="A22:B22"/>
    <mergeCell ref="E22:F22"/>
    <mergeCell ref="G22:H22"/>
    <mergeCell ref="A19:B19"/>
    <mergeCell ref="E19:F19"/>
    <mergeCell ref="G19:H19"/>
    <mergeCell ref="A20:B20"/>
    <mergeCell ref="E20:F20"/>
    <mergeCell ref="G20:H20"/>
    <mergeCell ref="A14:G1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0"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8116-B9A1-4F66-9A40-997D10990F21}">
  <sheetPr codeName="Sheet17">
    <pageSetUpPr fitToPage="1"/>
  </sheetPr>
  <dimension ref="A1:N28"/>
  <sheetViews>
    <sheetView topLeftCell="A7" zoomScale="94" zoomScaleNormal="94" workbookViewId="0">
      <selection sqref="A1:M23"/>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 min="14" max="14" width="12.453125" bestFit="1" customWidth="1"/>
  </cols>
  <sheetData>
    <row r="1" spans="1:14" ht="48.75" customHeight="1" x14ac:dyDescent="0.35">
      <c r="A1" s="402" t="s">
        <v>0</v>
      </c>
      <c r="B1" s="402"/>
      <c r="C1" s="402"/>
      <c r="D1" s="402"/>
      <c r="E1" s="402"/>
      <c r="F1" s="402"/>
      <c r="G1" s="402"/>
      <c r="H1" s="402"/>
      <c r="I1" s="402"/>
      <c r="J1" s="402"/>
      <c r="K1" s="402"/>
      <c r="L1" s="402"/>
      <c r="M1" s="402"/>
    </row>
    <row r="2" spans="1:14" x14ac:dyDescent="0.35">
      <c r="A2" s="384" t="s">
        <v>1</v>
      </c>
      <c r="B2" s="385"/>
      <c r="C2" s="393" t="s">
        <v>83</v>
      </c>
      <c r="D2" s="394"/>
      <c r="E2" s="394"/>
      <c r="F2" s="394"/>
      <c r="G2" s="394"/>
      <c r="H2" s="394"/>
      <c r="I2" s="394"/>
      <c r="J2" s="394"/>
      <c r="K2" s="394"/>
      <c r="L2" s="394"/>
      <c r="M2" s="395"/>
    </row>
    <row r="3" spans="1:14" x14ac:dyDescent="0.35">
      <c r="A3" s="384" t="s">
        <v>3</v>
      </c>
      <c r="B3" s="385"/>
      <c r="C3" s="384" t="s">
        <v>124</v>
      </c>
      <c r="D3" s="403"/>
      <c r="E3" s="403"/>
      <c r="F3" s="403"/>
      <c r="G3" s="403"/>
      <c r="H3" s="403"/>
      <c r="I3" s="403"/>
      <c r="J3" s="403"/>
      <c r="K3" s="403"/>
      <c r="L3" s="403"/>
      <c r="M3" s="385"/>
    </row>
    <row r="4" spans="1:14" x14ac:dyDescent="0.35">
      <c r="A4" s="384" t="s">
        <v>4</v>
      </c>
      <c r="B4" s="385"/>
      <c r="C4" s="393" t="s">
        <v>125</v>
      </c>
      <c r="D4" s="394"/>
      <c r="E4" s="394"/>
      <c r="F4" s="394"/>
      <c r="G4" s="394"/>
      <c r="H4" s="394"/>
      <c r="I4" s="394"/>
      <c r="J4" s="394"/>
      <c r="K4" s="394"/>
      <c r="L4" s="394"/>
      <c r="M4" s="395"/>
    </row>
    <row r="5" spans="1:14" x14ac:dyDescent="0.35">
      <c r="A5" s="384" t="s">
        <v>5</v>
      </c>
      <c r="B5" s="385"/>
      <c r="C5" s="387">
        <v>45312</v>
      </c>
      <c r="D5" s="388"/>
      <c r="E5" s="388"/>
      <c r="F5" s="388"/>
      <c r="G5" s="388"/>
      <c r="H5" s="388"/>
      <c r="I5" s="388"/>
      <c r="J5" s="388"/>
      <c r="K5" s="388"/>
      <c r="L5" s="388"/>
      <c r="M5" s="389"/>
    </row>
    <row r="6" spans="1:14" x14ac:dyDescent="0.35">
      <c r="A6" s="384" t="s">
        <v>6</v>
      </c>
      <c r="B6" s="385"/>
      <c r="C6" s="390">
        <v>1703</v>
      </c>
      <c r="D6" s="391"/>
      <c r="E6" s="391"/>
      <c r="F6" s="391"/>
      <c r="G6" s="391"/>
      <c r="H6" s="391"/>
      <c r="I6" s="391"/>
      <c r="J6" s="391"/>
      <c r="K6" s="391"/>
      <c r="L6" s="391"/>
      <c r="M6" s="392"/>
    </row>
    <row r="7" spans="1:14" x14ac:dyDescent="0.35">
      <c r="A7" s="384" t="s">
        <v>7</v>
      </c>
      <c r="B7" s="385"/>
      <c r="C7" s="393" t="s">
        <v>92</v>
      </c>
      <c r="D7" s="394"/>
      <c r="E7" s="394"/>
      <c r="F7" s="394"/>
      <c r="G7" s="394"/>
      <c r="H7" s="394"/>
      <c r="I7" s="394"/>
      <c r="J7" s="394"/>
      <c r="K7" s="394"/>
      <c r="L7" s="394"/>
      <c r="M7" s="395"/>
    </row>
    <row r="8" spans="1:14" x14ac:dyDescent="0.35">
      <c r="A8" s="384" t="s">
        <v>8</v>
      </c>
      <c r="B8" s="385"/>
      <c r="C8" s="396">
        <f>H15</f>
        <v>62000</v>
      </c>
      <c r="D8" s="397"/>
      <c r="E8" s="397"/>
      <c r="F8" s="397"/>
      <c r="G8" s="397"/>
      <c r="H8" s="397"/>
      <c r="I8" s="397"/>
      <c r="J8" s="397"/>
      <c r="K8" s="397"/>
      <c r="L8" s="397"/>
      <c r="M8" s="398"/>
    </row>
    <row r="9" spans="1:14" ht="3.75" customHeight="1" x14ac:dyDescent="0.35">
      <c r="A9" s="384"/>
      <c r="B9" s="385"/>
      <c r="C9" s="399"/>
      <c r="D9" s="400"/>
      <c r="E9" s="400"/>
      <c r="F9" s="400"/>
      <c r="G9" s="400"/>
      <c r="H9" s="400"/>
      <c r="I9" s="400"/>
      <c r="J9" s="400"/>
      <c r="K9" s="400"/>
      <c r="L9" s="400"/>
      <c r="M9" s="401"/>
    </row>
    <row r="10" spans="1:14" x14ac:dyDescent="0.35">
      <c r="A10" s="404" t="s">
        <v>9</v>
      </c>
      <c r="B10" s="405"/>
      <c r="C10" s="405"/>
      <c r="D10" s="405"/>
      <c r="E10" s="405"/>
      <c r="F10" s="405"/>
      <c r="G10" s="405"/>
      <c r="H10" s="405"/>
      <c r="I10" s="405"/>
      <c r="J10" s="405"/>
      <c r="K10" s="405"/>
      <c r="L10" s="405"/>
      <c r="M10" s="406"/>
    </row>
    <row r="11" spans="1:14" ht="52.5" customHeight="1" x14ac:dyDescent="0.35">
      <c r="A11" s="1" t="s">
        <v>10</v>
      </c>
      <c r="B11" s="2" t="s">
        <v>11</v>
      </c>
      <c r="C11" s="2" t="s">
        <v>12</v>
      </c>
      <c r="D11" s="2" t="s">
        <v>13</v>
      </c>
      <c r="E11" s="2" t="s">
        <v>14</v>
      </c>
      <c r="F11" s="3" t="s">
        <v>15</v>
      </c>
      <c r="G11" s="3" t="s">
        <v>16</v>
      </c>
      <c r="H11" s="3" t="s">
        <v>17</v>
      </c>
      <c r="I11" s="3" t="s">
        <v>126</v>
      </c>
      <c r="J11" s="3" t="s">
        <v>18</v>
      </c>
      <c r="K11" s="3" t="s">
        <v>19</v>
      </c>
      <c r="L11" s="3" t="s">
        <v>20</v>
      </c>
      <c r="M11" s="3" t="s">
        <v>84</v>
      </c>
    </row>
    <row r="12" spans="1:14" x14ac:dyDescent="0.35">
      <c r="A12" s="5">
        <v>1</v>
      </c>
      <c r="B12" s="14" t="s">
        <v>85</v>
      </c>
      <c r="C12" s="7" t="s">
        <v>86</v>
      </c>
      <c r="D12" s="8" t="s">
        <v>87</v>
      </c>
      <c r="E12" s="5" t="s">
        <v>24</v>
      </c>
      <c r="F12" s="5" t="s">
        <v>44</v>
      </c>
      <c r="G12" s="5">
        <v>35020062</v>
      </c>
      <c r="H12" s="51" t="s">
        <v>97</v>
      </c>
      <c r="I12" s="10">
        <v>162550</v>
      </c>
      <c r="J12" s="10">
        <v>197475</v>
      </c>
      <c r="K12" s="35">
        <v>45287</v>
      </c>
      <c r="L12" s="9">
        <v>100000</v>
      </c>
      <c r="M12" s="48" t="s">
        <v>88</v>
      </c>
    </row>
    <row r="13" spans="1:14" x14ac:dyDescent="0.35">
      <c r="A13" s="5">
        <v>2</v>
      </c>
      <c r="B13" s="14" t="s">
        <v>89</v>
      </c>
      <c r="C13" s="7" t="s">
        <v>86</v>
      </c>
      <c r="D13" s="8" t="s">
        <v>90</v>
      </c>
      <c r="E13" s="5" t="s">
        <v>24</v>
      </c>
      <c r="F13" s="5" t="s">
        <v>44</v>
      </c>
      <c r="G13" s="13">
        <v>40021666</v>
      </c>
      <c r="H13" s="9">
        <v>40000</v>
      </c>
      <c r="I13" s="10">
        <v>40614</v>
      </c>
      <c r="J13" s="10">
        <v>67975</v>
      </c>
      <c r="K13" s="35">
        <v>45287</v>
      </c>
      <c r="L13" s="9">
        <v>50000</v>
      </c>
      <c r="M13" s="48" t="s">
        <v>91</v>
      </c>
    </row>
    <row r="14" spans="1:14" s="18" customFormat="1" x14ac:dyDescent="0.35">
      <c r="A14" s="5">
        <v>3</v>
      </c>
      <c r="B14" s="16" t="s">
        <v>95</v>
      </c>
      <c r="C14" s="7" t="s">
        <v>49</v>
      </c>
      <c r="D14" s="8">
        <v>183</v>
      </c>
      <c r="E14" s="5" t="s">
        <v>24</v>
      </c>
      <c r="F14" s="5" t="s">
        <v>25</v>
      </c>
      <c r="G14" s="8">
        <v>10230044268</v>
      </c>
      <c r="H14" s="9">
        <v>22000</v>
      </c>
      <c r="I14" s="10">
        <v>28181</v>
      </c>
      <c r="J14" s="10">
        <v>37323</v>
      </c>
      <c r="K14" s="35">
        <v>45299</v>
      </c>
      <c r="L14" s="45">
        <v>10000</v>
      </c>
      <c r="M14" s="17" t="s">
        <v>127</v>
      </c>
    </row>
    <row r="15" spans="1:14" x14ac:dyDescent="0.35">
      <c r="A15" s="415" t="s">
        <v>8</v>
      </c>
      <c r="B15" s="415"/>
      <c r="C15" s="415"/>
      <c r="D15" s="415"/>
      <c r="E15" s="415"/>
      <c r="F15" s="415"/>
      <c r="G15" s="415"/>
      <c r="H15" s="36">
        <f>SUM(H12:H14)</f>
        <v>62000</v>
      </c>
      <c r="I15" s="37"/>
      <c r="J15" s="25"/>
      <c r="K15" s="25"/>
      <c r="L15" s="26"/>
      <c r="M15" s="26"/>
      <c r="N15" s="26"/>
    </row>
    <row r="16" spans="1:14" x14ac:dyDescent="0.35">
      <c r="A16" s="26"/>
      <c r="B16" s="26"/>
      <c r="C16" s="26"/>
      <c r="D16" s="26"/>
      <c r="E16" s="26"/>
      <c r="F16" s="26"/>
      <c r="G16" s="26"/>
      <c r="H16" s="26"/>
      <c r="I16" s="38"/>
      <c r="J16" s="26"/>
      <c r="K16" s="26"/>
      <c r="L16" s="26"/>
      <c r="M16" s="26"/>
      <c r="N16" s="39"/>
    </row>
    <row r="17" spans="1:13" x14ac:dyDescent="0.35">
      <c r="A17" s="26"/>
      <c r="B17" s="26" t="s">
        <v>128</v>
      </c>
      <c r="C17" s="26"/>
      <c r="D17" s="26"/>
      <c r="E17" s="26"/>
      <c r="F17" s="26"/>
      <c r="G17" s="26"/>
      <c r="H17" s="26"/>
      <c r="I17" s="38"/>
      <c r="J17" s="26"/>
      <c r="K17" s="26"/>
      <c r="L17" s="26"/>
      <c r="M17" s="26"/>
    </row>
    <row r="18" spans="1:13" ht="82.5" customHeight="1" thickBot="1" x14ac:dyDescent="0.4">
      <c r="A18" s="407" t="s">
        <v>66</v>
      </c>
      <c r="B18" s="407"/>
      <c r="C18" s="41"/>
      <c r="D18" s="26"/>
      <c r="E18" s="407" t="s">
        <v>67</v>
      </c>
      <c r="F18" s="407"/>
      <c r="G18" s="408"/>
      <c r="H18" s="408"/>
      <c r="I18" s="28"/>
      <c r="J18" s="28"/>
      <c r="K18" s="28"/>
      <c r="L18" s="39"/>
      <c r="M18" s="40"/>
    </row>
    <row r="19" spans="1:13" s="52" customFormat="1" x14ac:dyDescent="0.35">
      <c r="A19" s="409" t="s">
        <v>69</v>
      </c>
      <c r="B19" s="409"/>
      <c r="C19" s="29" t="s">
        <v>113</v>
      </c>
      <c r="D19" s="29"/>
      <c r="E19" s="410" t="s">
        <v>70</v>
      </c>
      <c r="F19" s="410"/>
      <c r="G19" s="410" t="s">
        <v>71</v>
      </c>
      <c r="H19" s="410"/>
      <c r="I19" s="29"/>
      <c r="J19" s="29"/>
      <c r="K19" s="29" t="s">
        <v>72</v>
      </c>
      <c r="L19" s="31"/>
      <c r="M19" s="31"/>
    </row>
    <row r="20" spans="1:13" x14ac:dyDescent="0.35">
      <c r="A20" s="413" t="s">
        <v>92</v>
      </c>
      <c r="B20" s="413"/>
      <c r="C20" s="32" t="s">
        <v>7</v>
      </c>
      <c r="D20" s="32"/>
      <c r="E20" s="414" t="s">
        <v>73</v>
      </c>
      <c r="F20" s="414"/>
      <c r="G20" s="414" t="s">
        <v>74</v>
      </c>
      <c r="H20" s="414"/>
      <c r="I20" s="31"/>
      <c r="J20" s="31"/>
      <c r="K20" s="31" t="s">
        <v>75</v>
      </c>
      <c r="L20" s="33"/>
      <c r="M20" s="33"/>
    </row>
    <row r="21" spans="1:13" x14ac:dyDescent="0.35">
      <c r="A21" s="413" t="s">
        <v>93</v>
      </c>
      <c r="B21" s="413"/>
      <c r="C21" s="34" t="s">
        <v>77</v>
      </c>
      <c r="D21" s="34"/>
      <c r="E21" s="414" t="s">
        <v>78</v>
      </c>
      <c r="F21" s="414"/>
      <c r="G21" s="414" t="s">
        <v>79</v>
      </c>
      <c r="H21" s="414"/>
      <c r="I21" s="33"/>
      <c r="J21" s="33"/>
      <c r="K21" s="31" t="s">
        <v>80</v>
      </c>
      <c r="L21" s="34"/>
      <c r="M21" s="34"/>
    </row>
    <row r="22" spans="1:13" x14ac:dyDescent="0.35">
      <c r="A22" s="411" t="s">
        <v>76</v>
      </c>
      <c r="B22" s="411"/>
      <c r="C22" s="34" t="s">
        <v>81</v>
      </c>
      <c r="D22" s="34"/>
      <c r="E22" s="412" t="s">
        <v>76</v>
      </c>
      <c r="F22" s="412"/>
      <c r="G22" s="412" t="s">
        <v>76</v>
      </c>
      <c r="H22" s="412"/>
      <c r="I22" s="33"/>
      <c r="J22" s="33"/>
      <c r="K22" s="33"/>
    </row>
    <row r="23" spans="1:13" ht="32.25" customHeight="1" x14ac:dyDescent="0.35"/>
    <row r="25" spans="1:13" x14ac:dyDescent="0.35">
      <c r="A25" s="417"/>
      <c r="B25" s="417"/>
    </row>
    <row r="26" spans="1:13" x14ac:dyDescent="0.35">
      <c r="A26" s="418"/>
      <c r="B26" s="418"/>
    </row>
    <row r="27" spans="1:13" x14ac:dyDescent="0.35">
      <c r="A27" s="422"/>
      <c r="B27" s="418"/>
    </row>
    <row r="28" spans="1:13" ht="28.5" customHeight="1" x14ac:dyDescent="0.35">
      <c r="A28" s="416"/>
      <c r="B28" s="416"/>
    </row>
  </sheetData>
  <mergeCells count="38">
    <mergeCell ref="A28:B28"/>
    <mergeCell ref="A22:B22"/>
    <mergeCell ref="E22:F22"/>
    <mergeCell ref="G22:H22"/>
    <mergeCell ref="A25:B25"/>
    <mergeCell ref="A26:B26"/>
    <mergeCell ref="A27:B27"/>
    <mergeCell ref="A20:B20"/>
    <mergeCell ref="E20:F20"/>
    <mergeCell ref="G20:H20"/>
    <mergeCell ref="A21:B21"/>
    <mergeCell ref="E21:F21"/>
    <mergeCell ref="G21:H21"/>
    <mergeCell ref="A18:B18"/>
    <mergeCell ref="E18:F18"/>
    <mergeCell ref="G18:H18"/>
    <mergeCell ref="A19:B19"/>
    <mergeCell ref="E19:F19"/>
    <mergeCell ref="G19:H19"/>
    <mergeCell ref="A15:G15"/>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4" fitToHeight="0"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B505-DC6D-4F0A-97FB-72DD23DC3B52}">
  <sheetPr codeName="Sheet18">
    <pageSetUpPr fitToPage="1"/>
  </sheetPr>
  <dimension ref="A1:M26"/>
  <sheetViews>
    <sheetView topLeftCell="A9" workbookViewId="0">
      <selection activeCell="B11" sqref="B11:D16"/>
    </sheetView>
  </sheetViews>
  <sheetFormatPr defaultRowHeight="14.5" x14ac:dyDescent="0.35"/>
  <cols>
    <col min="1" max="1" width="5.81640625" bestFit="1" customWidth="1"/>
    <col min="2" max="2" width="21.81640625"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148</v>
      </c>
      <c r="D3" s="403"/>
      <c r="E3" s="403"/>
      <c r="F3" s="403"/>
      <c r="G3" s="403"/>
      <c r="H3" s="403"/>
      <c r="I3" s="403"/>
      <c r="J3" s="403"/>
      <c r="K3" s="403"/>
      <c r="L3" s="403"/>
      <c r="M3" s="385"/>
    </row>
    <row r="4" spans="1:13" x14ac:dyDescent="0.35">
      <c r="A4" s="384" t="s">
        <v>4</v>
      </c>
      <c r="B4" s="385"/>
      <c r="C4" s="393" t="s">
        <v>165</v>
      </c>
      <c r="D4" s="394"/>
      <c r="E4" s="394"/>
      <c r="F4" s="394"/>
      <c r="G4" s="394"/>
      <c r="H4" s="394"/>
      <c r="I4" s="394"/>
      <c r="J4" s="394"/>
      <c r="K4" s="394"/>
      <c r="L4" s="394"/>
      <c r="M4" s="395"/>
    </row>
    <row r="5" spans="1:13" x14ac:dyDescent="0.35">
      <c r="A5" s="384" t="s">
        <v>5</v>
      </c>
      <c r="B5" s="385"/>
      <c r="C5" s="387">
        <v>45370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H17</f>
        <v>283000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157</v>
      </c>
      <c r="J11" s="3" t="s">
        <v>18</v>
      </c>
      <c r="K11" s="3" t="s">
        <v>19</v>
      </c>
      <c r="L11" s="3" t="s">
        <v>20</v>
      </c>
      <c r="M11" s="3" t="s">
        <v>84</v>
      </c>
    </row>
    <row r="12" spans="1:13" x14ac:dyDescent="0.35">
      <c r="A12" s="5">
        <v>1</v>
      </c>
      <c r="B12" s="14" t="s">
        <v>85</v>
      </c>
      <c r="C12" s="7" t="s">
        <v>86</v>
      </c>
      <c r="D12" s="8" t="s">
        <v>87</v>
      </c>
      <c r="E12" s="5" t="s">
        <v>24</v>
      </c>
      <c r="F12" s="5" t="s">
        <v>44</v>
      </c>
      <c r="G12" s="5">
        <v>35020062</v>
      </c>
      <c r="H12" s="51">
        <v>120000</v>
      </c>
      <c r="I12" s="10">
        <v>119960</v>
      </c>
      <c r="J12" s="10">
        <v>166340</v>
      </c>
      <c r="K12" s="35">
        <v>45354</v>
      </c>
      <c r="L12" s="9">
        <v>100000</v>
      </c>
      <c r="M12" s="48" t="s">
        <v>88</v>
      </c>
    </row>
    <row r="13" spans="1:13" x14ac:dyDescent="0.35">
      <c r="A13" s="5">
        <v>2</v>
      </c>
      <c r="B13" s="14" t="s">
        <v>89</v>
      </c>
      <c r="C13" s="7" t="s">
        <v>86</v>
      </c>
      <c r="D13" s="8" t="s">
        <v>90</v>
      </c>
      <c r="E13" s="5" t="s">
        <v>24</v>
      </c>
      <c r="F13" s="5" t="s">
        <v>44</v>
      </c>
      <c r="G13" s="13">
        <v>40021666</v>
      </c>
      <c r="H13" s="9">
        <v>40000</v>
      </c>
      <c r="I13" s="10">
        <v>44508</v>
      </c>
      <c r="J13" s="10">
        <v>64220</v>
      </c>
      <c r="K13" s="35">
        <v>45354</v>
      </c>
      <c r="L13" s="9">
        <v>40000</v>
      </c>
      <c r="M13" s="48" t="s">
        <v>91</v>
      </c>
    </row>
    <row r="14" spans="1:13" x14ac:dyDescent="0.35">
      <c r="A14" s="5">
        <v>3</v>
      </c>
      <c r="B14" s="16" t="s">
        <v>95</v>
      </c>
      <c r="C14" s="7" t="s">
        <v>49</v>
      </c>
      <c r="D14" s="8">
        <v>183</v>
      </c>
      <c r="E14" s="5" t="s">
        <v>24</v>
      </c>
      <c r="F14" s="5" t="s">
        <v>25</v>
      </c>
      <c r="G14" s="8">
        <v>10230044268</v>
      </c>
      <c r="H14" s="9">
        <v>65000</v>
      </c>
      <c r="I14" s="10">
        <v>36666</v>
      </c>
      <c r="J14" s="10">
        <v>48496</v>
      </c>
      <c r="K14" s="35">
        <v>45355</v>
      </c>
      <c r="L14" s="45">
        <v>50000</v>
      </c>
      <c r="M14" s="17" t="s">
        <v>163</v>
      </c>
    </row>
    <row r="15" spans="1:13" x14ac:dyDescent="0.35">
      <c r="A15" s="5">
        <v>4</v>
      </c>
      <c r="B15" s="16" t="s">
        <v>158</v>
      </c>
      <c r="C15" s="7" t="s">
        <v>159</v>
      </c>
      <c r="D15" s="8">
        <v>269</v>
      </c>
      <c r="E15" s="5" t="s">
        <v>24</v>
      </c>
      <c r="F15" s="5" t="s">
        <v>44</v>
      </c>
      <c r="G15" s="8">
        <v>74023856</v>
      </c>
      <c r="H15" s="9">
        <v>40000</v>
      </c>
      <c r="I15" s="10">
        <v>28942</v>
      </c>
      <c r="J15" s="10">
        <v>39042</v>
      </c>
      <c r="K15" s="35">
        <v>45351</v>
      </c>
      <c r="L15" s="45">
        <v>40000</v>
      </c>
      <c r="M15" s="17" t="s">
        <v>132</v>
      </c>
    </row>
    <row r="16" spans="1:13" x14ac:dyDescent="0.35">
      <c r="A16" s="5">
        <v>5</v>
      </c>
      <c r="B16" s="16" t="s">
        <v>160</v>
      </c>
      <c r="C16" s="7" t="s">
        <v>161</v>
      </c>
      <c r="D16" s="8">
        <v>929</v>
      </c>
      <c r="E16" s="5" t="s">
        <v>24</v>
      </c>
      <c r="F16" s="5" t="s">
        <v>44</v>
      </c>
      <c r="G16" s="8">
        <v>97017150</v>
      </c>
      <c r="H16" s="9">
        <v>18000</v>
      </c>
      <c r="I16" s="10">
        <v>13468</v>
      </c>
      <c r="J16" s="10">
        <v>14666</v>
      </c>
      <c r="K16" s="35" t="s">
        <v>162</v>
      </c>
      <c r="L16" s="45">
        <v>15000</v>
      </c>
      <c r="M16" s="17" t="s">
        <v>132</v>
      </c>
    </row>
    <row r="17" spans="1:13" x14ac:dyDescent="0.35">
      <c r="A17" s="386" t="s">
        <v>8</v>
      </c>
      <c r="B17" s="386"/>
      <c r="C17" s="386"/>
      <c r="D17" s="386"/>
      <c r="E17" s="386"/>
      <c r="F17" s="386"/>
      <c r="G17" s="386"/>
      <c r="H17" s="23">
        <f>SUM(H12:H16)</f>
        <v>283000</v>
      </c>
      <c r="I17" s="24"/>
      <c r="J17" s="25"/>
      <c r="K17" s="25"/>
      <c r="L17" s="26"/>
      <c r="M17" s="26"/>
    </row>
    <row r="18" spans="1:13" x14ac:dyDescent="0.35">
      <c r="A18" s="26"/>
      <c r="B18" s="26"/>
      <c r="C18" s="26"/>
      <c r="D18" s="26"/>
      <c r="E18" s="26"/>
      <c r="F18" s="26"/>
      <c r="G18" s="26"/>
      <c r="H18" s="26"/>
      <c r="I18" s="38"/>
      <c r="J18" s="26"/>
      <c r="K18" s="26"/>
      <c r="L18" s="26"/>
      <c r="M18" s="26"/>
    </row>
    <row r="19" spans="1:13" x14ac:dyDescent="0.35">
      <c r="A19" s="26"/>
      <c r="B19" s="26" t="s">
        <v>164</v>
      </c>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ht="15" thickBot="1" x14ac:dyDescent="0.4">
      <c r="A22" s="407" t="s">
        <v>66</v>
      </c>
      <c r="B22" s="407"/>
      <c r="C22" s="41"/>
      <c r="D22" s="26"/>
      <c r="E22" s="407" t="s">
        <v>67</v>
      </c>
      <c r="F22" s="407"/>
      <c r="G22" s="408"/>
      <c r="H22" s="408"/>
      <c r="I22" s="28"/>
      <c r="J22" s="28"/>
      <c r="K22" s="28"/>
      <c r="L22" s="39"/>
      <c r="M22" s="40"/>
    </row>
    <row r="23" spans="1:13" x14ac:dyDescent="0.35">
      <c r="A23" s="409" t="s">
        <v>69</v>
      </c>
      <c r="B23" s="409"/>
      <c r="C23" s="29" t="s">
        <v>113</v>
      </c>
      <c r="D23" s="29"/>
      <c r="E23" s="410" t="s">
        <v>70</v>
      </c>
      <c r="F23" s="410"/>
      <c r="G23" s="410" t="s">
        <v>71</v>
      </c>
      <c r="H23" s="410"/>
      <c r="I23" s="29"/>
      <c r="J23" s="29"/>
      <c r="K23" s="29" t="s">
        <v>72</v>
      </c>
      <c r="L23" s="31"/>
      <c r="M23" s="31"/>
    </row>
    <row r="24" spans="1:13" x14ac:dyDescent="0.35">
      <c r="A24" s="413" t="s">
        <v>92</v>
      </c>
      <c r="B24" s="413"/>
      <c r="C24" s="32" t="s">
        <v>7</v>
      </c>
      <c r="D24" s="32"/>
      <c r="E24" s="414" t="s">
        <v>73</v>
      </c>
      <c r="F24" s="414"/>
      <c r="G24" s="414" t="s">
        <v>74</v>
      </c>
      <c r="H24" s="414"/>
      <c r="I24" s="31"/>
      <c r="J24" s="31"/>
      <c r="K24" s="31" t="s">
        <v>75</v>
      </c>
      <c r="L24" s="33"/>
      <c r="M24" s="33"/>
    </row>
    <row r="25" spans="1:13" x14ac:dyDescent="0.35">
      <c r="A25" s="413" t="s">
        <v>94</v>
      </c>
      <c r="B25" s="413"/>
      <c r="C25" s="34" t="s">
        <v>77</v>
      </c>
      <c r="D25" s="34"/>
      <c r="E25" s="414" t="s">
        <v>78</v>
      </c>
      <c r="F25" s="414"/>
      <c r="G25" s="414" t="s">
        <v>79</v>
      </c>
      <c r="H25" s="414"/>
      <c r="I25" s="33"/>
      <c r="J25" s="33"/>
      <c r="K25" s="31" t="s">
        <v>80</v>
      </c>
      <c r="L25" s="34"/>
      <c r="M25" s="34"/>
    </row>
    <row r="26" spans="1:13" x14ac:dyDescent="0.35">
      <c r="A26" s="411" t="s">
        <v>76</v>
      </c>
      <c r="B26" s="411"/>
      <c r="C26" s="34" t="s">
        <v>81</v>
      </c>
      <c r="D26" s="34"/>
      <c r="E26" s="412" t="s">
        <v>76</v>
      </c>
      <c r="F26" s="412"/>
      <c r="G26" s="412" t="s">
        <v>76</v>
      </c>
      <c r="H26" s="412"/>
      <c r="I26" s="33"/>
      <c r="J26" s="33"/>
      <c r="K26" s="33"/>
    </row>
  </sheetData>
  <mergeCells count="34">
    <mergeCell ref="A4:B4"/>
    <mergeCell ref="C4:M4"/>
    <mergeCell ref="A1:M1"/>
    <mergeCell ref="A2:B2"/>
    <mergeCell ref="C2:M2"/>
    <mergeCell ref="A3:B3"/>
    <mergeCell ref="C3:M3"/>
    <mergeCell ref="A17:G17"/>
    <mergeCell ref="A5:B5"/>
    <mergeCell ref="C5:M5"/>
    <mergeCell ref="A6:B6"/>
    <mergeCell ref="C6:M6"/>
    <mergeCell ref="A7:B7"/>
    <mergeCell ref="C7:M7"/>
    <mergeCell ref="A8:B8"/>
    <mergeCell ref="C8:M8"/>
    <mergeCell ref="A9:B9"/>
    <mergeCell ref="C9:M9"/>
    <mergeCell ref="A10:M10"/>
    <mergeCell ref="A22:B22"/>
    <mergeCell ref="E22:F22"/>
    <mergeCell ref="G22:H22"/>
    <mergeCell ref="A23:B23"/>
    <mergeCell ref="E23:F23"/>
    <mergeCell ref="G23:H23"/>
    <mergeCell ref="A26:B26"/>
    <mergeCell ref="E26:F26"/>
    <mergeCell ref="G26:H26"/>
    <mergeCell ref="A24:B24"/>
    <mergeCell ref="E24:F24"/>
    <mergeCell ref="G24:H24"/>
    <mergeCell ref="A25:B25"/>
    <mergeCell ref="E25:F25"/>
    <mergeCell ref="G25:H25"/>
  </mergeCells>
  <pageMargins left="0.25" right="0.25" top="0.75" bottom="0.75" header="0.3" footer="0.3"/>
  <pageSetup scale="74"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67B65-AE2C-4078-8398-D4ADCD0F68FC}">
  <sheetPr codeName="Sheet19">
    <pageSetUpPr fitToPage="1"/>
  </sheetPr>
  <dimension ref="A1:M23"/>
  <sheetViews>
    <sheetView topLeftCell="A10" workbookViewId="0">
      <selection activeCell="F17" sqref="F17"/>
    </sheetView>
  </sheetViews>
  <sheetFormatPr defaultRowHeight="14.5" x14ac:dyDescent="0.35"/>
  <cols>
    <col min="1" max="1" width="5.7265625" bestFit="1" customWidth="1"/>
    <col min="2" max="2" width="24.7265625" customWidth="1"/>
    <col min="3" max="3" width="14.90625" customWidth="1"/>
    <col min="4" max="5" width="5.08984375" bestFit="1" customWidth="1"/>
    <col min="6" max="6" width="13.26953125" customWidth="1"/>
    <col min="7" max="7" width="12.36328125" bestFit="1" customWidth="1"/>
    <col min="8" max="8" width="11.90625" customWidth="1"/>
    <col min="10" max="10" width="9.36328125" customWidth="1"/>
    <col min="11" max="11" width="17.542968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123</v>
      </c>
      <c r="D3" s="403"/>
      <c r="E3" s="403"/>
      <c r="F3" s="403"/>
      <c r="G3" s="403"/>
      <c r="H3" s="403"/>
      <c r="I3" s="403"/>
      <c r="J3" s="403"/>
      <c r="K3" s="403"/>
      <c r="L3" s="403"/>
      <c r="M3" s="385"/>
    </row>
    <row r="4" spans="1:13" x14ac:dyDescent="0.35">
      <c r="A4" s="384" t="s">
        <v>4</v>
      </c>
      <c r="B4" s="385"/>
      <c r="C4" s="393" t="s">
        <v>118</v>
      </c>
      <c r="D4" s="394"/>
      <c r="E4" s="394"/>
      <c r="F4" s="394"/>
      <c r="G4" s="394"/>
      <c r="H4" s="394"/>
      <c r="I4" s="394"/>
      <c r="J4" s="394"/>
      <c r="K4" s="394"/>
      <c r="L4" s="394"/>
      <c r="M4" s="395"/>
    </row>
    <row r="5" spans="1:13" x14ac:dyDescent="0.35">
      <c r="A5" s="384" t="s">
        <v>5</v>
      </c>
      <c r="B5" s="385"/>
      <c r="C5" s="387">
        <v>45312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35000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s="57" customFormat="1" ht="81" x14ac:dyDescent="0.35">
      <c r="A11" s="3" t="s">
        <v>10</v>
      </c>
      <c r="B11" s="2" t="s">
        <v>11</v>
      </c>
      <c r="C11" s="2" t="s">
        <v>12</v>
      </c>
      <c r="D11" s="2" t="s">
        <v>13</v>
      </c>
      <c r="E11" s="2" t="s">
        <v>14</v>
      </c>
      <c r="F11" s="3" t="s">
        <v>15</v>
      </c>
      <c r="G11" s="3" t="s">
        <v>16</v>
      </c>
      <c r="H11" s="3" t="s">
        <v>17</v>
      </c>
      <c r="I11" s="3" t="s">
        <v>120</v>
      </c>
      <c r="J11" s="3" t="s">
        <v>18</v>
      </c>
      <c r="K11" s="3" t="s">
        <v>19</v>
      </c>
      <c r="L11" s="3" t="s">
        <v>20</v>
      </c>
      <c r="M11" s="4" t="s">
        <v>21</v>
      </c>
    </row>
    <row r="12" spans="1:13" x14ac:dyDescent="0.35">
      <c r="A12" s="5">
        <v>1</v>
      </c>
      <c r="B12" s="19" t="s">
        <v>119</v>
      </c>
      <c r="C12" s="20" t="s">
        <v>49</v>
      </c>
      <c r="D12" s="21" t="s">
        <v>63</v>
      </c>
      <c r="E12" s="22" t="s">
        <v>64</v>
      </c>
      <c r="F12" s="5" t="s">
        <v>25</v>
      </c>
      <c r="G12" s="21" t="s">
        <v>65</v>
      </c>
      <c r="H12" s="9">
        <v>30000</v>
      </c>
      <c r="I12" s="10">
        <v>27300</v>
      </c>
      <c r="J12" s="10">
        <v>37186</v>
      </c>
      <c r="K12" s="11">
        <v>45300</v>
      </c>
      <c r="L12" s="9">
        <v>30000</v>
      </c>
      <c r="M12" s="17" t="s">
        <v>121</v>
      </c>
    </row>
    <row r="13" spans="1:13" x14ac:dyDescent="0.35">
      <c r="A13" s="5">
        <v>2</v>
      </c>
      <c r="B13" s="16" t="s">
        <v>48</v>
      </c>
      <c r="C13" s="7" t="s">
        <v>49</v>
      </c>
      <c r="D13" s="8" t="s">
        <v>50</v>
      </c>
      <c r="E13" s="5" t="s">
        <v>24</v>
      </c>
      <c r="F13" s="5" t="s">
        <v>25</v>
      </c>
      <c r="G13" s="8" t="s">
        <v>51</v>
      </c>
      <c r="H13" s="9">
        <v>5000</v>
      </c>
      <c r="I13" s="10">
        <v>3503</v>
      </c>
      <c r="J13" s="10">
        <v>5303</v>
      </c>
      <c r="K13" s="11">
        <v>45300</v>
      </c>
      <c r="L13" s="9">
        <v>5000</v>
      </c>
      <c r="M13" s="17" t="s">
        <v>100</v>
      </c>
    </row>
    <row r="14" spans="1:13" x14ac:dyDescent="0.35">
      <c r="A14" s="386" t="s">
        <v>8</v>
      </c>
      <c r="B14" s="386"/>
      <c r="C14" s="386"/>
      <c r="D14" s="386"/>
      <c r="E14" s="386"/>
      <c r="F14" s="386"/>
      <c r="G14" s="386"/>
      <c r="H14" s="23">
        <f>SUM(H12:H13)</f>
        <v>35000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122</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ht="15" thickBot="1" x14ac:dyDescent="0.4">
      <c r="A19" s="420" t="s">
        <v>66</v>
      </c>
      <c r="B19" s="420"/>
      <c r="C19" s="50"/>
      <c r="D19" s="26"/>
      <c r="E19" s="407" t="s">
        <v>67</v>
      </c>
      <c r="F19" s="407"/>
      <c r="G19" s="49"/>
      <c r="H19" s="49"/>
      <c r="I19" s="408"/>
      <c r="J19" s="408"/>
      <c r="K19" s="28"/>
      <c r="L19" s="29"/>
      <c r="M19" s="29"/>
    </row>
    <row r="20" spans="1:13" ht="15" thickTop="1" x14ac:dyDescent="0.35">
      <c r="A20" s="421" t="s">
        <v>69</v>
      </c>
      <c r="B20" s="421"/>
      <c r="C20" s="29" t="s">
        <v>113</v>
      </c>
      <c r="D20" s="30"/>
      <c r="E20" s="410" t="s">
        <v>70</v>
      </c>
      <c r="F20" s="410"/>
      <c r="G20" s="410" t="s">
        <v>71</v>
      </c>
      <c r="H20" s="410"/>
      <c r="I20" s="29"/>
      <c r="J20" s="29"/>
      <c r="K20" s="29" t="s">
        <v>72</v>
      </c>
      <c r="L20" s="31"/>
      <c r="M20" s="31"/>
    </row>
    <row r="21" spans="1:13" x14ac:dyDescent="0.35">
      <c r="A21" s="414" t="s">
        <v>92</v>
      </c>
      <c r="B21" s="414"/>
      <c r="C21" s="32" t="s">
        <v>7</v>
      </c>
      <c r="D21" s="32"/>
      <c r="E21" s="414" t="s">
        <v>73</v>
      </c>
      <c r="F21" s="414"/>
      <c r="G21" s="414" t="s">
        <v>74</v>
      </c>
      <c r="H21" s="414"/>
      <c r="I21" s="31"/>
      <c r="J21" s="31"/>
      <c r="K21" s="31" t="s">
        <v>75</v>
      </c>
      <c r="L21" s="33"/>
      <c r="M21" s="33"/>
    </row>
    <row r="22" spans="1:13" x14ac:dyDescent="0.35">
      <c r="A22" s="412" t="s">
        <v>94</v>
      </c>
      <c r="B22" s="412"/>
      <c r="C22" s="34" t="s">
        <v>77</v>
      </c>
      <c r="D22" s="34"/>
      <c r="E22" s="414" t="s">
        <v>78</v>
      </c>
      <c r="F22" s="414"/>
      <c r="G22" s="412" t="s">
        <v>79</v>
      </c>
      <c r="H22" s="412"/>
      <c r="I22" s="33"/>
      <c r="J22" s="33"/>
      <c r="K22" s="33" t="s">
        <v>80</v>
      </c>
      <c r="L22" s="34"/>
      <c r="M22" s="34"/>
    </row>
    <row r="23" spans="1:13" x14ac:dyDescent="0.35">
      <c r="A23" s="412" t="s">
        <v>76</v>
      </c>
      <c r="B23" s="412"/>
      <c r="C23" s="34" t="s">
        <v>81</v>
      </c>
      <c r="D23" s="34"/>
      <c r="E23" s="412" t="s">
        <v>76</v>
      </c>
      <c r="F23" s="412"/>
      <c r="G23" s="412" t="s">
        <v>76</v>
      </c>
      <c r="H23" s="412"/>
      <c r="I23" s="33"/>
      <c r="J23" s="33"/>
      <c r="K23" s="33"/>
    </row>
  </sheetData>
  <mergeCells count="34">
    <mergeCell ref="A4:B4"/>
    <mergeCell ref="C4:M4"/>
    <mergeCell ref="A1:M1"/>
    <mergeCell ref="A2:B2"/>
    <mergeCell ref="C2:M2"/>
    <mergeCell ref="A3:B3"/>
    <mergeCell ref="C3:M3"/>
    <mergeCell ref="A14:G14"/>
    <mergeCell ref="A5:B5"/>
    <mergeCell ref="C5:M5"/>
    <mergeCell ref="A6:B6"/>
    <mergeCell ref="C6:M6"/>
    <mergeCell ref="A7:B7"/>
    <mergeCell ref="C7:M7"/>
    <mergeCell ref="A8:B8"/>
    <mergeCell ref="C8:M8"/>
    <mergeCell ref="A9:B9"/>
    <mergeCell ref="C9:M9"/>
    <mergeCell ref="A10:M10"/>
    <mergeCell ref="A19:B19"/>
    <mergeCell ref="E19:F19"/>
    <mergeCell ref="I19:J19"/>
    <mergeCell ref="A20:B20"/>
    <mergeCell ref="E20:F20"/>
    <mergeCell ref="G20:H20"/>
    <mergeCell ref="A23:B23"/>
    <mergeCell ref="E23:F23"/>
    <mergeCell ref="G23:H23"/>
    <mergeCell ref="A21:B21"/>
    <mergeCell ref="E21:F21"/>
    <mergeCell ref="G21:H21"/>
    <mergeCell ref="A22:B22"/>
    <mergeCell ref="E22:F22"/>
    <mergeCell ref="G22:H22"/>
  </mergeCells>
  <pageMargins left="0.25" right="0.25" top="0.75" bottom="0.75" header="0.3" footer="0.3"/>
  <pageSetup scale="87"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7CB8-CC43-4C3B-9A67-FC7CBA65204A}">
  <sheetPr codeName="Sheet20">
    <pageSetUpPr fitToPage="1"/>
  </sheetPr>
  <dimension ref="A1:N39"/>
  <sheetViews>
    <sheetView topLeftCell="A11" workbookViewId="0">
      <selection sqref="A1:M32"/>
    </sheetView>
  </sheetViews>
  <sheetFormatPr defaultRowHeight="14.5" x14ac:dyDescent="0.35"/>
  <cols>
    <col min="1" max="1" width="5.7265625" bestFit="1" customWidth="1"/>
    <col min="2" max="2" width="29.36328125" customWidth="1"/>
    <col min="3" max="3" width="14.90625" customWidth="1"/>
    <col min="4" max="5" width="5.08984375" bestFit="1" customWidth="1"/>
    <col min="6" max="6" width="13.26953125" customWidth="1"/>
    <col min="7" max="7" width="12.36328125" bestFit="1" customWidth="1"/>
    <col min="8" max="8" width="11.90625" customWidth="1"/>
    <col min="10" max="10" width="9.36328125" customWidth="1"/>
    <col min="11" max="11" width="17.54296875" customWidth="1"/>
    <col min="13" max="13" width="15.81640625" customWidth="1"/>
  </cols>
  <sheetData>
    <row r="1" spans="1:14" ht="19" x14ac:dyDescent="0.35">
      <c r="A1" s="402" t="s">
        <v>0</v>
      </c>
      <c r="B1" s="402"/>
      <c r="C1" s="402"/>
      <c r="D1" s="402"/>
      <c r="E1" s="402"/>
      <c r="F1" s="402"/>
      <c r="G1" s="402"/>
      <c r="H1" s="402"/>
      <c r="I1" s="402"/>
      <c r="J1" s="402"/>
      <c r="K1" s="402"/>
      <c r="L1" s="402"/>
      <c r="M1" s="402"/>
    </row>
    <row r="2" spans="1:14" x14ac:dyDescent="0.35">
      <c r="A2" s="384" t="s">
        <v>1</v>
      </c>
      <c r="B2" s="385"/>
      <c r="C2" s="393" t="s">
        <v>2</v>
      </c>
      <c r="D2" s="394"/>
      <c r="E2" s="394"/>
      <c r="F2" s="394"/>
      <c r="G2" s="394"/>
      <c r="H2" s="394"/>
      <c r="I2" s="394"/>
      <c r="J2" s="394"/>
      <c r="K2" s="394"/>
      <c r="L2" s="394"/>
      <c r="M2" s="395"/>
    </row>
    <row r="3" spans="1:14" x14ac:dyDescent="0.35">
      <c r="A3" s="384" t="s">
        <v>3</v>
      </c>
      <c r="B3" s="385"/>
      <c r="C3" s="384" t="s">
        <v>148</v>
      </c>
      <c r="D3" s="403"/>
      <c r="E3" s="403"/>
      <c r="F3" s="403"/>
      <c r="G3" s="403"/>
      <c r="H3" s="403"/>
      <c r="I3" s="403"/>
      <c r="J3" s="403"/>
      <c r="K3" s="403"/>
      <c r="L3" s="403"/>
      <c r="M3" s="385"/>
    </row>
    <row r="4" spans="1:14" x14ac:dyDescent="0.35">
      <c r="A4" s="384" t="s">
        <v>4</v>
      </c>
      <c r="B4" s="385"/>
      <c r="C4" s="393" t="s">
        <v>147</v>
      </c>
      <c r="D4" s="394"/>
      <c r="E4" s="394"/>
      <c r="F4" s="394"/>
      <c r="G4" s="394"/>
      <c r="H4" s="394"/>
      <c r="I4" s="394"/>
      <c r="J4" s="394"/>
      <c r="K4" s="394"/>
      <c r="L4" s="394"/>
      <c r="M4" s="395"/>
    </row>
    <row r="5" spans="1:14" x14ac:dyDescent="0.35">
      <c r="A5" s="384" t="s">
        <v>5</v>
      </c>
      <c r="B5" s="385"/>
      <c r="C5" s="387">
        <v>45421</v>
      </c>
      <c r="D5" s="388"/>
      <c r="E5" s="388"/>
      <c r="F5" s="388"/>
      <c r="G5" s="388"/>
      <c r="H5" s="388"/>
      <c r="I5" s="388"/>
      <c r="J5" s="388"/>
      <c r="K5" s="388"/>
      <c r="L5" s="388"/>
      <c r="M5" s="389"/>
    </row>
    <row r="6" spans="1:14" x14ac:dyDescent="0.35">
      <c r="A6" s="384" t="s">
        <v>6</v>
      </c>
      <c r="B6" s="385"/>
      <c r="C6" s="390">
        <v>1703</v>
      </c>
      <c r="D6" s="391"/>
      <c r="E6" s="391"/>
      <c r="F6" s="391"/>
      <c r="G6" s="391"/>
      <c r="H6" s="391"/>
      <c r="I6" s="391"/>
      <c r="J6" s="391"/>
      <c r="K6" s="391"/>
      <c r="L6" s="391"/>
      <c r="M6" s="392"/>
    </row>
    <row r="7" spans="1:14" x14ac:dyDescent="0.35">
      <c r="A7" s="384" t="s">
        <v>7</v>
      </c>
      <c r="B7" s="385"/>
      <c r="C7" s="393" t="s">
        <v>92</v>
      </c>
      <c r="D7" s="394"/>
      <c r="E7" s="394"/>
      <c r="F7" s="394"/>
      <c r="G7" s="394"/>
      <c r="H7" s="394"/>
      <c r="I7" s="394"/>
      <c r="J7" s="394"/>
      <c r="K7" s="394"/>
      <c r="L7" s="394"/>
      <c r="M7" s="395"/>
    </row>
    <row r="8" spans="1:14" x14ac:dyDescent="0.35">
      <c r="A8" s="384" t="s">
        <v>8</v>
      </c>
      <c r="B8" s="385"/>
      <c r="C8" s="396">
        <f>H14</f>
        <v>4000</v>
      </c>
      <c r="D8" s="397"/>
      <c r="E8" s="397"/>
      <c r="F8" s="397"/>
      <c r="G8" s="397"/>
      <c r="H8" s="397"/>
      <c r="I8" s="397"/>
      <c r="J8" s="397"/>
      <c r="K8" s="397"/>
      <c r="L8" s="397"/>
      <c r="M8" s="398"/>
    </row>
    <row r="9" spans="1:14" x14ac:dyDescent="0.35">
      <c r="A9" s="384"/>
      <c r="B9" s="385"/>
      <c r="C9" s="399"/>
      <c r="D9" s="400"/>
      <c r="E9" s="400"/>
      <c r="F9" s="400"/>
      <c r="G9" s="400"/>
      <c r="H9" s="400"/>
      <c r="I9" s="400"/>
      <c r="J9" s="400"/>
      <c r="K9" s="400"/>
      <c r="L9" s="400"/>
      <c r="M9" s="401"/>
    </row>
    <row r="10" spans="1:14" x14ac:dyDescent="0.35">
      <c r="A10" s="404" t="s">
        <v>9</v>
      </c>
      <c r="B10" s="405"/>
      <c r="C10" s="405"/>
      <c r="D10" s="405"/>
      <c r="E10" s="405"/>
      <c r="F10" s="405"/>
      <c r="G10" s="405"/>
      <c r="H10" s="405"/>
      <c r="I10" s="405"/>
      <c r="J10" s="405"/>
      <c r="K10" s="405"/>
      <c r="L10" s="405"/>
      <c r="M10" s="406"/>
    </row>
    <row r="11" spans="1:14" s="57" customFormat="1" ht="54" x14ac:dyDescent="0.35">
      <c r="A11" s="3" t="s">
        <v>10</v>
      </c>
      <c r="B11" s="2" t="s">
        <v>11</v>
      </c>
      <c r="C11" s="2" t="s">
        <v>12</v>
      </c>
      <c r="D11" s="2" t="s">
        <v>13</v>
      </c>
      <c r="E11" s="2" t="s">
        <v>14</v>
      </c>
      <c r="F11" s="3" t="s">
        <v>15</v>
      </c>
      <c r="G11" s="3" t="s">
        <v>16</v>
      </c>
      <c r="H11" s="3" t="s">
        <v>17</v>
      </c>
      <c r="I11" s="3" t="s">
        <v>120</v>
      </c>
      <c r="J11" s="3" t="s">
        <v>18</v>
      </c>
      <c r="K11" s="3" t="s">
        <v>19</v>
      </c>
      <c r="L11" s="3" t="s">
        <v>20</v>
      </c>
      <c r="M11" s="4" t="s">
        <v>21</v>
      </c>
    </row>
    <row r="12" spans="1:14" x14ac:dyDescent="0.35">
      <c r="A12" s="5">
        <v>1</v>
      </c>
      <c r="B12" s="19" t="s">
        <v>149</v>
      </c>
      <c r="C12" s="20" t="s">
        <v>144</v>
      </c>
      <c r="D12" s="53" t="s">
        <v>146</v>
      </c>
      <c r="E12" s="22" t="s">
        <v>64</v>
      </c>
      <c r="F12" s="5" t="s">
        <v>145</v>
      </c>
      <c r="G12" s="21">
        <v>97017150</v>
      </c>
      <c r="H12" s="9">
        <v>2000</v>
      </c>
      <c r="I12" s="61" t="s">
        <v>97</v>
      </c>
      <c r="J12" s="62"/>
      <c r="K12" s="63" t="s">
        <v>97</v>
      </c>
      <c r="L12" s="9">
        <v>15000</v>
      </c>
      <c r="M12" s="64" t="s">
        <v>132</v>
      </c>
    </row>
    <row r="13" spans="1:14" x14ac:dyDescent="0.35">
      <c r="A13" s="5">
        <v>2</v>
      </c>
      <c r="B13" s="19" t="s">
        <v>149</v>
      </c>
      <c r="C13" s="20" t="s">
        <v>144</v>
      </c>
      <c r="D13" s="53" t="s">
        <v>192</v>
      </c>
      <c r="E13" s="22" t="s">
        <v>64</v>
      </c>
      <c r="F13" s="5" t="s">
        <v>145</v>
      </c>
      <c r="G13" s="21">
        <v>97017150</v>
      </c>
      <c r="H13" s="60">
        <v>2000</v>
      </c>
      <c r="I13" s="65"/>
      <c r="J13" s="10"/>
      <c r="K13" s="11"/>
      <c r="L13" s="9"/>
      <c r="M13" s="66"/>
      <c r="N13" s="67"/>
    </row>
    <row r="14" spans="1:14" x14ac:dyDescent="0.35">
      <c r="A14" s="386" t="s">
        <v>8</v>
      </c>
      <c r="B14" s="386"/>
      <c r="C14" s="386"/>
      <c r="D14" s="386"/>
      <c r="E14" s="386"/>
      <c r="F14" s="386"/>
      <c r="G14" s="386"/>
      <c r="H14" s="23">
        <v>4000</v>
      </c>
      <c r="I14" s="24"/>
      <c r="J14" s="25"/>
      <c r="K14" s="43"/>
      <c r="L14" s="26"/>
      <c r="M14" s="26"/>
    </row>
    <row r="15" spans="1:14" x14ac:dyDescent="0.35">
      <c r="A15" s="26"/>
      <c r="B15" s="26"/>
      <c r="C15" s="26"/>
      <c r="D15" s="26"/>
      <c r="E15" s="26"/>
      <c r="F15" s="26"/>
      <c r="G15" s="26"/>
      <c r="H15" s="26"/>
      <c r="I15" s="26"/>
      <c r="J15" s="26"/>
      <c r="K15" s="26"/>
      <c r="L15" s="26"/>
      <c r="M15" s="26"/>
    </row>
    <row r="16" spans="1:14" x14ac:dyDescent="0.35">
      <c r="A16" s="26"/>
      <c r="B16" s="26" t="s">
        <v>193</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t="s">
        <v>194</v>
      </c>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ht="15.5" x14ac:dyDescent="0.35">
      <c r="A22" s="26"/>
      <c r="B22" s="460" t="s">
        <v>195</v>
      </c>
      <c r="C22" s="460"/>
      <c r="D22" s="460"/>
      <c r="E22" s="26"/>
      <c r="F22" s="26"/>
      <c r="G22" s="26"/>
      <c r="H22" s="26"/>
      <c r="I22" s="26"/>
      <c r="J22" s="26"/>
      <c r="K22" s="26"/>
      <c r="L22" s="26"/>
      <c r="M22" s="26"/>
    </row>
    <row r="23" spans="1:13" ht="15.5" x14ac:dyDescent="0.35">
      <c r="A23" s="26"/>
      <c r="B23" s="461" t="s">
        <v>196</v>
      </c>
      <c r="C23" s="462"/>
      <c r="D23" s="463"/>
      <c r="E23" s="26"/>
      <c r="F23" s="26"/>
      <c r="G23" s="26"/>
      <c r="H23" s="26"/>
      <c r="I23" s="26"/>
      <c r="J23" s="26"/>
      <c r="K23" s="26"/>
      <c r="L23" s="26"/>
      <c r="M23" s="26"/>
    </row>
    <row r="24" spans="1:13" ht="15.5" x14ac:dyDescent="0.35">
      <c r="A24" s="26"/>
      <c r="B24" s="464" t="s">
        <v>197</v>
      </c>
      <c r="C24" s="464"/>
      <c r="D24" s="464"/>
      <c r="E24" s="26"/>
      <c r="F24" s="26"/>
      <c r="G24" s="26"/>
      <c r="H24" s="26"/>
      <c r="I24" s="26"/>
      <c r="J24" s="26"/>
      <c r="K24" s="26"/>
      <c r="L24" s="26"/>
      <c r="M24" s="26"/>
    </row>
    <row r="25" spans="1:13" ht="15.5" x14ac:dyDescent="0.35">
      <c r="A25" s="26"/>
      <c r="B25" s="465" t="s">
        <v>199</v>
      </c>
      <c r="C25" s="465"/>
      <c r="D25" s="465"/>
      <c r="E25" s="26"/>
      <c r="F25" s="26"/>
      <c r="G25" s="26"/>
      <c r="H25" s="26"/>
      <c r="I25" s="26"/>
      <c r="J25" s="26"/>
      <c r="K25" s="26"/>
      <c r="L25" s="26"/>
      <c r="M25" s="26"/>
    </row>
    <row r="26" spans="1:13" ht="15.5" x14ac:dyDescent="0.35">
      <c r="A26" s="26"/>
      <c r="B26" s="464" t="s">
        <v>198</v>
      </c>
      <c r="C26" s="464"/>
      <c r="D26" s="464"/>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ht="15" thickBot="1" x14ac:dyDescent="0.4">
      <c r="A28" s="420" t="s">
        <v>66</v>
      </c>
      <c r="B28" s="420"/>
      <c r="C28" s="50"/>
      <c r="D28" s="26"/>
      <c r="E28" s="407" t="s">
        <v>67</v>
      </c>
      <c r="F28" s="407"/>
      <c r="G28" s="49"/>
      <c r="H28" s="49"/>
      <c r="I28" s="408"/>
      <c r="J28" s="408"/>
      <c r="K28" s="28"/>
      <c r="L28" s="29"/>
      <c r="M28" s="29"/>
    </row>
    <row r="29" spans="1:13" ht="15" thickTop="1" x14ac:dyDescent="0.35">
      <c r="A29" s="421" t="s">
        <v>69</v>
      </c>
      <c r="B29" s="421"/>
      <c r="C29" s="29" t="s">
        <v>113</v>
      </c>
      <c r="D29" s="30"/>
      <c r="E29" s="410" t="s">
        <v>70</v>
      </c>
      <c r="F29" s="410"/>
      <c r="G29" s="410" t="s">
        <v>71</v>
      </c>
      <c r="H29" s="410"/>
      <c r="I29" s="29"/>
      <c r="J29" s="29"/>
      <c r="K29" s="29" t="s">
        <v>72</v>
      </c>
      <c r="L29" s="31"/>
      <c r="M29" s="31"/>
    </row>
    <row r="30" spans="1:13" x14ac:dyDescent="0.35">
      <c r="A30" s="414" t="s">
        <v>92</v>
      </c>
      <c r="B30" s="414"/>
      <c r="C30" s="32" t="s">
        <v>7</v>
      </c>
      <c r="D30" s="32"/>
      <c r="E30" s="414" t="s">
        <v>73</v>
      </c>
      <c r="F30" s="414"/>
      <c r="G30" s="414" t="s">
        <v>74</v>
      </c>
      <c r="H30" s="414"/>
      <c r="I30" s="31"/>
      <c r="J30" s="31"/>
      <c r="K30" s="31" t="s">
        <v>75</v>
      </c>
      <c r="L30" s="33"/>
      <c r="M30" s="33"/>
    </row>
    <row r="31" spans="1:13" x14ac:dyDescent="0.35">
      <c r="A31" s="412" t="s">
        <v>94</v>
      </c>
      <c r="B31" s="412"/>
      <c r="C31" s="34" t="s">
        <v>77</v>
      </c>
      <c r="D31" s="34"/>
      <c r="E31" s="414" t="s">
        <v>78</v>
      </c>
      <c r="F31" s="414"/>
      <c r="G31" s="412" t="s">
        <v>79</v>
      </c>
      <c r="H31" s="412"/>
      <c r="I31" s="33"/>
      <c r="J31" s="33"/>
      <c r="K31" s="33" t="s">
        <v>80</v>
      </c>
      <c r="L31" s="34"/>
      <c r="M31" s="34"/>
    </row>
    <row r="32" spans="1:13" x14ac:dyDescent="0.35">
      <c r="A32" s="412" t="s">
        <v>76</v>
      </c>
      <c r="B32" s="412"/>
      <c r="C32" s="34" t="s">
        <v>81</v>
      </c>
      <c r="D32" s="34"/>
      <c r="E32" s="412" t="s">
        <v>76</v>
      </c>
      <c r="F32" s="412"/>
      <c r="G32" s="412" t="s">
        <v>76</v>
      </c>
      <c r="H32" s="412"/>
      <c r="I32" s="33"/>
      <c r="J32" s="33"/>
      <c r="K32" s="33"/>
    </row>
    <row r="36" spans="1:2" x14ac:dyDescent="0.35">
      <c r="A36" s="417"/>
      <c r="B36" s="417"/>
    </row>
    <row r="37" spans="1:2" x14ac:dyDescent="0.35">
      <c r="A37" s="418"/>
      <c r="B37" s="418"/>
    </row>
    <row r="38" spans="1:2" x14ac:dyDescent="0.35">
      <c r="A38" s="416"/>
      <c r="B38" s="419"/>
    </row>
    <row r="39" spans="1:2" x14ac:dyDescent="0.35">
      <c r="A39" s="416"/>
      <c r="B39" s="416"/>
    </row>
  </sheetData>
  <mergeCells count="43">
    <mergeCell ref="B22:D22"/>
    <mergeCell ref="B23:D23"/>
    <mergeCell ref="B24:D24"/>
    <mergeCell ref="B25:D25"/>
    <mergeCell ref="B26:D26"/>
    <mergeCell ref="A4:B4"/>
    <mergeCell ref="C4:M4"/>
    <mergeCell ref="A1:M1"/>
    <mergeCell ref="A2:B2"/>
    <mergeCell ref="C2:M2"/>
    <mergeCell ref="A3:B3"/>
    <mergeCell ref="C3:M3"/>
    <mergeCell ref="A14:G14"/>
    <mergeCell ref="A5:B5"/>
    <mergeCell ref="C5:M5"/>
    <mergeCell ref="A6:B6"/>
    <mergeCell ref="C6:M6"/>
    <mergeCell ref="A7:B7"/>
    <mergeCell ref="C7:M7"/>
    <mergeCell ref="A8:B8"/>
    <mergeCell ref="C8:M8"/>
    <mergeCell ref="A9:B9"/>
    <mergeCell ref="C9:M9"/>
    <mergeCell ref="A10:M10"/>
    <mergeCell ref="A28:B28"/>
    <mergeCell ref="E28:F28"/>
    <mergeCell ref="I28:J28"/>
    <mergeCell ref="A29:B29"/>
    <mergeCell ref="E29:F29"/>
    <mergeCell ref="G29:H29"/>
    <mergeCell ref="A30:B30"/>
    <mergeCell ref="E30:F30"/>
    <mergeCell ref="G30:H30"/>
    <mergeCell ref="A31:B31"/>
    <mergeCell ref="E31:F31"/>
    <mergeCell ref="G31:H31"/>
    <mergeCell ref="A39:B39"/>
    <mergeCell ref="A32:B32"/>
    <mergeCell ref="E32:F32"/>
    <mergeCell ref="G32:H32"/>
    <mergeCell ref="A36:B36"/>
    <mergeCell ref="A37:B37"/>
    <mergeCell ref="A38:B38"/>
  </mergeCells>
  <phoneticPr fontId="12" type="noConversion"/>
  <pageMargins left="0.25" right="0.25" top="0.75" bottom="0.75" header="0.3" footer="0.3"/>
  <pageSetup scale="80" fitToHeight="0"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359A-098B-4DD8-87C2-314C9474DAF0}">
  <sheetPr>
    <pageSetUpPr fitToPage="1"/>
  </sheetPr>
  <dimension ref="A1:M37"/>
  <sheetViews>
    <sheetView topLeftCell="A10" workbookViewId="0">
      <selection activeCell="B12" sqref="B12:M12"/>
    </sheetView>
  </sheetViews>
  <sheetFormatPr defaultRowHeight="14.5" x14ac:dyDescent="0.35"/>
  <cols>
    <col min="1" max="1" width="5.81640625" bestFit="1" customWidth="1"/>
    <col min="2" max="2" width="30"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8.5" customHeight="1" x14ac:dyDescent="0.35">
      <c r="A1" s="402" t="s">
        <v>354</v>
      </c>
      <c r="B1" s="402"/>
      <c r="C1" s="402"/>
      <c r="D1" s="402"/>
      <c r="E1" s="402"/>
      <c r="F1" s="402"/>
      <c r="G1" s="402"/>
      <c r="H1" s="402"/>
      <c r="I1" s="402"/>
      <c r="J1" s="402"/>
      <c r="K1" s="402"/>
      <c r="L1" s="402"/>
      <c r="M1" s="402"/>
    </row>
    <row r="2" spans="1:13" x14ac:dyDescent="0.35">
      <c r="A2" s="384" t="s">
        <v>1</v>
      </c>
      <c r="B2" s="385"/>
      <c r="C2" s="393" t="s">
        <v>291</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45781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378</v>
      </c>
      <c r="J11" s="3" t="s">
        <v>18</v>
      </c>
      <c r="K11" s="3" t="s">
        <v>19</v>
      </c>
      <c r="L11" s="3" t="s">
        <v>20</v>
      </c>
      <c r="M11" s="3" t="s">
        <v>84</v>
      </c>
    </row>
    <row r="12" spans="1:13" x14ac:dyDescent="0.35">
      <c r="A12" s="5">
        <v>1</v>
      </c>
      <c r="B12" s="14" t="s">
        <v>373</v>
      </c>
      <c r="C12" s="7" t="s">
        <v>23</v>
      </c>
      <c r="D12" s="8">
        <v>1161</v>
      </c>
      <c r="E12" s="5" t="s">
        <v>24</v>
      </c>
      <c r="F12" s="5" t="s">
        <v>25</v>
      </c>
      <c r="G12" s="44" t="s">
        <v>374</v>
      </c>
      <c r="H12" s="51">
        <v>18000</v>
      </c>
      <c r="I12" s="10">
        <v>3729</v>
      </c>
      <c r="J12" s="10">
        <v>4729</v>
      </c>
      <c r="K12" s="35">
        <v>45757</v>
      </c>
      <c r="L12" s="51">
        <v>5000</v>
      </c>
      <c r="M12" s="48" t="s">
        <v>375</v>
      </c>
    </row>
    <row r="13" spans="1:13" x14ac:dyDescent="0.35">
      <c r="A13" s="415" t="s">
        <v>8</v>
      </c>
      <c r="B13" s="415"/>
      <c r="C13" s="415"/>
      <c r="D13" s="415"/>
      <c r="E13" s="415"/>
      <c r="F13" s="415"/>
      <c r="G13" s="415"/>
      <c r="H13" s="36">
        <f>SUM(H12:H12)</f>
        <v>18000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376</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455"/>
      <c r="C17" s="455"/>
      <c r="D17" s="455"/>
      <c r="E17" s="455"/>
      <c r="F17" s="455"/>
      <c r="G17" s="26"/>
      <c r="H17" s="26"/>
      <c r="I17" s="38"/>
      <c r="J17" s="26"/>
      <c r="K17" s="26"/>
      <c r="L17" s="26"/>
      <c r="M17" s="26"/>
    </row>
    <row r="18" spans="1:13" x14ac:dyDescent="0.35">
      <c r="A18" s="26"/>
      <c r="B18" s="455"/>
      <c r="C18" s="455"/>
      <c r="D18" s="455"/>
      <c r="E18" s="455"/>
      <c r="F18" s="455"/>
      <c r="G18" s="26"/>
      <c r="H18" s="26"/>
      <c r="I18" s="38"/>
      <c r="J18" s="26"/>
      <c r="K18" s="26"/>
      <c r="L18" s="26"/>
      <c r="M18" s="26"/>
    </row>
    <row r="19" spans="1:13" x14ac:dyDescent="0.35">
      <c r="A19" s="26"/>
      <c r="B19" s="26"/>
      <c r="C19" s="26"/>
      <c r="D19" s="26"/>
      <c r="E19" s="26"/>
      <c r="F19" s="26"/>
      <c r="G19" s="26"/>
      <c r="H19" s="26"/>
      <c r="I19" s="38"/>
      <c r="J19" s="26"/>
      <c r="K19" s="26"/>
      <c r="L19" s="26"/>
      <c r="M19" s="26"/>
    </row>
    <row r="20" spans="1:13" x14ac:dyDescent="0.35">
      <c r="A20" s="26"/>
      <c r="B20" s="26"/>
      <c r="C20" s="26"/>
      <c r="D20" s="26"/>
      <c r="E20" s="26"/>
      <c r="F20" s="26"/>
      <c r="G20" s="26"/>
      <c r="H20" s="26"/>
      <c r="I20" s="38"/>
      <c r="J20" s="26"/>
      <c r="K20" s="26"/>
      <c r="L20" s="26"/>
      <c r="M20" s="26"/>
    </row>
    <row r="21" spans="1:13" x14ac:dyDescent="0.35">
      <c r="A21" s="26"/>
      <c r="B21" s="26"/>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407" t="s">
        <v>66</v>
      </c>
      <c r="B24" s="407"/>
      <c r="C24" s="26"/>
      <c r="D24" s="26"/>
      <c r="E24" s="407" t="s">
        <v>67</v>
      </c>
      <c r="F24" s="407"/>
      <c r="G24" s="408"/>
      <c r="H24" s="408"/>
      <c r="I24" s="28"/>
      <c r="J24" s="28"/>
      <c r="K24" s="28"/>
      <c r="L24" s="39"/>
      <c r="M24" s="40"/>
    </row>
    <row r="25" spans="1:13" x14ac:dyDescent="0.35">
      <c r="A25" s="409" t="s">
        <v>69</v>
      </c>
      <c r="B25" s="409"/>
      <c r="D25" s="29"/>
      <c r="E25" s="410" t="s">
        <v>70</v>
      </c>
      <c r="F25" s="410"/>
      <c r="G25" s="410" t="s">
        <v>71</v>
      </c>
      <c r="H25" s="410"/>
      <c r="I25" s="29"/>
      <c r="J25" s="29"/>
      <c r="K25" s="29" t="s">
        <v>72</v>
      </c>
      <c r="L25" s="31"/>
      <c r="M25" s="31"/>
    </row>
    <row r="26" spans="1:13" x14ac:dyDescent="0.35">
      <c r="A26" s="413" t="s">
        <v>92</v>
      </c>
      <c r="B26" s="413"/>
      <c r="D26" s="32"/>
      <c r="E26" s="414" t="s">
        <v>73</v>
      </c>
      <c r="F26" s="414"/>
      <c r="G26" s="414" t="s">
        <v>74</v>
      </c>
      <c r="H26" s="414"/>
      <c r="I26" s="31"/>
      <c r="J26" s="31"/>
      <c r="K26" s="31" t="s">
        <v>75</v>
      </c>
      <c r="L26" s="33"/>
      <c r="M26" s="33"/>
    </row>
    <row r="27" spans="1:13" x14ac:dyDescent="0.35">
      <c r="A27" s="413" t="s">
        <v>94</v>
      </c>
      <c r="B27" s="413"/>
      <c r="D27" s="34"/>
      <c r="E27" s="414" t="s">
        <v>78</v>
      </c>
      <c r="F27" s="414"/>
      <c r="G27" s="414" t="s">
        <v>79</v>
      </c>
      <c r="H27" s="414"/>
      <c r="I27" s="33"/>
      <c r="J27" s="33"/>
      <c r="K27" s="31" t="s">
        <v>80</v>
      </c>
      <c r="L27" s="34"/>
      <c r="M27" s="34"/>
    </row>
    <row r="28" spans="1:13" x14ac:dyDescent="0.35">
      <c r="A28" s="411" t="s">
        <v>76</v>
      </c>
      <c r="B28" s="411"/>
      <c r="D28" s="34"/>
      <c r="E28" s="412" t="s">
        <v>76</v>
      </c>
      <c r="F28" s="412"/>
      <c r="G28" s="412" t="s">
        <v>76</v>
      </c>
      <c r="H28" s="412"/>
      <c r="I28" s="33"/>
      <c r="J28" s="33"/>
      <c r="K28" s="33"/>
    </row>
    <row r="34" spans="2:6" x14ac:dyDescent="0.35">
      <c r="B34" s="417" t="s">
        <v>114</v>
      </c>
      <c r="C34" s="417"/>
      <c r="F34" s="110" t="s">
        <v>282</v>
      </c>
    </row>
    <row r="35" spans="2:6" x14ac:dyDescent="0.35">
      <c r="B35" s="418" t="s">
        <v>115</v>
      </c>
      <c r="C35" s="418"/>
      <c r="F35" s="32" t="s">
        <v>7</v>
      </c>
    </row>
    <row r="36" spans="2:6" x14ac:dyDescent="0.35">
      <c r="B36" s="416" t="s">
        <v>116</v>
      </c>
      <c r="C36" s="416"/>
      <c r="F36" s="34" t="s">
        <v>77</v>
      </c>
    </row>
    <row r="37" spans="2:6" ht="14.5" customHeight="1" x14ac:dyDescent="0.35">
      <c r="B37" s="416" t="s">
        <v>117</v>
      </c>
      <c r="C37" s="416"/>
      <c r="F37" s="34" t="s">
        <v>81</v>
      </c>
    </row>
  </sheetData>
  <mergeCells count="39">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17:F18"/>
    <mergeCell ref="A24:B24"/>
    <mergeCell ref="E24:F24"/>
    <mergeCell ref="G24:H24"/>
    <mergeCell ref="A25:B25"/>
    <mergeCell ref="E25:F25"/>
    <mergeCell ref="G25:H25"/>
    <mergeCell ref="A26:B26"/>
    <mergeCell ref="E26:F26"/>
    <mergeCell ref="G26:H26"/>
    <mergeCell ref="A27:B27"/>
    <mergeCell ref="E27:F27"/>
    <mergeCell ref="G27:H27"/>
    <mergeCell ref="A28:B28"/>
    <mergeCell ref="E28:F28"/>
    <mergeCell ref="G28:H28"/>
    <mergeCell ref="B37:C37"/>
    <mergeCell ref="B34:C34"/>
    <mergeCell ref="B35:C35"/>
    <mergeCell ref="B36:C36"/>
  </mergeCells>
  <pageMargins left="0.25" right="0.25" top="0.75" bottom="0.75" header="0.3" footer="0.3"/>
  <pageSetup scale="71"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7335-2590-4AA0-A862-8B998B9C2983}">
  <sheetPr>
    <pageSetUpPr fitToPage="1"/>
  </sheetPr>
  <dimension ref="A1:M37"/>
  <sheetViews>
    <sheetView topLeftCell="A16" workbookViewId="0">
      <selection activeCell="B23" sqref="B23:E25"/>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10" max="10" width="9.36328125" customWidth="1"/>
    <col min="11" max="11" width="25.08984375" customWidth="1"/>
    <col min="13" max="13" width="15.81640625" customWidth="1"/>
  </cols>
  <sheetData>
    <row r="1" spans="1:13" ht="42"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260</v>
      </c>
      <c r="D3" s="403"/>
      <c r="E3" s="403"/>
      <c r="F3" s="403"/>
      <c r="G3" s="403"/>
      <c r="H3" s="403"/>
      <c r="I3" s="403"/>
      <c r="J3" s="403"/>
      <c r="K3" s="403"/>
      <c r="L3" s="403"/>
      <c r="M3" s="385"/>
    </row>
    <row r="4" spans="1:13" x14ac:dyDescent="0.35">
      <c r="A4" s="384" t="s">
        <v>4</v>
      </c>
      <c r="B4" s="385"/>
      <c r="C4" s="393" t="s">
        <v>460</v>
      </c>
      <c r="D4" s="394"/>
      <c r="E4" s="394"/>
      <c r="F4" s="394"/>
      <c r="G4" s="394"/>
      <c r="H4" s="394"/>
      <c r="I4" s="394"/>
      <c r="J4" s="394"/>
      <c r="K4" s="394"/>
      <c r="L4" s="394"/>
      <c r="M4" s="395"/>
    </row>
    <row r="5" spans="1:13" x14ac:dyDescent="0.35">
      <c r="A5" s="384" t="s">
        <v>5</v>
      </c>
      <c r="B5" s="385"/>
      <c r="C5" s="387">
        <v>45869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H15</f>
        <v>7980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461</v>
      </c>
      <c r="J11" s="3" t="s">
        <v>18</v>
      </c>
      <c r="K11" s="3" t="s">
        <v>19</v>
      </c>
      <c r="L11" s="3" t="s">
        <v>20</v>
      </c>
      <c r="M11" s="4" t="s">
        <v>21</v>
      </c>
    </row>
    <row r="12" spans="1:13" x14ac:dyDescent="0.35">
      <c r="A12" s="5">
        <v>1</v>
      </c>
      <c r="B12" s="69" t="s">
        <v>261</v>
      </c>
      <c r="C12" s="69" t="s">
        <v>49</v>
      </c>
      <c r="D12" s="70" t="s">
        <v>262</v>
      </c>
      <c r="E12" s="70" t="s">
        <v>24</v>
      </c>
      <c r="F12" s="68" t="s">
        <v>25</v>
      </c>
      <c r="G12" s="68" t="s">
        <v>462</v>
      </c>
      <c r="H12" s="79">
        <v>3600</v>
      </c>
      <c r="I12" s="82">
        <v>0</v>
      </c>
      <c r="J12" s="82" t="s">
        <v>97</v>
      </c>
      <c r="K12" s="11"/>
      <c r="L12" s="83"/>
      <c r="M12" s="84"/>
    </row>
    <row r="13" spans="1:13" x14ac:dyDescent="0.35">
      <c r="A13" s="5">
        <v>2</v>
      </c>
      <c r="B13" s="69" t="s">
        <v>261</v>
      </c>
      <c r="C13" s="69" t="s">
        <v>49</v>
      </c>
      <c r="D13" s="70" t="s">
        <v>463</v>
      </c>
      <c r="E13" s="70" t="s">
        <v>24</v>
      </c>
      <c r="F13" s="68" t="s">
        <v>25</v>
      </c>
      <c r="G13" s="68" t="s">
        <v>462</v>
      </c>
      <c r="H13" s="79">
        <v>2400</v>
      </c>
      <c r="I13" s="82"/>
      <c r="J13" s="82"/>
      <c r="K13" s="11"/>
      <c r="L13" s="79"/>
      <c r="M13" s="84"/>
    </row>
    <row r="14" spans="1:13" x14ac:dyDescent="0.35">
      <c r="A14" s="5">
        <v>3</v>
      </c>
      <c r="B14" s="69" t="s">
        <v>261</v>
      </c>
      <c r="C14" s="69" t="s">
        <v>49</v>
      </c>
      <c r="D14" s="70" t="s">
        <v>464</v>
      </c>
      <c r="E14" s="70" t="s">
        <v>24</v>
      </c>
      <c r="F14" s="68" t="s">
        <v>25</v>
      </c>
      <c r="G14" s="68" t="s">
        <v>462</v>
      </c>
      <c r="H14" s="79">
        <v>1980</v>
      </c>
      <c r="I14" s="82"/>
      <c r="J14" s="82"/>
      <c r="K14" s="11"/>
      <c r="L14" s="79"/>
      <c r="M14" s="84"/>
    </row>
    <row r="15" spans="1:13" x14ac:dyDescent="0.35">
      <c r="A15" s="386" t="s">
        <v>8</v>
      </c>
      <c r="B15" s="386"/>
      <c r="C15" s="386"/>
      <c r="D15" s="386"/>
      <c r="E15" s="386"/>
      <c r="F15" s="386"/>
      <c r="G15" s="386"/>
      <c r="H15" s="81">
        <f>SUM(H12:H14)</f>
        <v>7980</v>
      </c>
      <c r="I15" s="24"/>
      <c r="J15" s="25"/>
      <c r="K15" s="43"/>
      <c r="L15" s="26"/>
      <c r="M15" s="26"/>
    </row>
    <row r="16" spans="1:13" x14ac:dyDescent="0.35">
      <c r="A16" s="26"/>
      <c r="B16" s="26"/>
      <c r="C16" s="26"/>
      <c r="D16" s="26"/>
      <c r="E16" s="26"/>
      <c r="F16" s="26"/>
      <c r="G16" s="26"/>
      <c r="H16" s="26"/>
      <c r="I16" s="26"/>
      <c r="J16" s="26"/>
      <c r="K16" s="26"/>
      <c r="L16" s="26"/>
      <c r="M16" s="26"/>
    </row>
    <row r="17" spans="1:13" x14ac:dyDescent="0.35">
      <c r="A17" s="26"/>
      <c r="B17" s="26" t="s">
        <v>465</v>
      </c>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412"/>
      <c r="C19" s="412"/>
      <c r="D19" s="412"/>
      <c r="E19" s="412"/>
      <c r="F19" s="26"/>
      <c r="G19" s="26"/>
      <c r="H19" s="26"/>
      <c r="I19" s="26"/>
      <c r="J19" s="26"/>
      <c r="K19" s="26"/>
      <c r="L19" s="26"/>
      <c r="M19" s="26"/>
    </row>
    <row r="20" spans="1:13" x14ac:dyDescent="0.35">
      <c r="A20" s="26"/>
      <c r="B20" s="412"/>
      <c r="C20" s="412"/>
      <c r="D20" s="412"/>
      <c r="E20" s="412"/>
      <c r="F20" s="26"/>
      <c r="G20" s="26"/>
      <c r="H20" s="26"/>
      <c r="I20" s="26"/>
      <c r="J20" s="26"/>
      <c r="K20" s="26"/>
      <c r="L20" s="26"/>
      <c r="M20" s="26"/>
    </row>
    <row r="21" spans="1:13" x14ac:dyDescent="0.35">
      <c r="A21" s="26"/>
      <c r="B21" s="412"/>
      <c r="C21" s="412"/>
      <c r="D21" s="412"/>
      <c r="E21" s="412"/>
      <c r="F21" s="26"/>
      <c r="G21" s="26"/>
      <c r="H21" s="26"/>
      <c r="I21" s="26"/>
      <c r="J21" s="26"/>
      <c r="K21" s="26"/>
      <c r="L21" s="26"/>
      <c r="M21" s="26"/>
    </row>
    <row r="22" spans="1:13" ht="15" thickBot="1" x14ac:dyDescent="0.4">
      <c r="A22" s="26"/>
      <c r="B22" s="26"/>
      <c r="C22" s="26"/>
      <c r="D22" s="26"/>
      <c r="E22" s="26"/>
      <c r="F22" s="26"/>
      <c r="G22" s="26"/>
      <c r="H22" s="26"/>
      <c r="I22" s="26"/>
      <c r="J22" s="26"/>
      <c r="K22" s="26"/>
      <c r="L22" s="26"/>
      <c r="M22" s="26"/>
    </row>
    <row r="23" spans="1:13" ht="15.5" thickTop="1" thickBot="1" x14ac:dyDescent="0.4">
      <c r="A23" s="26"/>
      <c r="B23" s="447" t="s">
        <v>267</v>
      </c>
      <c r="C23" s="448"/>
      <c r="D23" s="448"/>
      <c r="E23" s="448"/>
      <c r="F23" s="26"/>
      <c r="G23" s="26"/>
      <c r="H23" s="26"/>
      <c r="I23" s="26"/>
      <c r="J23" s="26"/>
      <c r="K23" s="26"/>
      <c r="L23" s="26"/>
      <c r="M23" s="26"/>
    </row>
    <row r="24" spans="1:13" ht="15.5" thickTop="1" thickBot="1" x14ac:dyDescent="0.4">
      <c r="A24" s="26"/>
      <c r="B24" s="448"/>
      <c r="C24" s="448"/>
      <c r="D24" s="448"/>
      <c r="E24" s="448"/>
      <c r="F24" s="26"/>
      <c r="G24" s="26"/>
      <c r="H24" s="26"/>
      <c r="I24" s="26"/>
      <c r="J24" s="26"/>
      <c r="K24" s="26"/>
      <c r="L24" s="26"/>
      <c r="M24" s="26"/>
    </row>
    <row r="25" spans="1:13" ht="31" customHeight="1" thickTop="1" thickBot="1" x14ac:dyDescent="0.4">
      <c r="A25" s="26"/>
      <c r="B25" s="448"/>
      <c r="C25" s="448"/>
      <c r="D25" s="448"/>
      <c r="E25" s="448"/>
      <c r="F25" s="26"/>
      <c r="G25" s="26"/>
      <c r="H25" s="26"/>
      <c r="I25" s="26"/>
      <c r="J25" s="26"/>
      <c r="K25" s="26"/>
      <c r="L25" s="26"/>
      <c r="M25" s="26"/>
    </row>
    <row r="26" spans="1:13" ht="15" thickTop="1"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C34" s="32"/>
      <c r="D34" s="32"/>
      <c r="E34" s="414" t="s">
        <v>73</v>
      </c>
      <c r="F34" s="414"/>
      <c r="G34" s="414" t="s">
        <v>74</v>
      </c>
      <c r="H34" s="414"/>
      <c r="I34" s="31"/>
      <c r="J34" s="31"/>
      <c r="K34" s="31" t="s">
        <v>75</v>
      </c>
      <c r="L34" s="33"/>
      <c r="M34" s="33"/>
    </row>
    <row r="35" spans="1:13" x14ac:dyDescent="0.35">
      <c r="A35" s="412" t="s">
        <v>94</v>
      </c>
      <c r="B35" s="412"/>
      <c r="C35" s="34"/>
      <c r="D35" s="34"/>
      <c r="E35" s="414" t="s">
        <v>78</v>
      </c>
      <c r="F35" s="414"/>
      <c r="G35" s="414" t="s">
        <v>414</v>
      </c>
      <c r="H35" s="414"/>
      <c r="I35" s="33"/>
      <c r="J35" s="33"/>
      <c r="K35" s="33" t="s">
        <v>80</v>
      </c>
      <c r="L35" s="34"/>
      <c r="M35" s="34"/>
    </row>
    <row r="36" spans="1:13" x14ac:dyDescent="0.35">
      <c r="A36" s="412" t="s">
        <v>76</v>
      </c>
      <c r="B36" s="412"/>
      <c r="C36" s="34"/>
      <c r="D36" s="34"/>
      <c r="E36" s="412" t="s">
        <v>76</v>
      </c>
      <c r="F36" s="412"/>
      <c r="G36" s="412" t="s">
        <v>76</v>
      </c>
      <c r="H36" s="412"/>
      <c r="I36" s="33"/>
      <c r="J36" s="33"/>
      <c r="K36" s="33"/>
    </row>
    <row r="37" spans="1:13" x14ac:dyDescent="0.35">
      <c r="C37" s="29"/>
    </row>
  </sheetData>
  <mergeCells count="36">
    <mergeCell ref="A4:B4"/>
    <mergeCell ref="C4:M4"/>
    <mergeCell ref="A1:M1"/>
    <mergeCell ref="A2:B2"/>
    <mergeCell ref="C2:M2"/>
    <mergeCell ref="A3:B3"/>
    <mergeCell ref="C3:M3"/>
    <mergeCell ref="A5:B5"/>
    <mergeCell ref="C5:M5"/>
    <mergeCell ref="A6:B6"/>
    <mergeCell ref="C6:M6"/>
    <mergeCell ref="A7:B7"/>
    <mergeCell ref="C7:M7"/>
    <mergeCell ref="A33:B33"/>
    <mergeCell ref="E33:F33"/>
    <mergeCell ref="G33:H33"/>
    <mergeCell ref="A8:B8"/>
    <mergeCell ref="C8:M8"/>
    <mergeCell ref="A9:B9"/>
    <mergeCell ref="C9:M9"/>
    <mergeCell ref="A10:M10"/>
    <mergeCell ref="A15:G15"/>
    <mergeCell ref="B19:E21"/>
    <mergeCell ref="B23:E25"/>
    <mergeCell ref="A32:B32"/>
    <mergeCell ref="E32:F32"/>
    <mergeCell ref="I32:J32"/>
    <mergeCell ref="A36:B36"/>
    <mergeCell ref="E36:F36"/>
    <mergeCell ref="G36:H36"/>
    <mergeCell ref="A34:B34"/>
    <mergeCell ref="E34:F34"/>
    <mergeCell ref="G34:H34"/>
    <mergeCell ref="A35:B35"/>
    <mergeCell ref="E35:F35"/>
    <mergeCell ref="G35:H35"/>
  </mergeCells>
  <phoneticPr fontId="12" type="noConversion"/>
  <pageMargins left="0.25" right="0.25" top="0.75" bottom="0.75" header="0.3" footer="0.3"/>
  <pageSetup scale="76"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A17A-6DA8-45A9-B8DA-F163770CC633}">
  <sheetPr>
    <pageSetUpPr fitToPage="1"/>
  </sheetPr>
  <dimension ref="A1:M43"/>
  <sheetViews>
    <sheetView topLeftCell="A10" workbookViewId="0">
      <selection activeCell="B20" sqref="B20:E22"/>
    </sheetView>
  </sheetViews>
  <sheetFormatPr defaultRowHeight="14.5" x14ac:dyDescent="0.35"/>
  <cols>
    <col min="1" max="1" width="5.81640625" bestFit="1" customWidth="1"/>
    <col min="2" max="2" width="30"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1" customHeight="1" x14ac:dyDescent="0.35">
      <c r="A1" s="402" t="s">
        <v>354</v>
      </c>
      <c r="B1" s="402"/>
      <c r="C1" s="402"/>
      <c r="D1" s="402"/>
      <c r="E1" s="402"/>
      <c r="F1" s="402"/>
      <c r="G1" s="402"/>
      <c r="H1" s="402"/>
      <c r="I1" s="402"/>
      <c r="J1" s="402"/>
      <c r="K1" s="402"/>
      <c r="L1" s="402"/>
      <c r="M1" s="402"/>
    </row>
    <row r="2" spans="1:13" x14ac:dyDescent="0.35">
      <c r="A2" s="384" t="s">
        <v>1</v>
      </c>
      <c r="B2" s="385"/>
      <c r="C2" s="393" t="s">
        <v>291</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362</v>
      </c>
      <c r="D4" s="394"/>
      <c r="E4" s="394"/>
      <c r="F4" s="394"/>
      <c r="G4" s="394"/>
      <c r="H4" s="394"/>
      <c r="I4" s="394"/>
      <c r="J4" s="394"/>
      <c r="K4" s="394"/>
      <c r="L4" s="394"/>
      <c r="M4" s="395"/>
    </row>
    <row r="5" spans="1:13" x14ac:dyDescent="0.35">
      <c r="A5" s="384" t="s">
        <v>5</v>
      </c>
      <c r="B5" s="385"/>
      <c r="C5" s="387">
        <v>45791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378</v>
      </c>
      <c r="J11" s="3" t="s">
        <v>18</v>
      </c>
      <c r="K11" s="3" t="s">
        <v>19</v>
      </c>
      <c r="L11" s="3" t="s">
        <v>20</v>
      </c>
      <c r="M11" s="3" t="s">
        <v>84</v>
      </c>
    </row>
    <row r="12" spans="1:13" x14ac:dyDescent="0.35">
      <c r="A12" s="5">
        <v>1</v>
      </c>
      <c r="B12" s="14" t="s">
        <v>398</v>
      </c>
      <c r="C12" s="7" t="s">
        <v>23</v>
      </c>
      <c r="D12" s="8">
        <v>741</v>
      </c>
      <c r="E12" s="5" t="s">
        <v>24</v>
      </c>
      <c r="F12" s="5" t="s">
        <v>25</v>
      </c>
      <c r="G12" s="44" t="s">
        <v>399</v>
      </c>
      <c r="H12" s="51">
        <v>5000</v>
      </c>
      <c r="I12" s="10" t="s">
        <v>97</v>
      </c>
      <c r="J12" s="10" t="s">
        <v>97</v>
      </c>
      <c r="K12" s="35" t="s">
        <v>97</v>
      </c>
      <c r="L12" s="51" t="s">
        <v>97</v>
      </c>
      <c r="M12" s="48" t="s">
        <v>344</v>
      </c>
    </row>
    <row r="13" spans="1:13" x14ac:dyDescent="0.35">
      <c r="A13" s="415" t="s">
        <v>8</v>
      </c>
      <c r="B13" s="415"/>
      <c r="C13" s="415"/>
      <c r="D13" s="415"/>
      <c r="E13" s="415"/>
      <c r="F13" s="415"/>
      <c r="G13" s="415"/>
      <c r="H13" s="36">
        <f>SUM(H12:H12)</f>
        <v>5000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400</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455"/>
      <c r="C17" s="455"/>
      <c r="D17" s="455"/>
      <c r="E17" s="455"/>
      <c r="F17" s="455"/>
      <c r="G17" s="26"/>
      <c r="H17" s="26"/>
      <c r="I17" s="38"/>
      <c r="J17" s="26"/>
      <c r="K17" s="26"/>
      <c r="L17" s="26"/>
      <c r="M17" s="26"/>
    </row>
    <row r="18" spans="1:13" x14ac:dyDescent="0.35">
      <c r="A18" s="26"/>
      <c r="B18" s="455"/>
      <c r="C18" s="455"/>
      <c r="D18" s="455"/>
      <c r="E18" s="455"/>
      <c r="F18" s="455"/>
      <c r="G18" s="26"/>
      <c r="H18" s="26"/>
      <c r="I18" s="38"/>
      <c r="J18" s="26"/>
      <c r="K18" s="26"/>
      <c r="L18" s="26"/>
      <c r="M18" s="26"/>
    </row>
    <row r="19" spans="1:13" ht="15" thickBot="1" x14ac:dyDescent="0.4">
      <c r="A19" s="26"/>
      <c r="B19" s="26"/>
      <c r="C19" s="26"/>
      <c r="D19" s="26"/>
      <c r="E19" s="26"/>
      <c r="F19" s="26"/>
      <c r="G19" s="26"/>
      <c r="H19" s="26"/>
      <c r="I19" s="38"/>
      <c r="J19" s="26"/>
      <c r="K19" s="26"/>
      <c r="L19" s="26"/>
      <c r="M19" s="26"/>
    </row>
    <row r="20" spans="1:13" ht="15.5" thickTop="1" thickBot="1" x14ac:dyDescent="0.4">
      <c r="A20" s="26"/>
      <c r="B20" s="447" t="s">
        <v>290</v>
      </c>
      <c r="C20" s="448"/>
      <c r="D20" s="448"/>
      <c r="E20" s="448"/>
      <c r="F20" s="26"/>
      <c r="G20" s="26"/>
      <c r="H20" s="26"/>
      <c r="I20" s="38"/>
      <c r="J20" s="26"/>
      <c r="K20" s="26"/>
      <c r="L20" s="26"/>
      <c r="M20" s="26"/>
    </row>
    <row r="21" spans="1:13" ht="15.5" thickTop="1" thickBot="1" x14ac:dyDescent="0.4">
      <c r="A21" s="26"/>
      <c r="B21" s="448"/>
      <c r="C21" s="448"/>
      <c r="D21" s="448"/>
      <c r="E21" s="448"/>
      <c r="F21" s="26"/>
      <c r="G21" s="26"/>
      <c r="H21" s="26"/>
      <c r="I21" s="38"/>
      <c r="J21" s="26"/>
      <c r="K21" s="26"/>
      <c r="L21" s="26"/>
      <c r="M21" s="26"/>
    </row>
    <row r="22" spans="1:13" ht="31.5" customHeight="1" thickTop="1" thickBot="1" x14ac:dyDescent="0.4">
      <c r="A22" s="26"/>
      <c r="B22" s="448"/>
      <c r="C22" s="448"/>
      <c r="D22" s="448"/>
      <c r="E22" s="448"/>
      <c r="F22" s="26"/>
      <c r="G22" s="26"/>
      <c r="H22" s="26"/>
      <c r="I22" s="38"/>
      <c r="J22" s="26"/>
      <c r="K22" s="26"/>
      <c r="L22" s="26"/>
      <c r="M22" s="26"/>
    </row>
    <row r="23" spans="1:13" ht="15" thickTop="1"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407" t="s">
        <v>66</v>
      </c>
      <c r="B30" s="407"/>
      <c r="C30" s="26"/>
      <c r="D30" s="26"/>
      <c r="E30" s="407" t="s">
        <v>67</v>
      </c>
      <c r="F30" s="407"/>
      <c r="G30" s="408"/>
      <c r="H30" s="408"/>
      <c r="I30" s="28"/>
      <c r="J30" s="28"/>
      <c r="K30" s="28"/>
      <c r="L30" s="39"/>
      <c r="M30" s="40"/>
    </row>
    <row r="31" spans="1:13" x14ac:dyDescent="0.35">
      <c r="A31" s="409" t="s">
        <v>69</v>
      </c>
      <c r="B31" s="409"/>
      <c r="D31" s="29"/>
      <c r="E31" s="410" t="s">
        <v>70</v>
      </c>
      <c r="F31" s="410"/>
      <c r="G31" s="410" t="s">
        <v>71</v>
      </c>
      <c r="H31" s="410"/>
      <c r="I31" s="29"/>
      <c r="J31" s="29"/>
      <c r="K31" s="29" t="s">
        <v>72</v>
      </c>
      <c r="L31" s="31"/>
      <c r="M31" s="31"/>
    </row>
    <row r="32" spans="1:13" x14ac:dyDescent="0.35">
      <c r="A32" s="413" t="s">
        <v>92</v>
      </c>
      <c r="B32" s="413"/>
      <c r="D32" s="32"/>
      <c r="E32" s="414" t="s">
        <v>73</v>
      </c>
      <c r="F32" s="414"/>
      <c r="G32" s="414" t="s">
        <v>74</v>
      </c>
      <c r="H32" s="414"/>
      <c r="I32" s="31"/>
      <c r="J32" s="31"/>
      <c r="K32" s="31" t="s">
        <v>75</v>
      </c>
      <c r="L32" s="33"/>
      <c r="M32" s="33"/>
    </row>
    <row r="33" spans="1:13" x14ac:dyDescent="0.35">
      <c r="A33" s="413" t="s">
        <v>94</v>
      </c>
      <c r="B33" s="413"/>
      <c r="D33" s="34"/>
      <c r="E33" s="414" t="s">
        <v>78</v>
      </c>
      <c r="F33" s="414"/>
      <c r="G33" s="414" t="s">
        <v>79</v>
      </c>
      <c r="H33" s="414"/>
      <c r="I33" s="33"/>
      <c r="J33" s="33"/>
      <c r="K33" s="31" t="s">
        <v>80</v>
      </c>
      <c r="L33" s="34"/>
      <c r="M33" s="34"/>
    </row>
    <row r="34" spans="1:13" x14ac:dyDescent="0.35">
      <c r="A34" s="411" t="s">
        <v>76</v>
      </c>
      <c r="B34" s="411"/>
      <c r="D34" s="34"/>
      <c r="E34" s="412" t="s">
        <v>76</v>
      </c>
      <c r="F34" s="412"/>
      <c r="G34" s="412" t="s">
        <v>76</v>
      </c>
      <c r="H34" s="412"/>
      <c r="I34" s="33"/>
      <c r="J34" s="33"/>
      <c r="K34" s="33"/>
    </row>
    <row r="40" spans="1:13" x14ac:dyDescent="0.35">
      <c r="B40" s="417" t="s">
        <v>114</v>
      </c>
      <c r="C40" s="417"/>
      <c r="F40" s="110" t="s">
        <v>282</v>
      </c>
    </row>
    <row r="41" spans="1:13" x14ac:dyDescent="0.35">
      <c r="B41" s="418" t="s">
        <v>115</v>
      </c>
      <c r="C41" s="418"/>
      <c r="F41" s="32" t="s">
        <v>7</v>
      </c>
    </row>
    <row r="42" spans="1:13" x14ac:dyDescent="0.35">
      <c r="B42" s="416" t="s">
        <v>116</v>
      </c>
      <c r="C42" s="416"/>
      <c r="F42" s="34" t="s">
        <v>77</v>
      </c>
    </row>
    <row r="43" spans="1:13" x14ac:dyDescent="0.35">
      <c r="B43" s="416" t="s">
        <v>117</v>
      </c>
      <c r="C43" s="416"/>
      <c r="F43" s="34" t="s">
        <v>81</v>
      </c>
    </row>
  </sheetData>
  <mergeCells count="40">
    <mergeCell ref="B43:C43"/>
    <mergeCell ref="B20:E22"/>
    <mergeCell ref="A34:B34"/>
    <mergeCell ref="E34:F34"/>
    <mergeCell ref="G34:H34"/>
    <mergeCell ref="B40:C40"/>
    <mergeCell ref="B41:C41"/>
    <mergeCell ref="B42:C42"/>
    <mergeCell ref="A32:B32"/>
    <mergeCell ref="E32:F32"/>
    <mergeCell ref="G32:H32"/>
    <mergeCell ref="A33:B33"/>
    <mergeCell ref="E33:F33"/>
    <mergeCell ref="G33:H33"/>
    <mergeCell ref="B17:F18"/>
    <mergeCell ref="A30:B30"/>
    <mergeCell ref="E30:F30"/>
    <mergeCell ref="G30:H30"/>
    <mergeCell ref="A31:B31"/>
    <mergeCell ref="E31:F31"/>
    <mergeCell ref="G31:H3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1"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9CDE6-3E77-49BB-9FC4-8260CACA28C4}">
  <sheetPr>
    <pageSetUpPr fitToPage="1"/>
  </sheetPr>
  <dimension ref="A1:M43"/>
  <sheetViews>
    <sheetView topLeftCell="A39" workbookViewId="0">
      <selection activeCell="D36" sqref="D36"/>
    </sheetView>
  </sheetViews>
  <sheetFormatPr defaultRowHeight="14.5" x14ac:dyDescent="0.35"/>
  <cols>
    <col min="1" max="1" width="5.81640625" bestFit="1" customWidth="1"/>
    <col min="2" max="2" width="38.453125" bestFit="1"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24.7265625" bestFit="1" customWidth="1"/>
  </cols>
  <sheetData>
    <row r="1" spans="1:13" ht="36" customHeight="1" x14ac:dyDescent="0.35">
      <c r="A1" s="402" t="s">
        <v>402</v>
      </c>
      <c r="B1" s="402"/>
      <c r="C1" s="402"/>
      <c r="D1" s="402"/>
      <c r="E1" s="402"/>
      <c r="F1" s="402"/>
      <c r="G1" s="402"/>
      <c r="H1" s="402"/>
      <c r="I1" s="402"/>
      <c r="J1" s="402"/>
      <c r="K1" s="402"/>
      <c r="L1" s="402"/>
      <c r="M1" s="402"/>
    </row>
    <row r="2" spans="1:13" x14ac:dyDescent="0.35">
      <c r="A2" s="384" t="s">
        <v>1</v>
      </c>
      <c r="B2" s="385"/>
      <c r="C2" s="393" t="s">
        <v>291</v>
      </c>
      <c r="D2" s="394"/>
      <c r="E2" s="394"/>
      <c r="F2" s="394"/>
      <c r="G2" s="394"/>
      <c r="H2" s="394"/>
      <c r="I2" s="394"/>
      <c r="J2" s="394"/>
      <c r="K2" s="394"/>
      <c r="L2" s="394"/>
      <c r="M2" s="395"/>
    </row>
    <row r="3" spans="1:13" x14ac:dyDescent="0.35">
      <c r="A3" s="384" t="s">
        <v>3</v>
      </c>
      <c r="B3" s="385"/>
      <c r="C3" s="384" t="s">
        <v>384</v>
      </c>
      <c r="D3" s="403"/>
      <c r="E3" s="403"/>
      <c r="F3" s="403"/>
      <c r="G3" s="403"/>
      <c r="H3" s="403"/>
      <c r="I3" s="403"/>
      <c r="J3" s="403"/>
      <c r="K3" s="403"/>
      <c r="L3" s="403"/>
      <c r="M3" s="385"/>
    </row>
    <row r="4" spans="1:13" x14ac:dyDescent="0.35">
      <c r="A4" s="384" t="s">
        <v>4</v>
      </c>
      <c r="B4" s="385"/>
      <c r="C4" s="393" t="s">
        <v>403</v>
      </c>
      <c r="D4" s="394"/>
      <c r="E4" s="394"/>
      <c r="F4" s="394"/>
      <c r="G4" s="394"/>
      <c r="H4" s="394"/>
      <c r="I4" s="394"/>
      <c r="J4" s="394"/>
      <c r="K4" s="394"/>
      <c r="L4" s="394"/>
      <c r="M4" s="395"/>
    </row>
    <row r="5" spans="1:13" x14ac:dyDescent="0.35">
      <c r="A5" s="384" t="s">
        <v>5</v>
      </c>
      <c r="B5" s="385"/>
      <c r="C5" s="387">
        <v>45792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379</v>
      </c>
      <c r="J11" s="3" t="s">
        <v>18</v>
      </c>
      <c r="K11" s="3" t="s">
        <v>19</v>
      </c>
      <c r="L11" s="3" t="s">
        <v>20</v>
      </c>
      <c r="M11" s="3" t="s">
        <v>84</v>
      </c>
    </row>
    <row r="12" spans="1:13" x14ac:dyDescent="0.35">
      <c r="A12" s="5">
        <v>1</v>
      </c>
      <c r="B12" s="14" t="s">
        <v>373</v>
      </c>
      <c r="C12" s="7" t="s">
        <v>23</v>
      </c>
      <c r="D12" s="8">
        <v>1161</v>
      </c>
      <c r="E12" s="5" t="s">
        <v>24</v>
      </c>
      <c r="F12" s="5" t="s">
        <v>25</v>
      </c>
      <c r="G12" s="44" t="s">
        <v>374</v>
      </c>
      <c r="H12" s="51">
        <v>5000</v>
      </c>
      <c r="I12" s="10">
        <v>0</v>
      </c>
      <c r="J12" s="10">
        <v>0</v>
      </c>
      <c r="K12" s="35" t="s">
        <v>97</v>
      </c>
      <c r="L12" s="51" t="s">
        <v>97</v>
      </c>
      <c r="M12" s="48" t="s">
        <v>385</v>
      </c>
    </row>
    <row r="13" spans="1:13" x14ac:dyDescent="0.35">
      <c r="A13" s="415" t="s">
        <v>8</v>
      </c>
      <c r="B13" s="415"/>
      <c r="C13" s="415"/>
      <c r="D13" s="415"/>
      <c r="E13" s="415"/>
      <c r="F13" s="415"/>
      <c r="G13" s="415"/>
      <c r="H13" s="36">
        <f>SUM(H12:H12)</f>
        <v>5000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386</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ht="14.5" customHeight="1" x14ac:dyDescent="0.35">
      <c r="A17" s="26"/>
      <c r="B17" s="455"/>
      <c r="C17" s="455"/>
      <c r="D17" s="455"/>
      <c r="E17" s="455"/>
      <c r="F17" s="455"/>
      <c r="G17" s="26"/>
      <c r="H17" s="26"/>
      <c r="I17" s="38"/>
      <c r="J17" s="26"/>
      <c r="K17" s="26"/>
      <c r="L17" s="26"/>
      <c r="M17" s="26"/>
    </row>
    <row r="18" spans="1:13" x14ac:dyDescent="0.35">
      <c r="A18" s="26"/>
      <c r="B18" s="455"/>
      <c r="C18" s="455"/>
      <c r="D18" s="455"/>
      <c r="E18" s="455"/>
      <c r="F18" s="455"/>
      <c r="G18" s="26"/>
      <c r="H18" s="26"/>
      <c r="I18" s="38"/>
      <c r="J18" s="26"/>
      <c r="K18" s="26"/>
      <c r="L18" s="26"/>
      <c r="M18" s="26"/>
    </row>
    <row r="19" spans="1:13" x14ac:dyDescent="0.35">
      <c r="A19" s="26"/>
      <c r="B19" s="454" t="s">
        <v>389</v>
      </c>
      <c r="C19" s="454"/>
      <c r="D19" s="454"/>
      <c r="E19" s="454"/>
      <c r="F19" s="454"/>
      <c r="G19" s="454"/>
      <c r="H19" s="454"/>
      <c r="I19" s="38"/>
      <c r="J19" s="26"/>
      <c r="K19" s="26"/>
      <c r="L19" s="26"/>
      <c r="M19" s="26"/>
    </row>
    <row r="20" spans="1:13" x14ac:dyDescent="0.35">
      <c r="A20" s="26"/>
      <c r="B20" s="454"/>
      <c r="C20" s="454"/>
      <c r="D20" s="454"/>
      <c r="E20" s="454"/>
      <c r="F20" s="454"/>
      <c r="G20" s="454"/>
      <c r="H20" s="454"/>
      <c r="I20" s="38"/>
      <c r="J20" s="26"/>
      <c r="K20" s="26"/>
      <c r="L20" s="26"/>
      <c r="M20" s="26"/>
    </row>
    <row r="21" spans="1:13" x14ac:dyDescent="0.35">
      <c r="A21" s="26"/>
      <c r="B21" s="115"/>
      <c r="C21" s="115"/>
      <c r="D21" s="115"/>
      <c r="E21" s="115"/>
      <c r="F21" s="115"/>
      <c r="G21" s="26"/>
      <c r="H21" s="26"/>
      <c r="I21" s="38"/>
      <c r="J21" s="26"/>
      <c r="K21" s="26"/>
      <c r="L21" s="26"/>
      <c r="M21" s="26"/>
    </row>
    <row r="22" spans="1:13" x14ac:dyDescent="0.35">
      <c r="A22" s="26"/>
      <c r="B22" s="115"/>
      <c r="C22" s="115"/>
      <c r="D22" s="115"/>
      <c r="E22" s="115"/>
      <c r="F22" s="115"/>
      <c r="G22" s="26"/>
      <c r="H22" s="26"/>
      <c r="I22" s="38"/>
      <c r="J22" s="26"/>
      <c r="K22" s="26"/>
      <c r="L22" s="26"/>
      <c r="M22" s="26"/>
    </row>
    <row r="23" spans="1:13" x14ac:dyDescent="0.35">
      <c r="A23" s="26"/>
      <c r="B23" s="115"/>
      <c r="C23" s="115"/>
      <c r="D23" s="115"/>
      <c r="E23" s="115"/>
      <c r="F23" s="115"/>
      <c r="G23" s="26"/>
      <c r="H23" s="26"/>
      <c r="I23" s="38"/>
      <c r="J23" s="26"/>
      <c r="K23" s="26"/>
      <c r="L23" s="26"/>
      <c r="M23" s="26"/>
    </row>
    <row r="24" spans="1:13" x14ac:dyDescent="0.35">
      <c r="A24" s="26"/>
      <c r="B24" s="115"/>
      <c r="C24" s="115"/>
      <c r="D24" s="115"/>
      <c r="E24" s="115"/>
      <c r="F24" s="115"/>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407" t="s">
        <v>66</v>
      </c>
      <c r="B30" s="407"/>
      <c r="C30" s="26"/>
      <c r="D30" s="26"/>
      <c r="E30" s="407" t="s">
        <v>67</v>
      </c>
      <c r="F30" s="407"/>
      <c r="G30" s="408"/>
      <c r="H30" s="408"/>
      <c r="I30" s="28"/>
      <c r="J30" s="28"/>
      <c r="K30" s="28"/>
      <c r="L30" s="39"/>
      <c r="M30" s="40"/>
    </row>
    <row r="31" spans="1:13" x14ac:dyDescent="0.35">
      <c r="A31" s="409" t="s">
        <v>69</v>
      </c>
      <c r="B31" s="409"/>
      <c r="D31" s="29"/>
      <c r="E31" s="410" t="s">
        <v>70</v>
      </c>
      <c r="F31" s="410"/>
      <c r="G31" s="410" t="s">
        <v>71</v>
      </c>
      <c r="H31" s="410"/>
      <c r="I31" s="29"/>
      <c r="J31" s="29"/>
      <c r="K31" s="29" t="s">
        <v>72</v>
      </c>
      <c r="L31" s="31"/>
      <c r="M31" s="31"/>
    </row>
    <row r="32" spans="1:13" x14ac:dyDescent="0.35">
      <c r="A32" s="413" t="s">
        <v>92</v>
      </c>
      <c r="B32" s="413"/>
      <c r="D32" s="32"/>
      <c r="E32" s="414" t="s">
        <v>73</v>
      </c>
      <c r="F32" s="414"/>
      <c r="G32" s="414" t="s">
        <v>74</v>
      </c>
      <c r="H32" s="414"/>
      <c r="I32" s="31"/>
      <c r="J32" s="31"/>
      <c r="K32" s="31" t="s">
        <v>75</v>
      </c>
      <c r="L32" s="33"/>
      <c r="M32" s="33"/>
    </row>
    <row r="33" spans="1:13" x14ac:dyDescent="0.35">
      <c r="A33" s="413" t="s">
        <v>94</v>
      </c>
      <c r="B33" s="413"/>
      <c r="D33" s="34"/>
      <c r="E33" s="414" t="s">
        <v>78</v>
      </c>
      <c r="F33" s="414"/>
      <c r="G33" s="414" t="s">
        <v>79</v>
      </c>
      <c r="H33" s="414"/>
      <c r="I33" s="33"/>
      <c r="J33" s="33"/>
      <c r="K33" s="31" t="s">
        <v>80</v>
      </c>
      <c r="L33" s="34"/>
      <c r="M33" s="34"/>
    </row>
    <row r="34" spans="1:13" x14ac:dyDescent="0.35">
      <c r="A34" s="411" t="s">
        <v>76</v>
      </c>
      <c r="B34" s="411"/>
      <c r="D34" s="34"/>
      <c r="E34" s="412" t="s">
        <v>76</v>
      </c>
      <c r="F34" s="412"/>
      <c r="G34" s="412" t="s">
        <v>76</v>
      </c>
      <c r="H34" s="412"/>
      <c r="I34" s="33"/>
      <c r="J34" s="33"/>
      <c r="K34" s="33"/>
    </row>
    <row r="40" spans="1:13" x14ac:dyDescent="0.35">
      <c r="B40" s="91" t="s">
        <v>114</v>
      </c>
      <c r="C40" s="117"/>
      <c r="F40" s="110" t="s">
        <v>282</v>
      </c>
    </row>
    <row r="41" spans="1:13" x14ac:dyDescent="0.35">
      <c r="B41" s="92" t="s">
        <v>115</v>
      </c>
      <c r="C41" s="118"/>
      <c r="F41" s="32" t="s">
        <v>7</v>
      </c>
    </row>
    <row r="42" spans="1:13" x14ac:dyDescent="0.35">
      <c r="B42" s="90" t="s">
        <v>116</v>
      </c>
      <c r="C42" s="119"/>
      <c r="F42" s="34" t="s">
        <v>77</v>
      </c>
    </row>
    <row r="43" spans="1:13" x14ac:dyDescent="0.35">
      <c r="B43" s="120" t="s">
        <v>117</v>
      </c>
      <c r="C43" s="116"/>
      <c r="F43" s="34" t="s">
        <v>81</v>
      </c>
    </row>
  </sheetData>
  <mergeCells count="36">
    <mergeCell ref="A34:B34"/>
    <mergeCell ref="E34:F34"/>
    <mergeCell ref="G34:H34"/>
    <mergeCell ref="A32:B32"/>
    <mergeCell ref="E32:F32"/>
    <mergeCell ref="G32:H32"/>
    <mergeCell ref="A33:B33"/>
    <mergeCell ref="E33:F33"/>
    <mergeCell ref="G33:H33"/>
    <mergeCell ref="B17:F18"/>
    <mergeCell ref="A30:B30"/>
    <mergeCell ref="E30:F30"/>
    <mergeCell ref="G30:H30"/>
    <mergeCell ref="A31:B31"/>
    <mergeCell ref="E31:F31"/>
    <mergeCell ref="G31:H31"/>
    <mergeCell ref="B19:H20"/>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65"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1CD8-7168-44F5-862C-707800CD6D55}">
  <sheetPr>
    <pageSetUpPr fitToPage="1"/>
  </sheetPr>
  <dimension ref="A1:M48"/>
  <sheetViews>
    <sheetView topLeftCell="A13" workbookViewId="0">
      <selection activeCell="B26" sqref="B26:E28"/>
    </sheetView>
  </sheetViews>
  <sheetFormatPr defaultRowHeight="14.5" x14ac:dyDescent="0.35"/>
  <cols>
    <col min="1" max="1" width="5.81640625" bestFit="1" customWidth="1"/>
    <col min="2" max="2" width="38.453125" bestFit="1" customWidth="1"/>
    <col min="3" max="3" width="17.81640625" bestFit="1" customWidth="1"/>
    <col min="4" max="4" width="9.1796875"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24.7265625" bestFit="1" customWidth="1"/>
  </cols>
  <sheetData>
    <row r="1" spans="1:13" ht="36" customHeight="1" x14ac:dyDescent="0.35">
      <c r="A1" s="402" t="s">
        <v>387</v>
      </c>
      <c r="B1" s="402"/>
      <c r="C1" s="402"/>
      <c r="D1" s="402"/>
      <c r="E1" s="402"/>
      <c r="F1" s="402"/>
      <c r="G1" s="402"/>
      <c r="H1" s="402"/>
      <c r="I1" s="402"/>
      <c r="J1" s="402"/>
      <c r="K1" s="402"/>
      <c r="L1" s="402"/>
      <c r="M1" s="402"/>
    </row>
    <row r="2" spans="1:13" x14ac:dyDescent="0.35">
      <c r="A2" s="384" t="s">
        <v>1</v>
      </c>
      <c r="B2" s="385"/>
      <c r="C2" s="393" t="s">
        <v>291</v>
      </c>
      <c r="D2" s="394"/>
      <c r="E2" s="394"/>
      <c r="F2" s="394"/>
      <c r="G2" s="394"/>
      <c r="H2" s="394"/>
      <c r="I2" s="394"/>
      <c r="J2" s="394"/>
      <c r="K2" s="394"/>
      <c r="L2" s="394"/>
      <c r="M2" s="395"/>
    </row>
    <row r="3" spans="1:13" x14ac:dyDescent="0.35">
      <c r="A3" s="384" t="s">
        <v>3</v>
      </c>
      <c r="B3" s="385"/>
      <c r="C3" s="384" t="s">
        <v>384</v>
      </c>
      <c r="D3" s="403"/>
      <c r="E3" s="403"/>
      <c r="F3" s="403"/>
      <c r="G3" s="403"/>
      <c r="H3" s="403"/>
      <c r="I3" s="403"/>
      <c r="J3" s="403"/>
      <c r="K3" s="403"/>
      <c r="L3" s="403"/>
      <c r="M3" s="385"/>
    </row>
    <row r="4" spans="1:13" x14ac:dyDescent="0.35">
      <c r="A4" s="384" t="s">
        <v>4</v>
      </c>
      <c r="B4" s="385"/>
      <c r="C4" s="393" t="s">
        <v>388</v>
      </c>
      <c r="D4" s="394"/>
      <c r="E4" s="394"/>
      <c r="F4" s="394"/>
      <c r="G4" s="394"/>
      <c r="H4" s="394"/>
      <c r="I4" s="394"/>
      <c r="J4" s="394"/>
      <c r="K4" s="394"/>
      <c r="L4" s="394"/>
      <c r="M4" s="395"/>
    </row>
    <row r="5" spans="1:13" x14ac:dyDescent="0.35">
      <c r="A5" s="384" t="s">
        <v>5</v>
      </c>
      <c r="B5" s="385"/>
      <c r="C5" s="387">
        <v>45790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v>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378</v>
      </c>
      <c r="J11" s="3" t="s">
        <v>18</v>
      </c>
      <c r="K11" s="3" t="s">
        <v>19</v>
      </c>
      <c r="L11" s="3" t="s">
        <v>20</v>
      </c>
      <c r="M11" s="3" t="s">
        <v>84</v>
      </c>
    </row>
    <row r="12" spans="1:13" x14ac:dyDescent="0.35">
      <c r="A12" s="5">
        <v>1</v>
      </c>
      <c r="B12" s="14" t="s">
        <v>373</v>
      </c>
      <c r="C12" s="7" t="s">
        <v>23</v>
      </c>
      <c r="D12" s="8">
        <v>1161</v>
      </c>
      <c r="E12" s="5" t="s">
        <v>24</v>
      </c>
      <c r="F12" s="5" t="s">
        <v>25</v>
      </c>
      <c r="G12" s="44" t="s">
        <v>374</v>
      </c>
      <c r="H12" s="51">
        <v>2000</v>
      </c>
      <c r="I12" s="10">
        <v>0</v>
      </c>
      <c r="J12" s="10">
        <v>0</v>
      </c>
      <c r="K12" s="35" t="s">
        <v>97</v>
      </c>
      <c r="L12" s="51" t="s">
        <v>97</v>
      </c>
      <c r="M12" s="48" t="s">
        <v>385</v>
      </c>
    </row>
    <row r="13" spans="1:13" x14ac:dyDescent="0.35">
      <c r="A13" s="415" t="s">
        <v>8</v>
      </c>
      <c r="B13" s="415"/>
      <c r="C13" s="415"/>
      <c r="D13" s="415"/>
      <c r="E13" s="415"/>
      <c r="F13" s="415"/>
      <c r="G13" s="415"/>
      <c r="H13" s="36">
        <f>SUM(H12:H12)</f>
        <v>2000</v>
      </c>
      <c r="I13" s="37"/>
      <c r="J13" s="25"/>
      <c r="K13" s="25"/>
      <c r="L13" s="26"/>
      <c r="M13" s="26"/>
    </row>
    <row r="14" spans="1:13" x14ac:dyDescent="0.35">
      <c r="A14" s="26"/>
      <c r="B14" s="26"/>
      <c r="C14" s="26"/>
      <c r="D14" s="26"/>
      <c r="E14" s="26"/>
      <c r="F14" s="26"/>
      <c r="G14" s="26"/>
      <c r="H14" s="26"/>
      <c r="I14" s="38"/>
      <c r="J14" s="26"/>
      <c r="K14" s="26"/>
      <c r="L14" s="26"/>
      <c r="M14" s="26"/>
    </row>
    <row r="15" spans="1:13" x14ac:dyDescent="0.35">
      <c r="A15" s="26"/>
      <c r="B15" s="26" t="s">
        <v>390</v>
      </c>
      <c r="C15" s="26"/>
      <c r="D15" s="26"/>
      <c r="E15" s="26"/>
      <c r="F15" s="26"/>
      <c r="G15" s="26"/>
      <c r="H15" s="26"/>
      <c r="I15" s="38"/>
      <c r="J15" s="26"/>
      <c r="K15" s="26"/>
      <c r="L15" s="26"/>
      <c r="M15" s="26"/>
    </row>
    <row r="16" spans="1:13" x14ac:dyDescent="0.35">
      <c r="A16" s="26"/>
      <c r="B16" s="26"/>
      <c r="C16" s="26"/>
      <c r="D16" s="26"/>
      <c r="E16" s="26"/>
      <c r="F16" s="26"/>
      <c r="G16" s="26"/>
      <c r="H16" s="26"/>
      <c r="I16" s="38"/>
      <c r="J16" s="26"/>
      <c r="K16" s="26"/>
      <c r="L16" s="26"/>
      <c r="M16" s="26"/>
    </row>
    <row r="17" spans="1:13" x14ac:dyDescent="0.35">
      <c r="A17" s="26"/>
      <c r="B17" s="455"/>
      <c r="C17" s="455"/>
      <c r="D17" s="455"/>
      <c r="E17" s="455"/>
      <c r="F17" s="455"/>
      <c r="G17" s="26"/>
      <c r="H17" s="26"/>
      <c r="I17" s="38"/>
      <c r="J17" s="26"/>
      <c r="K17" s="26"/>
      <c r="L17" s="26"/>
      <c r="M17" s="26"/>
    </row>
    <row r="18" spans="1:13" x14ac:dyDescent="0.35">
      <c r="A18" s="26"/>
      <c r="B18" s="455"/>
      <c r="C18" s="455"/>
      <c r="D18" s="455"/>
      <c r="E18" s="455"/>
      <c r="F18" s="455"/>
      <c r="G18" s="26"/>
      <c r="H18" s="26"/>
      <c r="I18" s="38"/>
      <c r="J18" s="26"/>
      <c r="K18" s="26"/>
      <c r="L18" s="26"/>
      <c r="M18" s="26"/>
    </row>
    <row r="19" spans="1:13" x14ac:dyDescent="0.35">
      <c r="A19" s="26"/>
      <c r="B19" s="454" t="s">
        <v>391</v>
      </c>
      <c r="C19" s="454"/>
      <c r="D19" s="454"/>
      <c r="E19" s="454"/>
      <c r="F19" s="454"/>
      <c r="G19" s="454"/>
      <c r="H19" s="454"/>
      <c r="I19" s="38"/>
      <c r="J19" s="26"/>
      <c r="K19" s="26"/>
      <c r="L19" s="26"/>
      <c r="M19" s="26"/>
    </row>
    <row r="20" spans="1:13" x14ac:dyDescent="0.35">
      <c r="A20" s="26"/>
      <c r="B20" s="454"/>
      <c r="C20" s="454"/>
      <c r="D20" s="454"/>
      <c r="E20" s="454"/>
      <c r="F20" s="454"/>
      <c r="G20" s="454"/>
      <c r="H20" s="454"/>
      <c r="I20" s="38"/>
      <c r="J20" s="26"/>
      <c r="K20" s="26"/>
      <c r="L20" s="26"/>
      <c r="M20" s="26"/>
    </row>
    <row r="21" spans="1:13" x14ac:dyDescent="0.35">
      <c r="A21" s="26"/>
      <c r="B21" s="115"/>
      <c r="C21" s="115"/>
      <c r="D21" s="115"/>
      <c r="E21" s="115"/>
      <c r="F21" s="115"/>
      <c r="G21" s="26"/>
      <c r="H21" s="26"/>
      <c r="I21" s="38"/>
      <c r="J21" s="26"/>
      <c r="K21" s="26"/>
      <c r="L21" s="26"/>
      <c r="M21" s="26"/>
    </row>
    <row r="22" spans="1:13" x14ac:dyDescent="0.35">
      <c r="A22" s="26"/>
      <c r="B22" s="115"/>
      <c r="C22" s="115"/>
      <c r="D22" s="115"/>
      <c r="E22" s="115"/>
      <c r="F22" s="115"/>
      <c r="G22" s="26"/>
      <c r="H22" s="26"/>
      <c r="I22" s="38"/>
      <c r="J22" s="26"/>
      <c r="K22" s="26"/>
      <c r="L22" s="26"/>
      <c r="M22" s="26"/>
    </row>
    <row r="23" spans="1:13" x14ac:dyDescent="0.35">
      <c r="A23" s="26"/>
      <c r="B23" s="115"/>
      <c r="C23" s="115"/>
      <c r="D23" s="115"/>
      <c r="E23" s="115"/>
      <c r="F23" s="115"/>
      <c r="G23" s="26"/>
      <c r="H23" s="26"/>
      <c r="I23" s="38"/>
      <c r="J23" s="26"/>
      <c r="K23" s="26"/>
      <c r="L23" s="26"/>
      <c r="M23" s="26"/>
    </row>
    <row r="24" spans="1:13" x14ac:dyDescent="0.35">
      <c r="A24" s="26"/>
      <c r="B24" s="115"/>
      <c r="C24" s="115"/>
      <c r="D24" s="115"/>
      <c r="E24" s="115"/>
      <c r="F24" s="115"/>
      <c r="G24" s="26"/>
      <c r="H24" s="26"/>
      <c r="I24" s="38"/>
      <c r="J24" s="26"/>
      <c r="K24" s="26"/>
      <c r="L24" s="26"/>
      <c r="M24" s="26"/>
    </row>
    <row r="25" spans="1:13" ht="15" thickBot="1" x14ac:dyDescent="0.4">
      <c r="A25" s="26"/>
      <c r="B25" s="115"/>
      <c r="C25" s="115"/>
      <c r="D25" s="115"/>
      <c r="E25" s="115"/>
      <c r="F25" s="115"/>
      <c r="G25" s="26"/>
      <c r="H25" s="26"/>
      <c r="I25" s="38"/>
      <c r="J25" s="26"/>
      <c r="K25" s="26"/>
      <c r="L25" s="26"/>
      <c r="M25" s="26"/>
    </row>
    <row r="26" spans="1:13" ht="15.5" thickTop="1" thickBot="1" x14ac:dyDescent="0.4">
      <c r="A26" s="26"/>
      <c r="B26" s="447" t="s">
        <v>290</v>
      </c>
      <c r="C26" s="448"/>
      <c r="D26" s="448"/>
      <c r="E26" s="448"/>
      <c r="F26" s="115"/>
      <c r="G26" s="26"/>
      <c r="H26" s="26"/>
      <c r="I26" s="38"/>
      <c r="J26" s="26"/>
      <c r="K26" s="26"/>
      <c r="L26" s="26"/>
      <c r="M26" s="26"/>
    </row>
    <row r="27" spans="1:13" ht="15.5" thickTop="1" thickBot="1" x14ac:dyDescent="0.4">
      <c r="A27" s="26"/>
      <c r="B27" s="448"/>
      <c r="C27" s="448"/>
      <c r="D27" s="448"/>
      <c r="E27" s="448"/>
      <c r="F27" s="115"/>
      <c r="G27" s="26"/>
      <c r="H27" s="26"/>
      <c r="I27" s="38"/>
      <c r="J27" s="26"/>
      <c r="K27" s="26"/>
      <c r="L27" s="26"/>
      <c r="M27" s="26"/>
    </row>
    <row r="28" spans="1:13" ht="33.5" customHeight="1" thickTop="1" thickBot="1" x14ac:dyDescent="0.4">
      <c r="A28" s="26"/>
      <c r="B28" s="448"/>
      <c r="C28" s="448"/>
      <c r="D28" s="448"/>
      <c r="E28" s="448"/>
      <c r="F28" s="115"/>
      <c r="G28" s="26"/>
      <c r="H28" s="26"/>
      <c r="I28" s="38"/>
      <c r="J28" s="26"/>
      <c r="K28" s="26"/>
      <c r="L28" s="26"/>
      <c r="M28" s="26"/>
    </row>
    <row r="29" spans="1:13" ht="15" thickTop="1" x14ac:dyDescent="0.35">
      <c r="A29" s="26"/>
      <c r="B29" s="115"/>
      <c r="C29" s="115"/>
      <c r="D29" s="115"/>
      <c r="E29" s="115"/>
      <c r="F29" s="115"/>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26"/>
      <c r="B31" s="26"/>
      <c r="C31" s="26"/>
      <c r="D31" s="26"/>
      <c r="E31" s="26"/>
      <c r="F31" s="26"/>
      <c r="G31" s="26"/>
      <c r="H31" s="26"/>
      <c r="I31" s="38"/>
      <c r="J31" s="26"/>
      <c r="K31" s="26"/>
      <c r="L31" s="26"/>
      <c r="M31" s="26"/>
    </row>
    <row r="32" spans="1:13" x14ac:dyDescent="0.35">
      <c r="A32" s="26"/>
      <c r="B32" s="26"/>
      <c r="C32" s="26"/>
      <c r="D32" s="26"/>
      <c r="E32" s="26"/>
      <c r="F32" s="26"/>
      <c r="G32" s="26"/>
      <c r="H32" s="26"/>
      <c r="I32" s="38"/>
      <c r="J32" s="26"/>
      <c r="K32" s="26"/>
      <c r="L32" s="26"/>
      <c r="M32" s="26"/>
    </row>
    <row r="33" spans="1:13" x14ac:dyDescent="0.35">
      <c r="A33" s="26"/>
      <c r="B33" s="26"/>
      <c r="C33" s="26"/>
      <c r="D33" s="26"/>
      <c r="E33" s="26"/>
      <c r="F33" s="26"/>
      <c r="G33" s="26"/>
      <c r="H33" s="26"/>
      <c r="I33" s="38"/>
      <c r="J33" s="26"/>
      <c r="K33" s="26"/>
      <c r="L33" s="26"/>
      <c r="M33" s="26"/>
    </row>
    <row r="34" spans="1:13" x14ac:dyDescent="0.35">
      <c r="A34" s="26"/>
      <c r="B34" s="26"/>
      <c r="C34" s="26"/>
      <c r="D34" s="26"/>
      <c r="E34" s="26"/>
      <c r="F34" s="26"/>
      <c r="G34" s="26"/>
      <c r="H34" s="26"/>
      <c r="I34" s="38"/>
      <c r="J34" s="26"/>
      <c r="K34" s="26"/>
      <c r="L34" s="26"/>
      <c r="M34" s="26"/>
    </row>
    <row r="35" spans="1:13" x14ac:dyDescent="0.35">
      <c r="A35" s="407" t="s">
        <v>66</v>
      </c>
      <c r="B35" s="407"/>
      <c r="C35" s="26"/>
      <c r="D35" s="26"/>
      <c r="E35" s="407" t="s">
        <v>67</v>
      </c>
      <c r="F35" s="407"/>
      <c r="G35" s="408"/>
      <c r="H35" s="408"/>
      <c r="I35" s="28"/>
      <c r="J35" s="28"/>
      <c r="K35" s="28"/>
      <c r="L35" s="39"/>
      <c r="M35" s="40"/>
    </row>
    <row r="36" spans="1:13" x14ac:dyDescent="0.35">
      <c r="A36" s="409" t="s">
        <v>69</v>
      </c>
      <c r="B36" s="409"/>
      <c r="D36" s="29"/>
      <c r="E36" s="410" t="s">
        <v>70</v>
      </c>
      <c r="F36" s="410"/>
      <c r="G36" s="410" t="s">
        <v>71</v>
      </c>
      <c r="H36" s="410"/>
      <c r="I36" s="29"/>
      <c r="J36" s="29"/>
      <c r="K36" s="29" t="s">
        <v>72</v>
      </c>
      <c r="L36" s="31"/>
      <c r="M36" s="31"/>
    </row>
    <row r="37" spans="1:13" x14ac:dyDescent="0.35">
      <c r="A37" s="413" t="s">
        <v>92</v>
      </c>
      <c r="B37" s="413"/>
      <c r="D37" s="32"/>
      <c r="E37" s="414" t="s">
        <v>73</v>
      </c>
      <c r="F37" s="414"/>
      <c r="G37" s="414" t="s">
        <v>74</v>
      </c>
      <c r="H37" s="414"/>
      <c r="I37" s="31"/>
      <c r="J37" s="31"/>
      <c r="K37" s="31" t="s">
        <v>75</v>
      </c>
      <c r="L37" s="33"/>
      <c r="M37" s="33"/>
    </row>
    <row r="38" spans="1:13" x14ac:dyDescent="0.35">
      <c r="A38" s="413" t="s">
        <v>94</v>
      </c>
      <c r="B38" s="413"/>
      <c r="D38" s="34"/>
      <c r="E38" s="414" t="s">
        <v>78</v>
      </c>
      <c r="F38" s="414"/>
      <c r="G38" s="414" t="s">
        <v>79</v>
      </c>
      <c r="H38" s="414"/>
      <c r="I38" s="33"/>
      <c r="J38" s="33"/>
      <c r="K38" s="31" t="s">
        <v>80</v>
      </c>
      <c r="L38" s="34"/>
      <c r="M38" s="34"/>
    </row>
    <row r="39" spans="1:13" x14ac:dyDescent="0.35">
      <c r="A39" s="411" t="s">
        <v>76</v>
      </c>
      <c r="B39" s="411"/>
      <c r="D39" s="34"/>
      <c r="E39" s="412" t="s">
        <v>76</v>
      </c>
      <c r="F39" s="412"/>
      <c r="G39" s="412" t="s">
        <v>76</v>
      </c>
      <c r="H39" s="412"/>
      <c r="I39" s="33"/>
      <c r="J39" s="33"/>
      <c r="K39" s="33"/>
    </row>
    <row r="45" spans="1:13" x14ac:dyDescent="0.35">
      <c r="B45" s="91" t="s">
        <v>114</v>
      </c>
      <c r="C45" s="117"/>
      <c r="F45" s="110" t="s">
        <v>282</v>
      </c>
    </row>
    <row r="46" spans="1:13" x14ac:dyDescent="0.35">
      <c r="B46" s="92" t="s">
        <v>115</v>
      </c>
      <c r="C46" s="118"/>
      <c r="F46" s="32" t="s">
        <v>7</v>
      </c>
    </row>
    <row r="47" spans="1:13" x14ac:dyDescent="0.35">
      <c r="B47" s="90" t="s">
        <v>116</v>
      </c>
      <c r="C47" s="119"/>
      <c r="F47" s="34" t="s">
        <v>77</v>
      </c>
    </row>
    <row r="48" spans="1:13" x14ac:dyDescent="0.35">
      <c r="B48" s="120" t="s">
        <v>117</v>
      </c>
      <c r="C48" s="116"/>
      <c r="F48" s="34" t="s">
        <v>81</v>
      </c>
    </row>
  </sheetData>
  <mergeCells count="37">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17:F18"/>
    <mergeCell ref="B19:H20"/>
    <mergeCell ref="A35:B35"/>
    <mergeCell ref="E35:F35"/>
    <mergeCell ref="G35:H35"/>
    <mergeCell ref="A39:B39"/>
    <mergeCell ref="E39:F39"/>
    <mergeCell ref="G39:H39"/>
    <mergeCell ref="B26:E28"/>
    <mergeCell ref="A37:B37"/>
    <mergeCell ref="E37:F37"/>
    <mergeCell ref="G37:H37"/>
    <mergeCell ref="A38:B38"/>
    <mergeCell ref="E38:F38"/>
    <mergeCell ref="G38:H38"/>
    <mergeCell ref="A36:B36"/>
    <mergeCell ref="E36:F36"/>
    <mergeCell ref="G36:H36"/>
  </mergeCells>
  <pageMargins left="0.25" right="0.25" top="0.75" bottom="0.75" header="0.3" footer="0.3"/>
  <pageSetup scale="65"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6FC34-E4DB-41FB-8F83-D3926B7158D6}">
  <sheetPr codeName="Sheet22">
    <pageSetUpPr fitToPage="1"/>
  </sheetPr>
  <dimension ref="A1:M36"/>
  <sheetViews>
    <sheetView topLeftCell="A8" workbookViewId="0">
      <selection sqref="A1:M1"/>
    </sheetView>
  </sheetViews>
  <sheetFormatPr defaultRowHeight="14.5" x14ac:dyDescent="0.35"/>
  <cols>
    <col min="2" max="2" width="38.36328125" customWidth="1"/>
    <col min="3" max="3" width="19.26953125" customWidth="1"/>
    <col min="6" max="6" width="11.36328125" customWidth="1"/>
    <col min="7" max="7" width="11.7265625" bestFit="1" customWidth="1"/>
    <col min="11" max="11" width="9.36328125" bestFit="1" customWidth="1"/>
    <col min="13" max="13" width="10.7265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148</v>
      </c>
      <c r="D3" s="403"/>
      <c r="E3" s="403"/>
      <c r="F3" s="403"/>
      <c r="G3" s="403"/>
      <c r="H3" s="403"/>
      <c r="I3" s="403"/>
      <c r="J3" s="403"/>
      <c r="K3" s="403"/>
      <c r="L3" s="403"/>
      <c r="M3" s="385"/>
    </row>
    <row r="4" spans="1:13" x14ac:dyDescent="0.35">
      <c r="A4" s="384" t="s">
        <v>4</v>
      </c>
      <c r="B4" s="385"/>
      <c r="C4" s="393" t="s">
        <v>147</v>
      </c>
      <c r="D4" s="394"/>
      <c r="E4" s="394"/>
      <c r="F4" s="394"/>
      <c r="G4" s="394"/>
      <c r="H4" s="394"/>
      <c r="I4" s="394"/>
      <c r="J4" s="394"/>
      <c r="K4" s="394"/>
      <c r="L4" s="394"/>
      <c r="M4" s="395"/>
    </row>
    <row r="5" spans="1:13" x14ac:dyDescent="0.35">
      <c r="A5" s="384" t="s">
        <v>5</v>
      </c>
      <c r="B5" s="385"/>
      <c r="C5" s="387">
        <v>45383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12000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81" x14ac:dyDescent="0.35">
      <c r="A11" s="3" t="s">
        <v>10</v>
      </c>
      <c r="B11" s="2" t="s">
        <v>11</v>
      </c>
      <c r="C11" s="2" t="s">
        <v>12</v>
      </c>
      <c r="D11" s="2" t="s">
        <v>13</v>
      </c>
      <c r="E11" s="2" t="s">
        <v>14</v>
      </c>
      <c r="F11" s="3" t="s">
        <v>15</v>
      </c>
      <c r="G11" s="3" t="s">
        <v>16</v>
      </c>
      <c r="H11" s="3" t="s">
        <v>17</v>
      </c>
      <c r="I11" s="3" t="s">
        <v>120</v>
      </c>
      <c r="J11" s="3" t="s">
        <v>18</v>
      </c>
      <c r="K11" s="3" t="s">
        <v>19</v>
      </c>
      <c r="L11" s="3" t="s">
        <v>20</v>
      </c>
      <c r="M11" s="4" t="s">
        <v>21</v>
      </c>
    </row>
    <row r="12" spans="1:13" ht="43.5" x14ac:dyDescent="0.35">
      <c r="A12" s="5">
        <v>1</v>
      </c>
      <c r="B12" s="19" t="s">
        <v>119</v>
      </c>
      <c r="C12" s="20" t="s">
        <v>49</v>
      </c>
      <c r="D12" s="21" t="s">
        <v>63</v>
      </c>
      <c r="E12" s="22" t="s">
        <v>64</v>
      </c>
      <c r="F12" s="5" t="s">
        <v>25</v>
      </c>
      <c r="G12" s="21" t="s">
        <v>65</v>
      </c>
      <c r="H12" s="9">
        <v>7000</v>
      </c>
      <c r="I12" s="10">
        <v>27300</v>
      </c>
      <c r="J12" s="10">
        <v>37186</v>
      </c>
      <c r="K12" s="11">
        <v>45007</v>
      </c>
      <c r="L12" s="9">
        <v>30000</v>
      </c>
      <c r="M12" s="17" t="s">
        <v>121</v>
      </c>
    </row>
    <row r="13" spans="1:13" ht="29" x14ac:dyDescent="0.35">
      <c r="A13" s="5">
        <v>2</v>
      </c>
      <c r="B13" s="16" t="s">
        <v>48</v>
      </c>
      <c r="C13" s="7" t="s">
        <v>49</v>
      </c>
      <c r="D13" s="8" t="s">
        <v>50</v>
      </c>
      <c r="E13" s="5" t="s">
        <v>24</v>
      </c>
      <c r="F13" s="5" t="s">
        <v>25</v>
      </c>
      <c r="G13" s="8" t="s">
        <v>51</v>
      </c>
      <c r="H13" s="9">
        <v>5000</v>
      </c>
      <c r="I13" s="10">
        <v>3503</v>
      </c>
      <c r="J13" s="10">
        <v>5303</v>
      </c>
      <c r="K13" s="11">
        <v>45007</v>
      </c>
      <c r="L13" s="9">
        <v>5000</v>
      </c>
      <c r="M13" s="17" t="s">
        <v>100</v>
      </c>
    </row>
    <row r="14" spans="1:13" x14ac:dyDescent="0.35">
      <c r="A14" s="386" t="s">
        <v>8</v>
      </c>
      <c r="B14" s="386"/>
      <c r="C14" s="386"/>
      <c r="D14" s="386"/>
      <c r="E14" s="386"/>
      <c r="F14" s="386"/>
      <c r="G14" s="386"/>
      <c r="H14" s="23">
        <f>SUM(H12:H13)</f>
        <v>12000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166</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ht="15" thickBot="1" x14ac:dyDescent="0.4">
      <c r="A19" s="420" t="s">
        <v>66</v>
      </c>
      <c r="B19" s="420"/>
      <c r="C19" s="50"/>
      <c r="D19" s="26"/>
      <c r="E19" s="407" t="s">
        <v>67</v>
      </c>
      <c r="F19" s="407"/>
      <c r="G19" s="49"/>
      <c r="H19" s="49"/>
      <c r="I19" s="408"/>
      <c r="J19" s="408"/>
      <c r="K19" s="28"/>
      <c r="L19" s="29"/>
      <c r="M19" s="29"/>
    </row>
    <row r="20" spans="1:13" ht="15" thickTop="1" x14ac:dyDescent="0.35">
      <c r="A20" s="421" t="s">
        <v>69</v>
      </c>
      <c r="B20" s="421"/>
      <c r="C20" s="29" t="s">
        <v>113</v>
      </c>
      <c r="D20" s="30"/>
      <c r="E20" s="410" t="s">
        <v>70</v>
      </c>
      <c r="F20" s="410"/>
      <c r="G20" s="410" t="s">
        <v>71</v>
      </c>
      <c r="H20" s="410"/>
      <c r="I20" s="29"/>
      <c r="J20" s="29"/>
      <c r="K20" s="29" t="s">
        <v>72</v>
      </c>
      <c r="L20" s="31"/>
      <c r="M20" s="31"/>
    </row>
    <row r="21" spans="1:13" x14ac:dyDescent="0.35">
      <c r="A21" s="414" t="s">
        <v>92</v>
      </c>
      <c r="B21" s="414"/>
      <c r="C21" s="32" t="s">
        <v>7</v>
      </c>
      <c r="D21" s="32"/>
      <c r="E21" s="414" t="s">
        <v>73</v>
      </c>
      <c r="F21" s="414"/>
      <c r="G21" s="414" t="s">
        <v>74</v>
      </c>
      <c r="H21" s="414"/>
      <c r="I21" s="31"/>
      <c r="J21" s="31"/>
      <c r="K21" s="31" t="s">
        <v>75</v>
      </c>
      <c r="L21" s="33"/>
      <c r="M21" s="33"/>
    </row>
    <row r="22" spans="1:13" x14ac:dyDescent="0.35">
      <c r="A22" s="412" t="s">
        <v>94</v>
      </c>
      <c r="B22" s="412"/>
      <c r="C22" s="34" t="s">
        <v>77</v>
      </c>
      <c r="D22" s="34"/>
      <c r="E22" s="414" t="s">
        <v>78</v>
      </c>
      <c r="F22" s="414"/>
      <c r="G22" s="412" t="s">
        <v>79</v>
      </c>
      <c r="H22" s="412"/>
      <c r="I22" s="33"/>
      <c r="J22" s="33"/>
      <c r="K22" s="33" t="s">
        <v>80</v>
      </c>
      <c r="L22" s="34"/>
      <c r="M22" s="34"/>
    </row>
    <row r="23" spans="1:13" x14ac:dyDescent="0.35">
      <c r="A23" s="412" t="s">
        <v>76</v>
      </c>
      <c r="B23" s="412"/>
      <c r="C23" s="34" t="s">
        <v>81</v>
      </c>
      <c r="D23" s="34"/>
      <c r="E23" s="412" t="s">
        <v>76</v>
      </c>
      <c r="F23" s="412"/>
      <c r="G23" s="412" t="s">
        <v>76</v>
      </c>
      <c r="H23" s="412"/>
      <c r="I23" s="33"/>
      <c r="J23" s="33"/>
      <c r="K23" s="33"/>
    </row>
    <row r="27" spans="1:13" x14ac:dyDescent="0.35">
      <c r="A27" s="417" t="s">
        <v>114</v>
      </c>
      <c r="B27" s="417"/>
    </row>
    <row r="28" spans="1:13" x14ac:dyDescent="0.35">
      <c r="A28" s="418" t="s">
        <v>115</v>
      </c>
      <c r="B28" s="418"/>
    </row>
    <row r="29" spans="1:13" x14ac:dyDescent="0.35">
      <c r="A29" s="416" t="s">
        <v>116</v>
      </c>
      <c r="B29" s="419"/>
    </row>
    <row r="30" spans="1:13" x14ac:dyDescent="0.35">
      <c r="A30" s="416" t="s">
        <v>117</v>
      </c>
      <c r="B30" s="416"/>
    </row>
    <row r="33" spans="2:2" x14ac:dyDescent="0.35">
      <c r="B33" s="58" t="s">
        <v>167</v>
      </c>
    </row>
    <row r="34" spans="2:2" x14ac:dyDescent="0.35">
      <c r="B34" s="59" t="s">
        <v>168</v>
      </c>
    </row>
    <row r="35" spans="2:2" x14ac:dyDescent="0.35">
      <c r="B35" s="59" t="s">
        <v>169</v>
      </c>
    </row>
    <row r="36" spans="2:2" x14ac:dyDescent="0.35">
      <c r="B36" s="59" t="s">
        <v>170</v>
      </c>
    </row>
  </sheetData>
  <mergeCells count="38">
    <mergeCell ref="A4:B4"/>
    <mergeCell ref="C4:M4"/>
    <mergeCell ref="A1:M1"/>
    <mergeCell ref="A2:B2"/>
    <mergeCell ref="C2:M2"/>
    <mergeCell ref="A3:B3"/>
    <mergeCell ref="C3:M3"/>
    <mergeCell ref="A14:G14"/>
    <mergeCell ref="A5:B5"/>
    <mergeCell ref="C5:M5"/>
    <mergeCell ref="A6:B6"/>
    <mergeCell ref="C6:M6"/>
    <mergeCell ref="A7:B7"/>
    <mergeCell ref="C7:M7"/>
    <mergeCell ref="A8:B8"/>
    <mergeCell ref="C8:M8"/>
    <mergeCell ref="A9:B9"/>
    <mergeCell ref="C9:M9"/>
    <mergeCell ref="A10:M10"/>
    <mergeCell ref="A19:B19"/>
    <mergeCell ref="E19:F19"/>
    <mergeCell ref="I19:J19"/>
    <mergeCell ref="A20:B20"/>
    <mergeCell ref="E20:F20"/>
    <mergeCell ref="G20:H20"/>
    <mergeCell ref="A21:B21"/>
    <mergeCell ref="E21:F21"/>
    <mergeCell ref="G21:H21"/>
    <mergeCell ref="A22:B22"/>
    <mergeCell ref="E22:F22"/>
    <mergeCell ref="G22:H22"/>
    <mergeCell ref="A30:B30"/>
    <mergeCell ref="A23:B23"/>
    <mergeCell ref="E23:F23"/>
    <mergeCell ref="G23:H23"/>
    <mergeCell ref="A27:B27"/>
    <mergeCell ref="A28:B28"/>
    <mergeCell ref="A29:B29"/>
  </mergeCells>
  <pageMargins left="0.25" right="0.25" top="0.75" bottom="0.75" header="0.3" footer="0.3"/>
  <pageSetup scale="78"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24E2-579A-47FF-A491-9B4C132A4F86}">
  <sheetPr codeName="Sheet21"/>
  <dimension ref="A1:M32"/>
  <sheetViews>
    <sheetView workbookViewId="0">
      <selection activeCell="H24" sqref="H24"/>
    </sheetView>
  </sheetViews>
  <sheetFormatPr defaultRowHeight="14.5" x14ac:dyDescent="0.35"/>
  <cols>
    <col min="1" max="1" width="5.7265625" bestFit="1" customWidth="1"/>
    <col min="2" max="2" width="29.36328125" customWidth="1"/>
    <col min="3" max="3" width="14.90625" customWidth="1"/>
    <col min="4" max="5" width="5.08984375" bestFit="1" customWidth="1"/>
    <col min="6" max="6" width="13.26953125" customWidth="1"/>
    <col min="7" max="7" width="12.36328125" bestFit="1" customWidth="1"/>
    <col min="8" max="8" width="11.90625" customWidth="1"/>
    <col min="10" max="10" width="9.36328125" customWidth="1"/>
    <col min="11" max="11" width="17.54296875" customWidth="1"/>
    <col min="13" max="13" width="15.81640625" customWidth="1"/>
  </cols>
  <sheetData>
    <row r="1" spans="1:13" ht="19"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148</v>
      </c>
      <c r="D3" s="403"/>
      <c r="E3" s="403"/>
      <c r="F3" s="403"/>
      <c r="G3" s="403"/>
      <c r="H3" s="403"/>
      <c r="I3" s="403"/>
      <c r="J3" s="403"/>
      <c r="K3" s="403"/>
      <c r="L3" s="403"/>
      <c r="M3" s="385"/>
    </row>
    <row r="4" spans="1:13" x14ac:dyDescent="0.35">
      <c r="A4" s="384" t="s">
        <v>4</v>
      </c>
      <c r="B4" s="385"/>
      <c r="C4" s="393" t="s">
        <v>147</v>
      </c>
      <c r="D4" s="394"/>
      <c r="E4" s="394"/>
      <c r="F4" s="394"/>
      <c r="G4" s="394"/>
      <c r="H4" s="394"/>
      <c r="I4" s="394"/>
      <c r="J4" s="394"/>
      <c r="K4" s="394"/>
      <c r="L4" s="394"/>
      <c r="M4" s="395"/>
    </row>
    <row r="5" spans="1:13" x14ac:dyDescent="0.35">
      <c r="A5" s="384" t="s">
        <v>5</v>
      </c>
      <c r="B5" s="385"/>
      <c r="C5" s="387">
        <v>45425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4000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3" t="s">
        <v>10</v>
      </c>
      <c r="B11" s="2" t="s">
        <v>11</v>
      </c>
      <c r="C11" s="2" t="s">
        <v>12</v>
      </c>
      <c r="D11" s="2" t="s">
        <v>13</v>
      </c>
      <c r="E11" s="2" t="s">
        <v>14</v>
      </c>
      <c r="F11" s="3" t="s">
        <v>15</v>
      </c>
      <c r="G11" s="3" t="s">
        <v>16</v>
      </c>
      <c r="H11" s="3" t="s">
        <v>17</v>
      </c>
      <c r="I11" s="3" t="s">
        <v>120</v>
      </c>
      <c r="J11" s="3" t="s">
        <v>18</v>
      </c>
      <c r="K11" s="3" t="s">
        <v>19</v>
      </c>
      <c r="L11" s="3" t="s">
        <v>20</v>
      </c>
      <c r="M11" s="4" t="s">
        <v>21</v>
      </c>
    </row>
    <row r="12" spans="1:13" x14ac:dyDescent="0.35">
      <c r="A12" s="5">
        <v>1</v>
      </c>
      <c r="B12" s="19" t="s">
        <v>149</v>
      </c>
      <c r="C12" s="20" t="s">
        <v>144</v>
      </c>
      <c r="D12" s="53" t="s">
        <v>146</v>
      </c>
      <c r="E12" s="22" t="s">
        <v>64</v>
      </c>
      <c r="F12" s="5" t="s">
        <v>145</v>
      </c>
      <c r="G12" s="21">
        <v>97017150</v>
      </c>
      <c r="H12" s="9">
        <v>2000</v>
      </c>
      <c r="I12" s="61" t="s">
        <v>97</v>
      </c>
      <c r="J12" s="62"/>
      <c r="K12" s="63" t="s">
        <v>97</v>
      </c>
      <c r="L12" s="9">
        <v>15000</v>
      </c>
      <c r="M12" s="64" t="s">
        <v>132</v>
      </c>
    </row>
    <row r="13" spans="1:13" x14ac:dyDescent="0.35">
      <c r="A13" s="5">
        <v>2</v>
      </c>
      <c r="B13" s="19" t="s">
        <v>149</v>
      </c>
      <c r="C13" s="20" t="s">
        <v>144</v>
      </c>
      <c r="D13" s="53" t="s">
        <v>192</v>
      </c>
      <c r="E13" s="22" t="s">
        <v>64</v>
      </c>
      <c r="F13" s="5" t="s">
        <v>145</v>
      </c>
      <c r="G13" s="21">
        <v>97017150</v>
      </c>
      <c r="H13" s="60">
        <v>2000</v>
      </c>
      <c r="I13" s="65"/>
      <c r="J13" s="10"/>
      <c r="K13" s="11"/>
      <c r="L13" s="9"/>
      <c r="M13" s="17"/>
    </row>
    <row r="14" spans="1:13" x14ac:dyDescent="0.35">
      <c r="A14" s="386" t="s">
        <v>8</v>
      </c>
      <c r="B14" s="386"/>
      <c r="C14" s="386"/>
      <c r="D14" s="386"/>
      <c r="E14" s="386"/>
      <c r="F14" s="386"/>
      <c r="G14" s="386"/>
      <c r="H14" s="23">
        <v>4000</v>
      </c>
      <c r="I14" s="24"/>
      <c r="J14" s="25"/>
      <c r="K14" s="43"/>
      <c r="L14" s="26"/>
      <c r="M14" s="26"/>
    </row>
    <row r="15" spans="1:13" x14ac:dyDescent="0.35">
      <c r="A15" s="26"/>
      <c r="B15" s="26"/>
      <c r="C15" s="26"/>
      <c r="D15" s="26"/>
      <c r="E15" s="26"/>
      <c r="F15" s="26"/>
      <c r="G15" s="26"/>
      <c r="H15" s="26"/>
      <c r="I15" s="26"/>
      <c r="J15" s="26"/>
      <c r="K15" s="26"/>
      <c r="L15" s="26"/>
      <c r="M15" s="26"/>
    </row>
    <row r="16" spans="1:13" x14ac:dyDescent="0.35">
      <c r="A16" s="26"/>
      <c r="B16" s="26" t="s">
        <v>193</v>
      </c>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t="s">
        <v>194</v>
      </c>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ht="15.5" x14ac:dyDescent="0.35">
      <c r="A22" s="26"/>
      <c r="B22" s="460" t="s">
        <v>195</v>
      </c>
      <c r="C22" s="460"/>
      <c r="D22" s="460"/>
      <c r="E22" s="26"/>
      <c r="F22" s="26"/>
      <c r="G22" s="26"/>
      <c r="H22" s="26"/>
      <c r="I22" s="26"/>
      <c r="J22" s="26"/>
      <c r="K22" s="26"/>
      <c r="L22" s="26"/>
      <c r="M22" s="26"/>
    </row>
    <row r="23" spans="1:13" ht="15.5" x14ac:dyDescent="0.35">
      <c r="A23" s="26"/>
      <c r="B23" s="461" t="s">
        <v>196</v>
      </c>
      <c r="C23" s="462"/>
      <c r="D23" s="463"/>
      <c r="E23" s="26"/>
      <c r="F23" s="26"/>
      <c r="G23" s="26"/>
      <c r="H23" s="26"/>
      <c r="I23" s="26"/>
      <c r="J23" s="26"/>
      <c r="K23" s="26"/>
      <c r="L23" s="26"/>
      <c r="M23" s="26"/>
    </row>
    <row r="24" spans="1:13" ht="15.5" x14ac:dyDescent="0.35">
      <c r="A24" s="26"/>
      <c r="B24" s="464" t="s">
        <v>197</v>
      </c>
      <c r="C24" s="464"/>
      <c r="D24" s="464"/>
      <c r="E24" s="26"/>
      <c r="F24" s="26"/>
      <c r="G24" s="26"/>
      <c r="H24" s="26"/>
      <c r="I24" s="26"/>
      <c r="J24" s="26"/>
      <c r="K24" s="26"/>
      <c r="L24" s="26"/>
      <c r="M24" s="26"/>
    </row>
    <row r="25" spans="1:13" ht="15.5" x14ac:dyDescent="0.35">
      <c r="A25" s="26"/>
      <c r="B25" s="465" t="s">
        <v>199</v>
      </c>
      <c r="C25" s="465"/>
      <c r="D25" s="465"/>
      <c r="E25" s="26"/>
      <c r="F25" s="26"/>
      <c r="G25" s="26"/>
      <c r="H25" s="26"/>
      <c r="I25" s="26"/>
      <c r="J25" s="26"/>
      <c r="K25" s="26"/>
      <c r="L25" s="26"/>
      <c r="M25" s="26"/>
    </row>
    <row r="26" spans="1:13" ht="15.5" x14ac:dyDescent="0.35">
      <c r="A26" s="26"/>
      <c r="B26" s="464" t="s">
        <v>198</v>
      </c>
      <c r="C26" s="464"/>
      <c r="D26" s="464"/>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ht="15" thickBot="1" x14ac:dyDescent="0.4">
      <c r="A28" s="420" t="s">
        <v>66</v>
      </c>
      <c r="B28" s="420"/>
      <c r="C28" s="50"/>
      <c r="D28" s="26"/>
      <c r="E28" s="407" t="s">
        <v>67</v>
      </c>
      <c r="F28" s="407"/>
      <c r="G28" s="49"/>
      <c r="H28" s="49"/>
      <c r="I28" s="408"/>
      <c r="J28" s="408"/>
      <c r="K28" s="28"/>
      <c r="L28" s="29"/>
      <c r="M28" s="29"/>
    </row>
    <row r="29" spans="1:13" ht="15" thickTop="1" x14ac:dyDescent="0.35">
      <c r="A29" s="421" t="s">
        <v>69</v>
      </c>
      <c r="B29" s="421"/>
      <c r="C29" s="29" t="s">
        <v>113</v>
      </c>
      <c r="D29" s="30"/>
      <c r="E29" s="410" t="s">
        <v>70</v>
      </c>
      <c r="F29" s="410"/>
      <c r="G29" s="410" t="s">
        <v>71</v>
      </c>
      <c r="H29" s="410"/>
      <c r="I29" s="29"/>
      <c r="J29" s="29"/>
      <c r="K29" s="29" t="s">
        <v>72</v>
      </c>
      <c r="L29" s="31"/>
      <c r="M29" s="31"/>
    </row>
    <row r="30" spans="1:13" x14ac:dyDescent="0.35">
      <c r="A30" s="414" t="s">
        <v>92</v>
      </c>
      <c r="B30" s="414"/>
      <c r="C30" s="32" t="s">
        <v>7</v>
      </c>
      <c r="D30" s="32"/>
      <c r="E30" s="414" t="s">
        <v>73</v>
      </c>
      <c r="F30" s="414"/>
      <c r="G30" s="414" t="s">
        <v>74</v>
      </c>
      <c r="H30" s="414"/>
      <c r="I30" s="31"/>
      <c r="J30" s="31"/>
      <c r="K30" s="31" t="s">
        <v>75</v>
      </c>
      <c r="L30" s="33"/>
      <c r="M30" s="33"/>
    </row>
    <row r="31" spans="1:13" x14ac:dyDescent="0.35">
      <c r="A31" s="412" t="s">
        <v>94</v>
      </c>
      <c r="B31" s="412"/>
      <c r="C31" s="34" t="s">
        <v>77</v>
      </c>
      <c r="D31" s="34"/>
      <c r="E31" s="414" t="s">
        <v>78</v>
      </c>
      <c r="F31" s="414"/>
      <c r="G31" s="412" t="s">
        <v>79</v>
      </c>
      <c r="H31" s="412"/>
      <c r="I31" s="33"/>
      <c r="J31" s="33"/>
      <c r="K31" s="33" t="s">
        <v>80</v>
      </c>
      <c r="L31" s="34"/>
      <c r="M31" s="34"/>
    </row>
    <row r="32" spans="1:13" x14ac:dyDescent="0.35">
      <c r="A32" s="412" t="s">
        <v>76</v>
      </c>
      <c r="B32" s="412"/>
      <c r="C32" s="34" t="s">
        <v>81</v>
      </c>
      <c r="D32" s="34"/>
      <c r="E32" s="412" t="s">
        <v>76</v>
      </c>
      <c r="F32" s="412"/>
      <c r="G32" s="412" t="s">
        <v>76</v>
      </c>
      <c r="H32" s="412"/>
      <c r="I32" s="33"/>
      <c r="J32" s="33"/>
      <c r="K32" s="33"/>
    </row>
  </sheetData>
  <mergeCells count="39">
    <mergeCell ref="A32:B32"/>
    <mergeCell ref="E32:F32"/>
    <mergeCell ref="G32:H32"/>
    <mergeCell ref="I28:J28"/>
    <mergeCell ref="A29:B29"/>
    <mergeCell ref="E29:F29"/>
    <mergeCell ref="G29:H29"/>
    <mergeCell ref="A31:B31"/>
    <mergeCell ref="E31:F31"/>
    <mergeCell ref="G31:H31"/>
    <mergeCell ref="A30:B30"/>
    <mergeCell ref="E30:F30"/>
    <mergeCell ref="G30:H30"/>
    <mergeCell ref="A28:B28"/>
    <mergeCell ref="E28:F28"/>
    <mergeCell ref="B22:D22"/>
    <mergeCell ref="B23:D23"/>
    <mergeCell ref="B24:D24"/>
    <mergeCell ref="B25:D25"/>
    <mergeCell ref="B26:D26"/>
    <mergeCell ref="A14:G1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7" right="0.7" top="0.75" bottom="0.75" header="0.3" footer="0.3"/>
  <pageSetup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647C-ADF5-432E-8511-EA8F82A0950B}">
  <sheetPr>
    <pageSetUpPr fitToPage="1"/>
  </sheetPr>
  <dimension ref="A1:M34"/>
  <sheetViews>
    <sheetView topLeftCell="A7" workbookViewId="0">
      <selection activeCell="B17" sqref="B17"/>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1"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377</v>
      </c>
      <c r="D3" s="403"/>
      <c r="E3" s="403"/>
      <c r="F3" s="403"/>
      <c r="G3" s="403"/>
      <c r="H3" s="403"/>
      <c r="I3" s="403"/>
      <c r="J3" s="403"/>
      <c r="K3" s="403"/>
      <c r="L3" s="403"/>
      <c r="M3" s="385"/>
    </row>
    <row r="4" spans="1:13" x14ac:dyDescent="0.35">
      <c r="A4" s="384" t="s">
        <v>4</v>
      </c>
      <c r="B4" s="385"/>
      <c r="C4" s="393" t="s">
        <v>404</v>
      </c>
      <c r="D4" s="394"/>
      <c r="E4" s="394"/>
      <c r="F4" s="394"/>
      <c r="G4" s="394"/>
      <c r="H4" s="394"/>
      <c r="I4" s="394"/>
      <c r="J4" s="394"/>
      <c r="K4" s="394"/>
      <c r="L4" s="394"/>
      <c r="M4" s="395"/>
    </row>
    <row r="5" spans="1:13" x14ac:dyDescent="0.35">
      <c r="A5" s="384" t="s">
        <v>5</v>
      </c>
      <c r="B5" s="385"/>
      <c r="C5" s="387">
        <v>45771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H19</f>
        <v>385000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408</v>
      </c>
      <c r="J11" s="3" t="s">
        <v>18</v>
      </c>
      <c r="K11" s="3" t="s">
        <v>19</v>
      </c>
      <c r="L11" s="3" t="s">
        <v>20</v>
      </c>
      <c r="M11" s="3" t="s">
        <v>84</v>
      </c>
    </row>
    <row r="12" spans="1:13" x14ac:dyDescent="0.35">
      <c r="A12" s="5">
        <v>1</v>
      </c>
      <c r="B12" s="14" t="s">
        <v>85</v>
      </c>
      <c r="C12" s="7" t="s">
        <v>86</v>
      </c>
      <c r="D12" s="8" t="s">
        <v>87</v>
      </c>
      <c r="E12" s="5" t="s">
        <v>24</v>
      </c>
      <c r="F12" s="5" t="s">
        <v>44</v>
      </c>
      <c r="G12" s="5">
        <v>35020062</v>
      </c>
      <c r="H12" s="51">
        <v>150000</v>
      </c>
      <c r="I12" s="10">
        <v>125036</v>
      </c>
      <c r="J12" s="10">
        <v>209852</v>
      </c>
      <c r="K12" s="35">
        <v>45777</v>
      </c>
      <c r="L12" s="51">
        <v>50000</v>
      </c>
      <c r="M12" s="48" t="s">
        <v>409</v>
      </c>
    </row>
    <row r="13" spans="1:13" x14ac:dyDescent="0.35">
      <c r="A13" s="5">
        <v>2</v>
      </c>
      <c r="B13" s="14" t="s">
        <v>89</v>
      </c>
      <c r="C13" s="7" t="s">
        <v>86</v>
      </c>
      <c r="D13" s="8" t="s">
        <v>90</v>
      </c>
      <c r="E13" s="5" t="s">
        <v>24</v>
      </c>
      <c r="F13" s="5" t="s">
        <v>44</v>
      </c>
      <c r="G13" s="13">
        <v>40021666</v>
      </c>
      <c r="H13" s="9">
        <v>50000</v>
      </c>
      <c r="I13" s="10">
        <v>42771</v>
      </c>
      <c r="J13" s="10">
        <v>73915</v>
      </c>
      <c r="K13" s="35">
        <v>45777</v>
      </c>
      <c r="L13" s="9">
        <v>40000</v>
      </c>
      <c r="M13" s="48" t="s">
        <v>325</v>
      </c>
    </row>
    <row r="14" spans="1:13" x14ac:dyDescent="0.35">
      <c r="A14" s="5">
        <v>3</v>
      </c>
      <c r="B14" s="14" t="s">
        <v>158</v>
      </c>
      <c r="C14" s="7" t="s">
        <v>86</v>
      </c>
      <c r="D14" s="8">
        <v>269</v>
      </c>
      <c r="E14" s="5" t="s">
        <v>24</v>
      </c>
      <c r="F14" s="5" t="s">
        <v>44</v>
      </c>
      <c r="G14" s="5">
        <v>74023856</v>
      </c>
      <c r="H14" s="9">
        <v>50000</v>
      </c>
      <c r="I14" s="10">
        <v>60023</v>
      </c>
      <c r="J14" s="10">
        <v>100775</v>
      </c>
      <c r="K14" s="35">
        <v>45777</v>
      </c>
      <c r="L14" s="9">
        <v>40000</v>
      </c>
      <c r="M14" s="12" t="s">
        <v>369</v>
      </c>
    </row>
    <row r="15" spans="1:13" x14ac:dyDescent="0.35">
      <c r="A15" s="5">
        <v>4</v>
      </c>
      <c r="B15" s="19" t="s">
        <v>211</v>
      </c>
      <c r="C15" s="20" t="s">
        <v>144</v>
      </c>
      <c r="D15" s="53" t="s">
        <v>146</v>
      </c>
      <c r="E15" s="22" t="s">
        <v>64</v>
      </c>
      <c r="F15" s="5" t="s">
        <v>44</v>
      </c>
      <c r="G15" s="21">
        <v>97017150</v>
      </c>
      <c r="H15" s="9">
        <v>30000</v>
      </c>
      <c r="I15" s="10">
        <v>36967</v>
      </c>
      <c r="J15" s="10">
        <v>55053</v>
      </c>
      <c r="K15" s="35">
        <v>45789</v>
      </c>
      <c r="L15" s="9">
        <v>35000</v>
      </c>
      <c r="M15" s="48" t="s">
        <v>327</v>
      </c>
    </row>
    <row r="16" spans="1:13" x14ac:dyDescent="0.35">
      <c r="A16" s="5">
        <v>6</v>
      </c>
      <c r="B16" s="19" t="s">
        <v>255</v>
      </c>
      <c r="C16" s="20" t="s">
        <v>23</v>
      </c>
      <c r="D16" s="53" t="s">
        <v>256</v>
      </c>
      <c r="E16" s="22" t="s">
        <v>247</v>
      </c>
      <c r="F16" s="5" t="s">
        <v>44</v>
      </c>
      <c r="G16" s="53" t="s">
        <v>257</v>
      </c>
      <c r="H16" s="9">
        <v>25000</v>
      </c>
      <c r="I16" s="10">
        <v>15448</v>
      </c>
      <c r="J16" s="10">
        <v>22948</v>
      </c>
      <c r="K16" s="35">
        <v>45779</v>
      </c>
      <c r="L16" s="9">
        <v>20000</v>
      </c>
      <c r="M16" s="48" t="s">
        <v>371</v>
      </c>
    </row>
    <row r="17" spans="1:13" x14ac:dyDescent="0.35">
      <c r="A17" s="5">
        <v>7</v>
      </c>
      <c r="B17" s="19" t="s">
        <v>261</v>
      </c>
      <c r="C17" s="20" t="s">
        <v>49</v>
      </c>
      <c r="D17" s="53" t="s">
        <v>262</v>
      </c>
      <c r="E17" s="22" t="s">
        <v>247</v>
      </c>
      <c r="F17" s="5" t="s">
        <v>130</v>
      </c>
      <c r="G17" s="53" t="s">
        <v>263</v>
      </c>
      <c r="H17" s="9">
        <v>30000</v>
      </c>
      <c r="I17" s="10">
        <v>21043</v>
      </c>
      <c r="J17" s="10">
        <v>30143</v>
      </c>
      <c r="K17" s="35">
        <v>45781</v>
      </c>
      <c r="L17" s="9">
        <v>15000</v>
      </c>
      <c r="M17" s="48" t="s">
        <v>328</v>
      </c>
    </row>
    <row r="18" spans="1:13" x14ac:dyDescent="0.35">
      <c r="A18" s="5">
        <v>8</v>
      </c>
      <c r="B18" s="16" t="s">
        <v>95</v>
      </c>
      <c r="C18" s="7" t="s">
        <v>49</v>
      </c>
      <c r="D18" s="8">
        <v>183</v>
      </c>
      <c r="E18" s="5" t="s">
        <v>24</v>
      </c>
      <c r="F18" s="5" t="s">
        <v>25</v>
      </c>
      <c r="G18" s="73" t="s">
        <v>279</v>
      </c>
      <c r="H18" s="9">
        <v>50000</v>
      </c>
      <c r="I18" s="10">
        <v>55938</v>
      </c>
      <c r="J18" s="10">
        <v>65538</v>
      </c>
      <c r="K18" s="35">
        <v>45788</v>
      </c>
      <c r="L18" s="9">
        <v>40000</v>
      </c>
      <c r="M18" s="17" t="s">
        <v>213</v>
      </c>
    </row>
    <row r="19" spans="1:13" x14ac:dyDescent="0.35">
      <c r="A19" s="415" t="s">
        <v>8</v>
      </c>
      <c r="B19" s="415"/>
      <c r="C19" s="415"/>
      <c r="D19" s="415"/>
      <c r="E19" s="415"/>
      <c r="F19" s="415"/>
      <c r="G19" s="415"/>
      <c r="H19" s="36">
        <f>SUM(H12:H18)</f>
        <v>385000</v>
      </c>
      <c r="I19" s="37"/>
      <c r="J19" s="25"/>
      <c r="K19" s="25"/>
      <c r="L19" s="26"/>
      <c r="M19" s="26"/>
    </row>
    <row r="20" spans="1:13" x14ac:dyDescent="0.35">
      <c r="A20" s="26"/>
      <c r="B20" s="26"/>
      <c r="C20" s="26"/>
      <c r="D20" s="26"/>
      <c r="E20" s="26"/>
      <c r="F20" s="26"/>
      <c r="G20" s="26"/>
      <c r="H20" s="26"/>
      <c r="I20" s="38"/>
      <c r="J20" s="26"/>
      <c r="K20" s="26"/>
      <c r="L20" s="26"/>
      <c r="M20" s="26"/>
    </row>
    <row r="21" spans="1:13" x14ac:dyDescent="0.35">
      <c r="A21" s="26"/>
      <c r="B21" s="26" t="s">
        <v>410</v>
      </c>
      <c r="C21" s="26"/>
      <c r="D21" s="26"/>
      <c r="E21" s="26"/>
      <c r="F21" s="26"/>
      <c r="G21" s="26"/>
      <c r="H21" s="26"/>
      <c r="I21" s="38"/>
      <c r="J21" s="26"/>
      <c r="K21" s="26"/>
      <c r="L21" s="26"/>
      <c r="M21" s="26"/>
    </row>
    <row r="22" spans="1:13" x14ac:dyDescent="0.35">
      <c r="A22" s="26"/>
      <c r="B22" s="26"/>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407" t="s">
        <v>66</v>
      </c>
      <c r="B30" s="407"/>
      <c r="C30" s="26"/>
      <c r="D30" s="26"/>
      <c r="E30" s="407" t="s">
        <v>67</v>
      </c>
      <c r="F30" s="407"/>
      <c r="G30" s="408"/>
      <c r="H30" s="408"/>
      <c r="I30" s="28"/>
      <c r="J30" s="28"/>
      <c r="K30" s="28"/>
      <c r="L30" s="39"/>
      <c r="M30" s="40"/>
    </row>
    <row r="31" spans="1:13" x14ac:dyDescent="0.35">
      <c r="A31" s="421" t="s">
        <v>69</v>
      </c>
      <c r="B31" s="421"/>
      <c r="D31" s="29"/>
      <c r="E31" s="410" t="s">
        <v>70</v>
      </c>
      <c r="F31" s="410"/>
      <c r="G31" s="410" t="s">
        <v>71</v>
      </c>
      <c r="H31" s="410"/>
      <c r="I31" s="29"/>
      <c r="J31" s="29"/>
      <c r="K31" s="29" t="s">
        <v>72</v>
      </c>
      <c r="L31" s="31"/>
      <c r="M31" s="31"/>
    </row>
    <row r="32" spans="1:13" x14ac:dyDescent="0.35">
      <c r="A32" s="414" t="s">
        <v>92</v>
      </c>
      <c r="B32" s="414"/>
      <c r="D32" s="32"/>
      <c r="E32" s="414" t="s">
        <v>73</v>
      </c>
      <c r="F32" s="414"/>
      <c r="G32" s="414" t="s">
        <v>74</v>
      </c>
      <c r="H32" s="414"/>
      <c r="I32" s="31"/>
      <c r="J32" s="31"/>
      <c r="K32" s="31" t="s">
        <v>75</v>
      </c>
      <c r="L32" s="33"/>
      <c r="M32" s="33"/>
    </row>
    <row r="33" spans="1:13" x14ac:dyDescent="0.35">
      <c r="A33" s="414" t="s">
        <v>94</v>
      </c>
      <c r="B33" s="414"/>
      <c r="D33" s="34"/>
      <c r="E33" s="414" t="s">
        <v>78</v>
      </c>
      <c r="F33" s="414"/>
      <c r="G33" s="414" t="s">
        <v>414</v>
      </c>
      <c r="H33" s="414"/>
      <c r="I33" s="33"/>
      <c r="J33" s="33"/>
      <c r="K33" s="31" t="s">
        <v>80</v>
      </c>
      <c r="L33" s="34"/>
      <c r="M33" s="34"/>
    </row>
    <row r="34" spans="1:13" x14ac:dyDescent="0.35">
      <c r="A34" s="412" t="s">
        <v>76</v>
      </c>
      <c r="B34" s="412"/>
      <c r="D34" s="34"/>
      <c r="E34" s="412" t="s">
        <v>76</v>
      </c>
      <c r="F34" s="412"/>
      <c r="G34" s="412" t="s">
        <v>76</v>
      </c>
      <c r="H34" s="412"/>
      <c r="I34" s="33"/>
      <c r="J34" s="33"/>
      <c r="K34" s="33"/>
    </row>
  </sheetData>
  <mergeCells count="34">
    <mergeCell ref="A4:B4"/>
    <mergeCell ref="C4:M4"/>
    <mergeCell ref="A1:M1"/>
    <mergeCell ref="A2:B2"/>
    <mergeCell ref="C2:M2"/>
    <mergeCell ref="A3:B3"/>
    <mergeCell ref="C3:M3"/>
    <mergeCell ref="A19:G19"/>
    <mergeCell ref="A5:B5"/>
    <mergeCell ref="C5:M5"/>
    <mergeCell ref="A6:B6"/>
    <mergeCell ref="C6:M6"/>
    <mergeCell ref="A7:B7"/>
    <mergeCell ref="C7:M7"/>
    <mergeCell ref="A8:B8"/>
    <mergeCell ref="C8:M8"/>
    <mergeCell ref="A9:B9"/>
    <mergeCell ref="C9:M9"/>
    <mergeCell ref="A10:M10"/>
    <mergeCell ref="A30:B30"/>
    <mergeCell ref="E30:F30"/>
    <mergeCell ref="G30:H30"/>
    <mergeCell ref="A31:B31"/>
    <mergeCell ref="E31:F31"/>
    <mergeCell ref="G31:H31"/>
    <mergeCell ref="A34:B34"/>
    <mergeCell ref="E34:F34"/>
    <mergeCell ref="G34:H34"/>
    <mergeCell ref="A32:B32"/>
    <mergeCell ref="E32:F32"/>
    <mergeCell ref="G32:H32"/>
    <mergeCell ref="A33:B33"/>
    <mergeCell ref="E33:F33"/>
    <mergeCell ref="G33:H33"/>
  </mergeCells>
  <pageMargins left="0.25" right="0.25" top="0.75" bottom="0.75" header="0.3" footer="0.3"/>
  <pageSetup scale="74"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32DC-1A44-40F1-9929-2EB3D5D197D0}">
  <dimension ref="A1"/>
  <sheetViews>
    <sheetView workbookViewId="0"/>
  </sheetViews>
  <sheetFormatPr defaultRowHeight="14.5" x14ac:dyDescent="0.35"/>
  <sheetData/>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BB8A-2A69-45E3-AE9D-54455D4859E0}">
  <sheetPr>
    <pageSetUpPr fitToPage="1"/>
  </sheetPr>
  <dimension ref="A1:M35"/>
  <sheetViews>
    <sheetView topLeftCell="A7" workbookViewId="0">
      <selection sqref="A1:M35"/>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6.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448</v>
      </c>
      <c r="D3" s="403"/>
      <c r="E3" s="403"/>
      <c r="F3" s="403"/>
      <c r="G3" s="403"/>
      <c r="H3" s="403"/>
      <c r="I3" s="403"/>
      <c r="J3" s="403"/>
      <c r="K3" s="403"/>
      <c r="L3" s="403"/>
      <c r="M3" s="385"/>
    </row>
    <row r="4" spans="1:13" x14ac:dyDescent="0.35">
      <c r="A4" s="384" t="s">
        <v>4</v>
      </c>
      <c r="B4" s="385"/>
      <c r="C4" s="393" t="s">
        <v>449</v>
      </c>
      <c r="D4" s="394"/>
      <c r="E4" s="394"/>
      <c r="F4" s="394"/>
      <c r="G4" s="394"/>
      <c r="H4" s="394"/>
      <c r="I4" s="394"/>
      <c r="J4" s="394"/>
      <c r="K4" s="394"/>
      <c r="L4" s="394"/>
      <c r="M4" s="395"/>
    </row>
    <row r="5" spans="1:13" x14ac:dyDescent="0.35">
      <c r="A5" s="384" t="s">
        <v>5</v>
      </c>
      <c r="B5" s="385"/>
      <c r="C5" s="387">
        <v>45859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407000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440</v>
      </c>
      <c r="J11" s="3" t="s">
        <v>18</v>
      </c>
      <c r="K11" s="3" t="s">
        <v>19</v>
      </c>
      <c r="L11" s="3" t="s">
        <v>20</v>
      </c>
      <c r="M11" s="3" t="s">
        <v>84</v>
      </c>
    </row>
    <row r="12" spans="1:13" x14ac:dyDescent="0.35">
      <c r="A12" s="5">
        <v>1</v>
      </c>
      <c r="B12" s="14" t="s">
        <v>85</v>
      </c>
      <c r="C12" s="7" t="s">
        <v>86</v>
      </c>
      <c r="D12" s="8" t="s">
        <v>87</v>
      </c>
      <c r="E12" s="5" t="s">
        <v>24</v>
      </c>
      <c r="F12" s="5" t="s">
        <v>44</v>
      </c>
      <c r="G12" s="5">
        <v>35020062</v>
      </c>
      <c r="H12" s="59">
        <v>130000</v>
      </c>
      <c r="I12" s="10">
        <v>124827</v>
      </c>
      <c r="J12" s="10">
        <v>251327</v>
      </c>
      <c r="K12" s="35">
        <v>45837</v>
      </c>
      <c r="L12" s="51">
        <v>150000</v>
      </c>
      <c r="M12" s="48" t="s">
        <v>409</v>
      </c>
    </row>
    <row r="13" spans="1:13" x14ac:dyDescent="0.35">
      <c r="A13" s="5">
        <v>2</v>
      </c>
      <c r="B13" s="14" t="s">
        <v>89</v>
      </c>
      <c r="C13" s="7" t="s">
        <v>86</v>
      </c>
      <c r="D13" s="8" t="s">
        <v>90</v>
      </c>
      <c r="E13" s="5" t="s">
        <v>24</v>
      </c>
      <c r="F13" s="5" t="s">
        <v>44</v>
      </c>
      <c r="G13" s="13">
        <v>40021666</v>
      </c>
      <c r="H13" s="59">
        <v>60000</v>
      </c>
      <c r="I13" s="10">
        <v>28764</v>
      </c>
      <c r="J13" s="10">
        <v>84707</v>
      </c>
      <c r="K13" s="35">
        <v>45837</v>
      </c>
      <c r="L13" s="9">
        <v>50000</v>
      </c>
      <c r="M13" s="48" t="s">
        <v>325</v>
      </c>
    </row>
    <row r="14" spans="1:13" x14ac:dyDescent="0.35">
      <c r="A14" s="5">
        <v>3</v>
      </c>
      <c r="B14" s="14" t="s">
        <v>158</v>
      </c>
      <c r="C14" s="7" t="s">
        <v>86</v>
      </c>
      <c r="D14" s="8">
        <v>269</v>
      </c>
      <c r="E14" s="5" t="s">
        <v>24</v>
      </c>
      <c r="F14" s="5" t="s">
        <v>44</v>
      </c>
      <c r="G14" s="5">
        <v>74023856</v>
      </c>
      <c r="H14" s="59">
        <v>60000</v>
      </c>
      <c r="I14" s="10">
        <v>41367</v>
      </c>
      <c r="J14" s="10">
        <v>83115</v>
      </c>
      <c r="K14" s="35">
        <v>45837</v>
      </c>
      <c r="L14" s="9">
        <v>50000</v>
      </c>
      <c r="M14" s="12" t="s">
        <v>369</v>
      </c>
    </row>
    <row r="15" spans="1:13" x14ac:dyDescent="0.35">
      <c r="A15" s="5">
        <v>4</v>
      </c>
      <c r="B15" s="19" t="s">
        <v>255</v>
      </c>
      <c r="C15" s="20" t="s">
        <v>23</v>
      </c>
      <c r="D15" s="53" t="s">
        <v>256</v>
      </c>
      <c r="E15" s="22" t="s">
        <v>247</v>
      </c>
      <c r="F15" s="5" t="s">
        <v>44</v>
      </c>
      <c r="G15" s="53" t="s">
        <v>257</v>
      </c>
      <c r="H15" s="59">
        <v>15000</v>
      </c>
      <c r="I15" s="10">
        <v>29613</v>
      </c>
      <c r="J15" s="10">
        <v>40113</v>
      </c>
      <c r="K15" s="35">
        <v>45843</v>
      </c>
      <c r="L15" s="9">
        <v>25000</v>
      </c>
      <c r="M15" s="48" t="s">
        <v>371</v>
      </c>
    </row>
    <row r="16" spans="1:13" x14ac:dyDescent="0.35">
      <c r="A16" s="5">
        <v>5</v>
      </c>
      <c r="B16" s="19" t="s">
        <v>261</v>
      </c>
      <c r="C16" s="20" t="s">
        <v>49</v>
      </c>
      <c r="D16" s="53" t="s">
        <v>262</v>
      </c>
      <c r="E16" s="22" t="s">
        <v>247</v>
      </c>
      <c r="F16" s="5" t="s">
        <v>130</v>
      </c>
      <c r="G16" s="53" t="s">
        <v>263</v>
      </c>
      <c r="H16" s="59">
        <v>40000</v>
      </c>
      <c r="I16" s="10">
        <v>4364</v>
      </c>
      <c r="J16" s="10">
        <v>29564</v>
      </c>
      <c r="K16" s="35">
        <v>45867</v>
      </c>
      <c r="L16" s="9">
        <v>30000</v>
      </c>
      <c r="M16" s="48" t="s">
        <v>446</v>
      </c>
    </row>
    <row r="17" spans="1:13" x14ac:dyDescent="0.35">
      <c r="A17" s="5">
        <v>6</v>
      </c>
      <c r="B17" s="19" t="s">
        <v>442</v>
      </c>
      <c r="C17" s="20" t="s">
        <v>443</v>
      </c>
      <c r="D17" s="53" t="s">
        <v>444</v>
      </c>
      <c r="E17" s="22" t="s">
        <v>24</v>
      </c>
      <c r="F17" s="5" t="s">
        <v>25</v>
      </c>
      <c r="G17" s="53" t="s">
        <v>445</v>
      </c>
      <c r="H17" s="59">
        <v>12000</v>
      </c>
      <c r="I17" s="10">
        <v>19766</v>
      </c>
      <c r="J17" s="10">
        <v>27766</v>
      </c>
      <c r="K17" s="35">
        <v>45848</v>
      </c>
      <c r="L17" s="9">
        <v>20000</v>
      </c>
      <c r="M17" s="48" t="s">
        <v>204</v>
      </c>
    </row>
    <row r="18" spans="1:13" x14ac:dyDescent="0.35">
      <c r="A18" s="5">
        <v>7</v>
      </c>
      <c r="B18" s="16" t="s">
        <v>95</v>
      </c>
      <c r="C18" s="7" t="s">
        <v>49</v>
      </c>
      <c r="D18" s="8">
        <v>183</v>
      </c>
      <c r="E18" s="5" t="s">
        <v>24</v>
      </c>
      <c r="F18" s="5" t="s">
        <v>25</v>
      </c>
      <c r="G18" s="73" t="s">
        <v>279</v>
      </c>
      <c r="H18" s="59">
        <v>60000</v>
      </c>
      <c r="I18" s="10">
        <v>34145</v>
      </c>
      <c r="J18" s="10">
        <v>48545</v>
      </c>
      <c r="K18" s="35">
        <v>45849</v>
      </c>
      <c r="L18" s="9">
        <v>50000</v>
      </c>
      <c r="M18" s="17" t="s">
        <v>213</v>
      </c>
    </row>
    <row r="19" spans="1:13" x14ac:dyDescent="0.35">
      <c r="A19" s="5">
        <v>8</v>
      </c>
      <c r="B19" s="19" t="s">
        <v>246</v>
      </c>
      <c r="C19" s="20" t="s">
        <v>144</v>
      </c>
      <c r="D19" s="53" t="s">
        <v>254</v>
      </c>
      <c r="E19" s="22" t="s">
        <v>247</v>
      </c>
      <c r="F19" s="5" t="s">
        <v>44</v>
      </c>
      <c r="G19" s="21">
        <v>23905383</v>
      </c>
      <c r="H19" s="59">
        <v>30000</v>
      </c>
      <c r="I19" s="10">
        <v>27617</v>
      </c>
      <c r="J19" s="10">
        <v>56812</v>
      </c>
      <c r="K19" s="35">
        <v>45777</v>
      </c>
      <c r="L19" s="9">
        <v>10000</v>
      </c>
      <c r="M19" s="17" t="s">
        <v>441</v>
      </c>
    </row>
    <row r="20" spans="1:13" x14ac:dyDescent="0.35">
      <c r="A20" s="415" t="s">
        <v>8</v>
      </c>
      <c r="B20" s="415"/>
      <c r="C20" s="415"/>
      <c r="D20" s="415"/>
      <c r="E20" s="415"/>
      <c r="F20" s="415"/>
      <c r="G20" s="415"/>
      <c r="H20" s="36">
        <f>SUM(H12:H19)</f>
        <v>407000</v>
      </c>
      <c r="I20" s="24"/>
      <c r="J20" s="25"/>
      <c r="K20" s="25"/>
      <c r="L20" s="26"/>
      <c r="M20" s="26"/>
    </row>
    <row r="21" spans="1:13" x14ac:dyDescent="0.35">
      <c r="A21" s="26"/>
      <c r="B21" s="26"/>
      <c r="C21" s="26"/>
      <c r="D21" s="26"/>
      <c r="E21" s="26"/>
      <c r="F21" s="26"/>
      <c r="G21" s="26"/>
      <c r="H21" s="26"/>
      <c r="I21" s="38"/>
      <c r="J21" s="26"/>
      <c r="K21" s="26"/>
      <c r="L21" s="26"/>
      <c r="M21" s="26"/>
    </row>
    <row r="22" spans="1:13" x14ac:dyDescent="0.35">
      <c r="A22" s="26"/>
      <c r="B22" s="26" t="s">
        <v>447</v>
      </c>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407" t="s">
        <v>66</v>
      </c>
      <c r="B31" s="407"/>
      <c r="C31" s="26"/>
      <c r="D31" s="26"/>
      <c r="E31" s="407" t="s">
        <v>67</v>
      </c>
      <c r="F31" s="407"/>
      <c r="G31" s="408"/>
      <c r="H31" s="408"/>
      <c r="I31" s="28"/>
      <c r="J31" s="28"/>
      <c r="K31" s="28"/>
      <c r="L31" s="39"/>
      <c r="M31" s="40"/>
    </row>
    <row r="32" spans="1:13" x14ac:dyDescent="0.35">
      <c r="A32" s="421" t="s">
        <v>69</v>
      </c>
      <c r="B32" s="421"/>
      <c r="D32" s="29"/>
      <c r="E32" s="410" t="s">
        <v>70</v>
      </c>
      <c r="F32" s="410"/>
      <c r="G32" s="410" t="s">
        <v>71</v>
      </c>
      <c r="H32" s="410"/>
      <c r="I32" s="29"/>
      <c r="J32" s="29"/>
      <c r="K32" s="29" t="s">
        <v>72</v>
      </c>
      <c r="L32" s="31"/>
      <c r="M32" s="31"/>
    </row>
    <row r="33" spans="1:13" x14ac:dyDescent="0.35">
      <c r="A33" s="414" t="s">
        <v>92</v>
      </c>
      <c r="B33" s="414"/>
      <c r="D33" s="32"/>
      <c r="E33" s="414" t="s">
        <v>73</v>
      </c>
      <c r="F33" s="414"/>
      <c r="G33" s="414" t="s">
        <v>74</v>
      </c>
      <c r="H33" s="414"/>
      <c r="I33" s="31"/>
      <c r="J33" s="31"/>
      <c r="K33" s="31" t="s">
        <v>75</v>
      </c>
      <c r="L33" s="33"/>
      <c r="M33" s="33"/>
    </row>
    <row r="34" spans="1:13" x14ac:dyDescent="0.35">
      <c r="A34" s="414" t="s">
        <v>94</v>
      </c>
      <c r="B34" s="414"/>
      <c r="D34" s="34"/>
      <c r="E34" s="414" t="s">
        <v>78</v>
      </c>
      <c r="F34" s="414"/>
      <c r="G34" s="414" t="s">
        <v>414</v>
      </c>
      <c r="H34" s="414"/>
      <c r="I34" s="33"/>
      <c r="J34" s="33"/>
      <c r="K34" s="31" t="s">
        <v>80</v>
      </c>
      <c r="L34" s="34"/>
      <c r="M34" s="34"/>
    </row>
    <row r="35" spans="1:13" x14ac:dyDescent="0.35">
      <c r="A35" s="412" t="s">
        <v>76</v>
      </c>
      <c r="B35" s="412"/>
      <c r="D35" s="34"/>
      <c r="E35" s="412" t="s">
        <v>76</v>
      </c>
      <c r="F35" s="412"/>
      <c r="G35" s="412" t="s">
        <v>76</v>
      </c>
      <c r="H35" s="412"/>
      <c r="I35" s="33"/>
      <c r="J35" s="33"/>
      <c r="K35" s="33"/>
    </row>
  </sheetData>
  <mergeCells count="34">
    <mergeCell ref="A35:B35"/>
    <mergeCell ref="E35:F35"/>
    <mergeCell ref="G35:H35"/>
    <mergeCell ref="A33:B33"/>
    <mergeCell ref="E33:F33"/>
    <mergeCell ref="G33:H33"/>
    <mergeCell ref="A34:B34"/>
    <mergeCell ref="E34:F34"/>
    <mergeCell ref="G34:H34"/>
    <mergeCell ref="A31:B31"/>
    <mergeCell ref="E31:F31"/>
    <mergeCell ref="G31:H31"/>
    <mergeCell ref="A32:B32"/>
    <mergeCell ref="E32:F32"/>
    <mergeCell ref="G32:H32"/>
    <mergeCell ref="A20: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0DEF-4EFF-4019-9ED9-C2B89F35663F}">
  <sheetPr>
    <pageSetUpPr fitToPage="1"/>
  </sheetPr>
  <dimension ref="A1:M35"/>
  <sheetViews>
    <sheetView topLeftCell="A7" workbookViewId="0">
      <selection activeCell="H16" sqref="H16"/>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6"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448</v>
      </c>
      <c r="D3" s="403"/>
      <c r="E3" s="403"/>
      <c r="F3" s="403"/>
      <c r="G3" s="403"/>
      <c r="H3" s="403"/>
      <c r="I3" s="403"/>
      <c r="J3" s="403"/>
      <c r="K3" s="403"/>
      <c r="L3" s="403"/>
      <c r="M3" s="385"/>
    </row>
    <row r="4" spans="1:13" x14ac:dyDescent="0.35">
      <c r="A4" s="384" t="s">
        <v>4</v>
      </c>
      <c r="B4" s="385"/>
      <c r="C4" s="393" t="s">
        <v>449</v>
      </c>
      <c r="D4" s="394"/>
      <c r="E4" s="394"/>
      <c r="F4" s="394"/>
      <c r="G4" s="394"/>
      <c r="H4" s="394"/>
      <c r="I4" s="394"/>
      <c r="J4" s="394"/>
      <c r="K4" s="394"/>
      <c r="L4" s="394"/>
      <c r="M4" s="395"/>
    </row>
    <row r="5" spans="1:13" x14ac:dyDescent="0.35">
      <c r="A5" s="384" t="s">
        <v>5</v>
      </c>
      <c r="B5" s="385"/>
      <c r="C5" s="387">
        <v>45889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427000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468</v>
      </c>
      <c r="J11" s="3" t="s">
        <v>18</v>
      </c>
      <c r="K11" s="3" t="s">
        <v>19</v>
      </c>
      <c r="L11" s="3" t="s">
        <v>20</v>
      </c>
      <c r="M11" s="3" t="s">
        <v>84</v>
      </c>
    </row>
    <row r="12" spans="1:13" x14ac:dyDescent="0.35">
      <c r="A12" s="5">
        <v>1</v>
      </c>
      <c r="B12" s="14" t="s">
        <v>85</v>
      </c>
      <c r="C12" s="7" t="s">
        <v>86</v>
      </c>
      <c r="D12" s="8" t="s">
        <v>87</v>
      </c>
      <c r="E12" s="5" t="s">
        <v>24</v>
      </c>
      <c r="F12" s="5" t="s">
        <v>44</v>
      </c>
      <c r="G12" s="5">
        <v>35020062</v>
      </c>
      <c r="H12" s="59">
        <v>150000</v>
      </c>
      <c r="I12" s="10">
        <v>124827</v>
      </c>
      <c r="J12" s="10">
        <v>251327</v>
      </c>
      <c r="K12" s="35">
        <v>45867</v>
      </c>
      <c r="L12" s="59">
        <v>130000</v>
      </c>
      <c r="M12" s="48" t="s">
        <v>409</v>
      </c>
    </row>
    <row r="13" spans="1:13" x14ac:dyDescent="0.35">
      <c r="A13" s="5">
        <v>2</v>
      </c>
      <c r="B13" s="14" t="s">
        <v>89</v>
      </c>
      <c r="C13" s="7" t="s">
        <v>86</v>
      </c>
      <c r="D13" s="8" t="s">
        <v>90</v>
      </c>
      <c r="E13" s="5" t="s">
        <v>24</v>
      </c>
      <c r="F13" s="5" t="s">
        <v>44</v>
      </c>
      <c r="G13" s="13">
        <v>40021666</v>
      </c>
      <c r="H13" s="59">
        <v>70000</v>
      </c>
      <c r="I13" s="10">
        <v>28764</v>
      </c>
      <c r="J13" s="10">
        <v>84707</v>
      </c>
      <c r="K13" s="35">
        <v>45867</v>
      </c>
      <c r="L13" s="59">
        <v>60000</v>
      </c>
      <c r="M13" s="48" t="s">
        <v>325</v>
      </c>
    </row>
    <row r="14" spans="1:13" x14ac:dyDescent="0.35">
      <c r="A14" s="5">
        <v>3</v>
      </c>
      <c r="B14" s="14" t="s">
        <v>158</v>
      </c>
      <c r="C14" s="7" t="s">
        <v>86</v>
      </c>
      <c r="D14" s="8">
        <v>269</v>
      </c>
      <c r="E14" s="5" t="s">
        <v>24</v>
      </c>
      <c r="F14" s="5" t="s">
        <v>44</v>
      </c>
      <c r="G14" s="5">
        <v>74023856</v>
      </c>
      <c r="H14" s="59">
        <v>70000</v>
      </c>
      <c r="I14" s="10">
        <v>41367</v>
      </c>
      <c r="J14" s="10">
        <v>83115</v>
      </c>
      <c r="K14" s="35">
        <v>45867</v>
      </c>
      <c r="L14" s="59">
        <v>60000</v>
      </c>
      <c r="M14" s="12" t="s">
        <v>369</v>
      </c>
    </row>
    <row r="15" spans="1:13" x14ac:dyDescent="0.35">
      <c r="A15" s="5">
        <v>4</v>
      </c>
      <c r="B15" s="19" t="s">
        <v>255</v>
      </c>
      <c r="C15" s="20" t="s">
        <v>23</v>
      </c>
      <c r="D15" s="53" t="s">
        <v>256</v>
      </c>
      <c r="E15" s="22" t="s">
        <v>247</v>
      </c>
      <c r="F15" s="5" t="s">
        <v>44</v>
      </c>
      <c r="G15" s="53" t="s">
        <v>257</v>
      </c>
      <c r="H15" s="59">
        <v>5000</v>
      </c>
      <c r="I15" s="10">
        <v>30110</v>
      </c>
      <c r="J15" s="10">
        <v>42196</v>
      </c>
      <c r="K15" s="35">
        <v>45874</v>
      </c>
      <c r="L15" s="59">
        <v>15000</v>
      </c>
      <c r="M15" s="48" t="s">
        <v>371</v>
      </c>
    </row>
    <row r="16" spans="1:13" x14ac:dyDescent="0.35">
      <c r="A16" s="5">
        <v>5</v>
      </c>
      <c r="B16" s="19" t="s">
        <v>261</v>
      </c>
      <c r="C16" s="20" t="s">
        <v>49</v>
      </c>
      <c r="D16" s="53" t="s">
        <v>262</v>
      </c>
      <c r="E16" s="22" t="s">
        <v>247</v>
      </c>
      <c r="F16" s="5" t="s">
        <v>130</v>
      </c>
      <c r="G16" s="53" t="s">
        <v>462</v>
      </c>
      <c r="H16" s="59">
        <v>45000</v>
      </c>
      <c r="I16" s="10">
        <v>18461</v>
      </c>
      <c r="J16" s="10">
        <v>38861</v>
      </c>
      <c r="K16" s="35">
        <v>45867</v>
      </c>
      <c r="L16" s="59">
        <v>40000</v>
      </c>
      <c r="M16" s="48" t="s">
        <v>446</v>
      </c>
    </row>
    <row r="17" spans="1:13" x14ac:dyDescent="0.35">
      <c r="A17" s="5">
        <v>6</v>
      </c>
      <c r="B17" s="19" t="s">
        <v>442</v>
      </c>
      <c r="C17" s="20" t="s">
        <v>443</v>
      </c>
      <c r="D17" s="53" t="s">
        <v>444</v>
      </c>
      <c r="E17" s="22" t="s">
        <v>24</v>
      </c>
      <c r="F17" s="5" t="s">
        <v>25</v>
      </c>
      <c r="G17" s="53" t="s">
        <v>445</v>
      </c>
      <c r="H17" s="59">
        <v>12000</v>
      </c>
      <c r="I17" s="10">
        <v>22947</v>
      </c>
      <c r="J17" s="10">
        <v>32947</v>
      </c>
      <c r="K17" s="35">
        <v>45865</v>
      </c>
      <c r="L17" s="59">
        <v>12000</v>
      </c>
      <c r="M17" s="48" t="s">
        <v>132</v>
      </c>
    </row>
    <row r="18" spans="1:13" x14ac:dyDescent="0.35">
      <c r="A18" s="5">
        <v>7</v>
      </c>
      <c r="B18" s="16" t="s">
        <v>95</v>
      </c>
      <c r="C18" s="7" t="s">
        <v>49</v>
      </c>
      <c r="D18" s="8">
        <v>183</v>
      </c>
      <c r="E18" s="5" t="s">
        <v>24</v>
      </c>
      <c r="F18" s="5" t="s">
        <v>25</v>
      </c>
      <c r="G18" s="73" t="s">
        <v>279</v>
      </c>
      <c r="H18" s="59">
        <v>60000</v>
      </c>
      <c r="I18" s="10">
        <v>41000</v>
      </c>
      <c r="J18" s="10">
        <v>58647</v>
      </c>
      <c r="K18" s="35">
        <v>45874</v>
      </c>
      <c r="L18" s="59">
        <v>60000</v>
      </c>
      <c r="M18" s="17" t="s">
        <v>213</v>
      </c>
    </row>
    <row r="19" spans="1:13" x14ac:dyDescent="0.35">
      <c r="A19" s="5">
        <v>8</v>
      </c>
      <c r="B19" s="19" t="s">
        <v>246</v>
      </c>
      <c r="C19" s="20" t="s">
        <v>144</v>
      </c>
      <c r="D19" s="53" t="s">
        <v>254</v>
      </c>
      <c r="E19" s="22" t="s">
        <v>247</v>
      </c>
      <c r="F19" s="5" t="s">
        <v>44</v>
      </c>
      <c r="G19" s="21">
        <v>23905383</v>
      </c>
      <c r="H19" s="59">
        <v>15000</v>
      </c>
      <c r="I19" s="10">
        <v>41121</v>
      </c>
      <c r="J19" s="10">
        <v>50430</v>
      </c>
      <c r="K19" s="35">
        <v>45862</v>
      </c>
      <c r="L19" s="59">
        <v>30000</v>
      </c>
      <c r="M19" s="17" t="s">
        <v>441</v>
      </c>
    </row>
    <row r="20" spans="1:13" x14ac:dyDescent="0.35">
      <c r="A20" s="415" t="s">
        <v>8</v>
      </c>
      <c r="B20" s="415"/>
      <c r="C20" s="415"/>
      <c r="D20" s="415"/>
      <c r="E20" s="415"/>
      <c r="F20" s="415"/>
      <c r="G20" s="415"/>
      <c r="H20" s="36">
        <f>SUM(H12:H19)</f>
        <v>427000</v>
      </c>
      <c r="I20" s="24"/>
      <c r="J20" s="25"/>
      <c r="K20" s="25"/>
      <c r="L20" s="26"/>
      <c r="M20" s="26"/>
    </row>
    <row r="21" spans="1:13" x14ac:dyDescent="0.35">
      <c r="A21" s="26"/>
      <c r="B21" s="26"/>
      <c r="C21" s="26"/>
      <c r="D21" s="26"/>
      <c r="E21" s="26"/>
      <c r="F21" s="26"/>
      <c r="G21" s="26"/>
      <c r="H21" s="26"/>
      <c r="I21" s="38"/>
      <c r="J21" s="26"/>
      <c r="K21" s="26"/>
      <c r="L21" s="26"/>
      <c r="M21" s="26"/>
    </row>
    <row r="22" spans="1:13" x14ac:dyDescent="0.35">
      <c r="A22" s="26"/>
      <c r="B22" s="26" t="s">
        <v>469</v>
      </c>
      <c r="C22" s="26"/>
      <c r="D22" s="26"/>
      <c r="E22" s="26"/>
      <c r="F22" s="26"/>
      <c r="G22" s="26"/>
      <c r="H22" s="26"/>
      <c r="I22" s="38"/>
      <c r="J22" s="26"/>
      <c r="K22" s="26"/>
      <c r="L22" s="26"/>
      <c r="M22" s="26"/>
    </row>
    <row r="23" spans="1:13" x14ac:dyDescent="0.35">
      <c r="A23" s="26"/>
      <c r="B23" s="26"/>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407" t="s">
        <v>66</v>
      </c>
      <c r="B31" s="407"/>
      <c r="C31" s="26"/>
      <c r="D31" s="26"/>
      <c r="E31" s="407" t="s">
        <v>67</v>
      </c>
      <c r="F31" s="407"/>
      <c r="G31" s="408"/>
      <c r="H31" s="408"/>
      <c r="I31" s="28"/>
      <c r="J31" s="28"/>
      <c r="K31" s="28"/>
      <c r="L31" s="39"/>
      <c r="M31" s="40"/>
    </row>
    <row r="32" spans="1:13" x14ac:dyDescent="0.35">
      <c r="A32" s="421" t="s">
        <v>69</v>
      </c>
      <c r="B32" s="421"/>
      <c r="D32" s="29"/>
      <c r="E32" s="410" t="s">
        <v>70</v>
      </c>
      <c r="F32" s="410"/>
      <c r="G32" s="410" t="s">
        <v>71</v>
      </c>
      <c r="H32" s="410"/>
      <c r="I32" s="29"/>
      <c r="J32" s="29"/>
      <c r="K32" s="29" t="s">
        <v>72</v>
      </c>
      <c r="L32" s="31"/>
      <c r="M32" s="31"/>
    </row>
    <row r="33" spans="1:13" x14ac:dyDescent="0.35">
      <c r="A33" s="414" t="s">
        <v>92</v>
      </c>
      <c r="B33" s="414"/>
      <c r="D33" s="32"/>
      <c r="E33" s="414" t="s">
        <v>73</v>
      </c>
      <c r="F33" s="414"/>
      <c r="G33" s="414" t="s">
        <v>74</v>
      </c>
      <c r="H33" s="414"/>
      <c r="I33" s="31"/>
      <c r="J33" s="31"/>
      <c r="K33" s="31" t="s">
        <v>75</v>
      </c>
      <c r="L33" s="33"/>
      <c r="M33" s="33"/>
    </row>
    <row r="34" spans="1:13" x14ac:dyDescent="0.35">
      <c r="A34" s="414" t="s">
        <v>94</v>
      </c>
      <c r="B34" s="414"/>
      <c r="D34" s="34"/>
      <c r="E34" s="414" t="s">
        <v>78</v>
      </c>
      <c r="F34" s="414"/>
      <c r="G34" s="414" t="s">
        <v>414</v>
      </c>
      <c r="H34" s="414"/>
      <c r="I34" s="33"/>
      <c r="J34" s="33"/>
      <c r="K34" s="31" t="s">
        <v>80</v>
      </c>
      <c r="L34" s="34"/>
      <c r="M34" s="34"/>
    </row>
    <row r="35" spans="1:13" x14ac:dyDescent="0.35">
      <c r="A35" s="412" t="s">
        <v>76</v>
      </c>
      <c r="B35" s="412"/>
      <c r="D35" s="34"/>
      <c r="E35" s="412" t="s">
        <v>76</v>
      </c>
      <c r="F35" s="412"/>
      <c r="G35" s="412" t="s">
        <v>76</v>
      </c>
      <c r="H35" s="412"/>
      <c r="I35" s="33"/>
      <c r="J35" s="33"/>
      <c r="K35" s="33"/>
    </row>
  </sheetData>
  <mergeCells count="34">
    <mergeCell ref="A35:B35"/>
    <mergeCell ref="E35:F35"/>
    <mergeCell ref="G35:H35"/>
    <mergeCell ref="A33:B33"/>
    <mergeCell ref="E33:F33"/>
    <mergeCell ref="G33:H33"/>
    <mergeCell ref="A34:B34"/>
    <mergeCell ref="E34:F34"/>
    <mergeCell ref="G34:H34"/>
    <mergeCell ref="A31:B31"/>
    <mergeCell ref="E31:F31"/>
    <mergeCell ref="G31:H31"/>
    <mergeCell ref="A32:B32"/>
    <mergeCell ref="E32:F32"/>
    <mergeCell ref="G32:H32"/>
    <mergeCell ref="A20: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422A-8F36-4F58-BBCB-222A265E6F25}">
  <dimension ref="A1:M33"/>
  <sheetViews>
    <sheetView workbookViewId="0">
      <selection sqref="A1:M1"/>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45861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85" t="s">
        <v>457</v>
      </c>
      <c r="C12" s="86" t="s">
        <v>23</v>
      </c>
      <c r="D12" s="53" t="s">
        <v>444</v>
      </c>
      <c r="E12" s="87" t="s">
        <v>24</v>
      </c>
      <c r="F12" s="87" t="s">
        <v>130</v>
      </c>
      <c r="G12" s="87" t="s">
        <v>458</v>
      </c>
      <c r="H12" s="78">
        <v>60000</v>
      </c>
      <c r="I12" s="42" t="s">
        <v>97</v>
      </c>
      <c r="J12" s="42" t="s">
        <v>97</v>
      </c>
      <c r="K12" s="11" t="s">
        <v>97</v>
      </c>
      <c r="L12" s="78" t="s">
        <v>97</v>
      </c>
      <c r="M12" s="12" t="s">
        <v>344</v>
      </c>
    </row>
    <row r="13" spans="1:13" x14ac:dyDescent="0.35">
      <c r="A13" s="415" t="s">
        <v>8</v>
      </c>
      <c r="B13" s="415"/>
      <c r="C13" s="415"/>
      <c r="D13" s="415"/>
      <c r="E13" s="415"/>
      <c r="F13" s="415"/>
      <c r="G13" s="415"/>
      <c r="H13" s="81">
        <f>SUM(H12:H12)</f>
        <v>60000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459</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ht="15" thickBot="1" x14ac:dyDescent="0.4">
      <c r="A20" s="420" t="s">
        <v>66</v>
      </c>
      <c r="B20" s="420"/>
      <c r="C20" s="26"/>
      <c r="D20" s="26"/>
      <c r="E20" s="407" t="s">
        <v>67</v>
      </c>
      <c r="F20" s="407"/>
      <c r="G20" s="49"/>
      <c r="H20" s="49"/>
      <c r="I20" s="408"/>
      <c r="J20" s="408"/>
      <c r="K20" s="28"/>
      <c r="L20" s="29"/>
      <c r="M20" s="29"/>
    </row>
    <row r="21" spans="1:13" ht="15" thickTop="1" x14ac:dyDescent="0.35">
      <c r="A21" s="421" t="s">
        <v>69</v>
      </c>
      <c r="B21" s="421"/>
      <c r="D21" s="30"/>
      <c r="E21" s="410" t="s">
        <v>70</v>
      </c>
      <c r="F21" s="410"/>
      <c r="G21" s="410" t="s">
        <v>71</v>
      </c>
      <c r="H21" s="410"/>
      <c r="I21" s="29"/>
      <c r="J21" s="29"/>
      <c r="K21" s="29" t="s">
        <v>72</v>
      </c>
      <c r="L21" s="31"/>
      <c r="M21" s="31"/>
    </row>
    <row r="22" spans="1:13" x14ac:dyDescent="0.35">
      <c r="A22" s="414" t="s">
        <v>92</v>
      </c>
      <c r="B22" s="414"/>
      <c r="D22" s="32"/>
      <c r="E22" s="414" t="s">
        <v>73</v>
      </c>
      <c r="F22" s="414"/>
      <c r="G22" s="414" t="s">
        <v>74</v>
      </c>
      <c r="H22" s="414"/>
      <c r="I22" s="31"/>
      <c r="J22" s="31"/>
      <c r="K22" s="31" t="s">
        <v>75</v>
      </c>
      <c r="L22" s="33"/>
      <c r="M22" s="33"/>
    </row>
    <row r="23" spans="1:13" x14ac:dyDescent="0.35">
      <c r="A23" s="412" t="s">
        <v>94</v>
      </c>
      <c r="B23" s="412"/>
      <c r="D23" s="34"/>
      <c r="E23" s="414" t="s">
        <v>78</v>
      </c>
      <c r="F23" s="414"/>
      <c r="G23" s="414" t="s">
        <v>414</v>
      </c>
      <c r="H23" s="414"/>
      <c r="I23" s="33"/>
      <c r="J23" s="33"/>
      <c r="K23" s="33" t="s">
        <v>80</v>
      </c>
      <c r="L23" s="34"/>
      <c r="M23" s="34"/>
    </row>
    <row r="24" spans="1:13" x14ac:dyDescent="0.35">
      <c r="A24" s="412" t="s">
        <v>76</v>
      </c>
      <c r="B24" s="412"/>
      <c r="D24" s="34"/>
      <c r="E24" s="412" t="s">
        <v>76</v>
      </c>
      <c r="F24" s="412"/>
      <c r="G24" s="412" t="s">
        <v>76</v>
      </c>
      <c r="H24" s="412"/>
      <c r="I24" s="33"/>
      <c r="J24" s="33"/>
      <c r="K24" s="3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32:B32"/>
    <mergeCell ref="C32:E32"/>
    <mergeCell ref="A33:B33"/>
    <mergeCell ref="C33:E33"/>
    <mergeCell ref="A24:B24"/>
    <mergeCell ref="E24:F24"/>
    <mergeCell ref="G24:H24"/>
    <mergeCell ref="A30:B30"/>
    <mergeCell ref="C30:E30"/>
    <mergeCell ref="A31:B31"/>
    <mergeCell ref="C31:E31"/>
    <mergeCell ref="A22:B22"/>
    <mergeCell ref="E22:F22"/>
    <mergeCell ref="G22:H22"/>
    <mergeCell ref="A23:B23"/>
    <mergeCell ref="E23:F23"/>
    <mergeCell ref="G23:H23"/>
    <mergeCell ref="A20:B20"/>
    <mergeCell ref="E20:F20"/>
    <mergeCell ref="I20:J20"/>
    <mergeCell ref="A21:B21"/>
    <mergeCell ref="E21:F21"/>
    <mergeCell ref="G21:H2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883C-8EB3-4F14-825B-6FCBD92D5AB1}">
  <sheetPr>
    <pageSetUpPr fitToPage="1"/>
  </sheetPr>
  <dimension ref="A1:M45"/>
  <sheetViews>
    <sheetView workbookViewId="0">
      <selection sqref="A1:M4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437</v>
      </c>
      <c r="D3" s="403"/>
      <c r="E3" s="403"/>
      <c r="F3" s="403"/>
      <c r="G3" s="403"/>
      <c r="H3" s="403"/>
      <c r="I3" s="403"/>
      <c r="J3" s="403"/>
      <c r="K3" s="403"/>
      <c r="L3" s="403"/>
      <c r="M3" s="385"/>
    </row>
    <row r="4" spans="1:13" x14ac:dyDescent="0.35">
      <c r="A4" s="384" t="s">
        <v>4</v>
      </c>
      <c r="B4" s="385"/>
      <c r="C4" s="393" t="s">
        <v>438</v>
      </c>
      <c r="D4" s="394"/>
      <c r="E4" s="394"/>
      <c r="F4" s="394"/>
      <c r="G4" s="394"/>
      <c r="H4" s="394"/>
      <c r="I4" s="394"/>
      <c r="J4" s="394"/>
      <c r="K4" s="394"/>
      <c r="L4" s="394"/>
      <c r="M4" s="395"/>
    </row>
    <row r="5" spans="1:13" x14ac:dyDescent="0.35">
      <c r="A5" s="384" t="s">
        <v>5</v>
      </c>
      <c r="B5" s="385"/>
      <c r="C5" s="387">
        <v>45861</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85" t="s">
        <v>457</v>
      </c>
      <c r="C12" s="86" t="s">
        <v>23</v>
      </c>
      <c r="D12" s="53" t="s">
        <v>444</v>
      </c>
      <c r="E12" s="87" t="s">
        <v>24</v>
      </c>
      <c r="F12" s="87" t="s">
        <v>130</v>
      </c>
      <c r="G12" s="87" t="s">
        <v>458</v>
      </c>
      <c r="H12" s="78">
        <v>10000</v>
      </c>
      <c r="I12" s="42" t="s">
        <v>97</v>
      </c>
      <c r="J12" s="42" t="s">
        <v>97</v>
      </c>
      <c r="K12" s="11" t="s">
        <v>97</v>
      </c>
      <c r="L12" s="78" t="s">
        <v>97</v>
      </c>
      <c r="M12" s="12" t="s">
        <v>344</v>
      </c>
    </row>
    <row r="13" spans="1:13" x14ac:dyDescent="0.35">
      <c r="A13" s="415" t="s">
        <v>8</v>
      </c>
      <c r="B13" s="415"/>
      <c r="C13" s="415"/>
      <c r="D13" s="415"/>
      <c r="E13" s="415"/>
      <c r="F13" s="415"/>
      <c r="G13" s="415"/>
      <c r="H13" s="81">
        <f>SUM(H12:H12)</f>
        <v>10000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455</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ht="15" thickBot="1" x14ac:dyDescent="0.4">
      <c r="A21" s="26"/>
      <c r="B21" s="26"/>
      <c r="C21" s="26"/>
      <c r="D21" s="26"/>
      <c r="E21" s="26"/>
      <c r="F21" s="26"/>
      <c r="G21" s="26"/>
      <c r="H21" s="26"/>
      <c r="I21" s="26"/>
      <c r="J21" s="26"/>
      <c r="K21" s="26"/>
      <c r="L21" s="26"/>
      <c r="M21" s="26"/>
    </row>
    <row r="22" spans="1:13" ht="15.5" thickTop="1" thickBot="1" x14ac:dyDescent="0.4">
      <c r="A22" s="26"/>
      <c r="B22" s="447" t="s">
        <v>290</v>
      </c>
      <c r="C22" s="448"/>
      <c r="D22" s="448"/>
      <c r="E22" s="448"/>
      <c r="F22" s="26"/>
      <c r="G22" s="26"/>
      <c r="H22" s="26"/>
      <c r="I22" s="26"/>
      <c r="J22" s="26"/>
      <c r="K22" s="26"/>
      <c r="L22" s="26"/>
      <c r="M22" s="26"/>
    </row>
    <row r="23" spans="1:13" ht="15.5" thickTop="1" thickBot="1" x14ac:dyDescent="0.4">
      <c r="A23" s="26"/>
      <c r="B23" s="448"/>
      <c r="C23" s="448"/>
      <c r="D23" s="448"/>
      <c r="E23" s="448"/>
      <c r="F23" s="26"/>
      <c r="G23" s="26"/>
      <c r="H23" s="26"/>
      <c r="I23" s="26"/>
      <c r="J23" s="26"/>
      <c r="K23" s="26"/>
      <c r="L23" s="26"/>
      <c r="M23" s="26"/>
    </row>
    <row r="24" spans="1:13" ht="25.5" customHeight="1" thickTop="1" thickBot="1" x14ac:dyDescent="0.4">
      <c r="A24" s="26"/>
      <c r="B24" s="448"/>
      <c r="C24" s="448"/>
      <c r="D24" s="448"/>
      <c r="E24" s="448"/>
      <c r="F24" s="26"/>
      <c r="G24" s="26"/>
      <c r="H24" s="26"/>
      <c r="I24" s="26"/>
      <c r="J24" s="26"/>
      <c r="K24" s="26"/>
      <c r="L24" s="26"/>
      <c r="M24" s="26"/>
    </row>
    <row r="25" spans="1:13" ht="15" thickTop="1"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3">
    <mergeCell ref="A4:B4"/>
    <mergeCell ref="C4:M4"/>
    <mergeCell ref="A1:M1"/>
    <mergeCell ref="A2:B2"/>
    <mergeCell ref="C2:M2"/>
    <mergeCell ref="A3:B3"/>
    <mergeCell ref="C3:M3"/>
    <mergeCell ref="A5:B5"/>
    <mergeCell ref="C5:M5"/>
    <mergeCell ref="A6:B6"/>
    <mergeCell ref="C6:M6"/>
    <mergeCell ref="A7:B7"/>
    <mergeCell ref="C7:M7"/>
    <mergeCell ref="I32:J32"/>
    <mergeCell ref="A33:B33"/>
    <mergeCell ref="E33:F33"/>
    <mergeCell ref="G33:H33"/>
    <mergeCell ref="A8:B8"/>
    <mergeCell ref="C8:M8"/>
    <mergeCell ref="A9:B9"/>
    <mergeCell ref="C9:M9"/>
    <mergeCell ref="A10:M10"/>
    <mergeCell ref="A13:G13"/>
    <mergeCell ref="B22:E24"/>
    <mergeCell ref="G34:H34"/>
    <mergeCell ref="A35:B35"/>
    <mergeCell ref="E35:F35"/>
    <mergeCell ref="G35:H35"/>
    <mergeCell ref="A32:B32"/>
    <mergeCell ref="E32:F32"/>
    <mergeCell ref="A34:B34"/>
    <mergeCell ref="E34:F34"/>
    <mergeCell ref="G36:H36"/>
    <mergeCell ref="A42:B42"/>
    <mergeCell ref="C42:E42"/>
    <mergeCell ref="A43:B43"/>
    <mergeCell ref="C43:E43"/>
    <mergeCell ref="A44:B44"/>
    <mergeCell ref="C44:E44"/>
    <mergeCell ref="A45:B45"/>
    <mergeCell ref="C45:E45"/>
    <mergeCell ref="A36:B36"/>
    <mergeCell ref="E36:F36"/>
  </mergeCells>
  <printOptions horizontalCentered="1"/>
  <pageMargins left="0.25" right="0.25" top="0.75" bottom="0.75" header="0.3" footer="0.3"/>
  <pageSetup scale="69"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545D-86A3-4A09-B90D-8EA5830A6A78}">
  <sheetPr>
    <pageSetUpPr fitToPage="1"/>
  </sheetPr>
  <dimension ref="A1:M45"/>
  <sheetViews>
    <sheetView topLeftCell="A10" workbookViewId="0">
      <selection activeCell="B22" sqref="B22:E2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4" customHeight="1" x14ac:dyDescent="0.35">
      <c r="A1" s="402" t="s">
        <v>475</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45902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85" t="s">
        <v>472</v>
      </c>
      <c r="C12" s="86" t="s">
        <v>23</v>
      </c>
      <c r="D12" s="135">
        <v>1170</v>
      </c>
      <c r="E12" s="87" t="s">
        <v>24</v>
      </c>
      <c r="F12" s="87" t="s">
        <v>130</v>
      </c>
      <c r="G12" s="136" t="s">
        <v>473</v>
      </c>
      <c r="H12" s="78">
        <v>5000</v>
      </c>
      <c r="I12" s="42" t="s">
        <v>97</v>
      </c>
      <c r="J12" s="42" t="s">
        <v>97</v>
      </c>
      <c r="K12" s="11" t="s">
        <v>97</v>
      </c>
      <c r="L12" s="78" t="s">
        <v>97</v>
      </c>
      <c r="M12" s="12" t="s">
        <v>344</v>
      </c>
    </row>
    <row r="13" spans="1:13" x14ac:dyDescent="0.35">
      <c r="A13" s="415" t="s">
        <v>8</v>
      </c>
      <c r="B13" s="415"/>
      <c r="C13" s="415"/>
      <c r="D13" s="415"/>
      <c r="E13" s="415"/>
      <c r="F13" s="415"/>
      <c r="G13" s="415"/>
      <c r="H13" s="81">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138</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ht="15" thickBot="1" x14ac:dyDescent="0.4">
      <c r="A21" s="26"/>
      <c r="B21" s="26"/>
      <c r="C21" s="26"/>
      <c r="D21" s="26"/>
      <c r="E21" s="26"/>
      <c r="F21" s="26"/>
      <c r="G21" s="26"/>
      <c r="H21" s="26"/>
      <c r="I21" s="26"/>
      <c r="J21" s="26"/>
      <c r="K21" s="26"/>
      <c r="L21" s="26"/>
      <c r="M21" s="26"/>
    </row>
    <row r="22" spans="1:13" ht="15.5" thickTop="1" thickBot="1" x14ac:dyDescent="0.4">
      <c r="A22" s="26"/>
      <c r="B22" s="447" t="s">
        <v>290</v>
      </c>
      <c r="C22" s="448"/>
      <c r="D22" s="448"/>
      <c r="E22" s="448"/>
      <c r="F22" s="26"/>
      <c r="G22" s="26"/>
      <c r="H22" s="26"/>
      <c r="I22" s="26"/>
      <c r="J22" s="26"/>
      <c r="K22" s="26"/>
      <c r="L22" s="26"/>
      <c r="M22" s="26"/>
    </row>
    <row r="23" spans="1:13" ht="15.5" thickTop="1" thickBot="1" x14ac:dyDescent="0.4">
      <c r="A23" s="26"/>
      <c r="B23" s="448"/>
      <c r="C23" s="448"/>
      <c r="D23" s="448"/>
      <c r="E23" s="448"/>
      <c r="F23" s="26"/>
      <c r="G23" s="26"/>
      <c r="H23" s="26"/>
      <c r="I23" s="26"/>
      <c r="J23" s="26"/>
      <c r="K23" s="26"/>
      <c r="L23" s="26"/>
      <c r="M23" s="26"/>
    </row>
    <row r="24" spans="1:13" ht="28.5" customHeight="1" thickTop="1" thickBot="1" x14ac:dyDescent="0.4">
      <c r="A24" s="26"/>
      <c r="B24" s="448"/>
      <c r="C24" s="448"/>
      <c r="D24" s="448"/>
      <c r="E24" s="448"/>
      <c r="F24" s="26"/>
      <c r="G24" s="26"/>
      <c r="H24" s="26"/>
      <c r="I24" s="26"/>
      <c r="J24" s="26"/>
      <c r="K24" s="26"/>
      <c r="L24" s="26"/>
      <c r="M24" s="26"/>
    </row>
    <row r="25" spans="1:13" ht="15" thickTop="1"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3">
    <mergeCell ref="A44:B44"/>
    <mergeCell ref="C44:E44"/>
    <mergeCell ref="A45:B45"/>
    <mergeCell ref="C45:E45"/>
    <mergeCell ref="A36:B36"/>
    <mergeCell ref="E36:F36"/>
    <mergeCell ref="G36:H36"/>
    <mergeCell ref="A42:B42"/>
    <mergeCell ref="C42:E42"/>
    <mergeCell ref="A43:B43"/>
    <mergeCell ref="C43:E43"/>
    <mergeCell ref="A34:B34"/>
    <mergeCell ref="E34:F34"/>
    <mergeCell ref="G34:H34"/>
    <mergeCell ref="A35:B35"/>
    <mergeCell ref="E35:F35"/>
    <mergeCell ref="G35:H35"/>
    <mergeCell ref="B22:E24"/>
    <mergeCell ref="A32:B32"/>
    <mergeCell ref="E32:F32"/>
    <mergeCell ref="I32:J32"/>
    <mergeCell ref="A33:B33"/>
    <mergeCell ref="E33:F33"/>
    <mergeCell ref="G33:H33"/>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69"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D57F-6C64-4B2E-B137-2D179C6506F2}">
  <sheetPr>
    <pageSetUpPr fitToPage="1"/>
  </sheetPr>
  <dimension ref="A1:M45"/>
  <sheetViews>
    <sheetView topLeftCell="A6" workbookViewId="0">
      <selection activeCell="B12" sqref="B12:G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6.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45902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439</v>
      </c>
      <c r="J11" s="3" t="s">
        <v>18</v>
      </c>
      <c r="K11" s="3" t="s">
        <v>19</v>
      </c>
      <c r="L11" s="3" t="s">
        <v>20</v>
      </c>
      <c r="M11" s="4" t="s">
        <v>21</v>
      </c>
    </row>
    <row r="12" spans="1:13" x14ac:dyDescent="0.35">
      <c r="A12" s="5">
        <v>1</v>
      </c>
      <c r="B12" s="85" t="s">
        <v>472</v>
      </c>
      <c r="C12" s="86" t="s">
        <v>23</v>
      </c>
      <c r="D12" s="135">
        <v>1170</v>
      </c>
      <c r="E12" s="87" t="s">
        <v>24</v>
      </c>
      <c r="F12" s="87" t="s">
        <v>130</v>
      </c>
      <c r="G12" s="136" t="s">
        <v>473</v>
      </c>
      <c r="H12" s="78">
        <v>16000</v>
      </c>
      <c r="I12" s="42" t="s">
        <v>97</v>
      </c>
      <c r="J12" s="42" t="s">
        <v>97</v>
      </c>
      <c r="K12" s="11" t="s">
        <v>97</v>
      </c>
      <c r="L12" s="78" t="s">
        <v>97</v>
      </c>
      <c r="M12" s="12" t="s">
        <v>344</v>
      </c>
    </row>
    <row r="13" spans="1:13" x14ac:dyDescent="0.35">
      <c r="A13" s="415" t="s">
        <v>8</v>
      </c>
      <c r="B13" s="415"/>
      <c r="C13" s="415"/>
      <c r="D13" s="415"/>
      <c r="E13" s="415"/>
      <c r="F13" s="415"/>
      <c r="G13" s="415"/>
      <c r="H13" s="81">
        <f>SUM(H12:H12)</f>
        <v>16000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474</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452"/>
      <c r="C22" s="412"/>
      <c r="D22" s="412"/>
      <c r="E22" s="412"/>
      <c r="F22" s="26"/>
      <c r="G22" s="26"/>
      <c r="H22" s="26"/>
      <c r="I22" s="26"/>
      <c r="J22" s="26"/>
      <c r="K22" s="26"/>
      <c r="L22" s="26"/>
      <c r="M22" s="26"/>
    </row>
    <row r="23" spans="1:13" x14ac:dyDescent="0.35">
      <c r="A23" s="26"/>
      <c r="B23" s="412"/>
      <c r="C23" s="412"/>
      <c r="D23" s="412"/>
      <c r="E23" s="412"/>
      <c r="F23" s="26"/>
      <c r="G23" s="26"/>
      <c r="H23" s="26"/>
      <c r="I23" s="26"/>
      <c r="J23" s="26"/>
      <c r="K23" s="26"/>
      <c r="L23" s="26"/>
      <c r="M23" s="26"/>
    </row>
    <row r="24" spans="1:13" x14ac:dyDescent="0.35">
      <c r="A24" s="26"/>
      <c r="B24" s="412"/>
      <c r="C24" s="412"/>
      <c r="D24" s="412"/>
      <c r="E24" s="412"/>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3">
    <mergeCell ref="A44:B44"/>
    <mergeCell ref="C44:E44"/>
    <mergeCell ref="A45:B45"/>
    <mergeCell ref="C45:E45"/>
    <mergeCell ref="A36:B36"/>
    <mergeCell ref="E36:F36"/>
    <mergeCell ref="G36:H36"/>
    <mergeCell ref="A42:B42"/>
    <mergeCell ref="C42:E42"/>
    <mergeCell ref="A43:B43"/>
    <mergeCell ref="C43:E43"/>
    <mergeCell ref="A34:B34"/>
    <mergeCell ref="E34:F34"/>
    <mergeCell ref="G34:H34"/>
    <mergeCell ref="A35:B35"/>
    <mergeCell ref="E35:F35"/>
    <mergeCell ref="G35:H35"/>
    <mergeCell ref="B22:E24"/>
    <mergeCell ref="A32:B32"/>
    <mergeCell ref="E32:F32"/>
    <mergeCell ref="I32:J32"/>
    <mergeCell ref="A33:B33"/>
    <mergeCell ref="E33:F33"/>
    <mergeCell ref="G33:H33"/>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69"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E3F2-3E41-45EC-98D8-00CFCF9F755D}">
  <sheetPr>
    <pageSetUpPr fitToPage="1"/>
  </sheetPr>
  <dimension ref="A1:M45"/>
  <sheetViews>
    <sheetView topLeftCell="A34" workbookViewId="0">
      <selection sqref="A1:M45"/>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45915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476</v>
      </c>
      <c r="C12" s="86" t="s">
        <v>144</v>
      </c>
      <c r="D12" s="135">
        <v>817</v>
      </c>
      <c r="E12" s="87" t="s">
        <v>24</v>
      </c>
      <c r="F12" s="87" t="s">
        <v>44</v>
      </c>
      <c r="G12" s="136" t="s">
        <v>477</v>
      </c>
      <c r="H12" s="78">
        <v>60000</v>
      </c>
      <c r="I12" s="42" t="s">
        <v>97</v>
      </c>
      <c r="J12" s="42" t="s">
        <v>97</v>
      </c>
      <c r="K12" s="11" t="s">
        <v>97</v>
      </c>
      <c r="L12" s="78" t="s">
        <v>97</v>
      </c>
      <c r="M12" s="12" t="s">
        <v>344</v>
      </c>
    </row>
    <row r="13" spans="1:13" x14ac:dyDescent="0.35">
      <c r="A13" s="415" t="s">
        <v>8</v>
      </c>
      <c r="B13" s="415"/>
      <c r="C13" s="415"/>
      <c r="D13" s="415"/>
      <c r="E13" s="415"/>
      <c r="F13" s="415"/>
      <c r="G13" s="415"/>
      <c r="H13" s="81">
        <f>SUM(H12:H12)</f>
        <v>60000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459</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452"/>
      <c r="C22" s="412"/>
      <c r="D22" s="412"/>
      <c r="E22" s="412"/>
      <c r="F22" s="26"/>
      <c r="G22" s="26"/>
      <c r="H22" s="26"/>
      <c r="I22" s="26"/>
      <c r="J22" s="26"/>
      <c r="K22" s="26"/>
      <c r="L22" s="26"/>
      <c r="M22" s="26"/>
    </row>
    <row r="23" spans="1:13" x14ac:dyDescent="0.35">
      <c r="A23" s="26"/>
      <c r="B23" s="412"/>
      <c r="C23" s="412"/>
      <c r="D23" s="412"/>
      <c r="E23" s="412"/>
      <c r="F23" s="26"/>
      <c r="G23" s="26"/>
      <c r="H23" s="26"/>
      <c r="I23" s="26"/>
      <c r="J23" s="26"/>
      <c r="K23" s="26"/>
      <c r="L23" s="26"/>
      <c r="M23" s="26"/>
    </row>
    <row r="24" spans="1:13" x14ac:dyDescent="0.35">
      <c r="A24" s="26"/>
      <c r="B24" s="412"/>
      <c r="C24" s="412"/>
      <c r="D24" s="412"/>
      <c r="E24" s="412"/>
      <c r="F24" s="26"/>
      <c r="G24" s="26"/>
      <c r="H24" s="26"/>
      <c r="I24" s="26"/>
      <c r="J24" s="26"/>
      <c r="K24" s="26"/>
      <c r="L24" s="26"/>
      <c r="M24" s="26"/>
    </row>
    <row r="25" spans="1:13" x14ac:dyDescent="0.35">
      <c r="A25" s="26"/>
      <c r="B25" s="26"/>
      <c r="C25" s="26"/>
      <c r="D25" s="26"/>
      <c r="E25" s="26"/>
      <c r="F25" s="26"/>
      <c r="G25" s="26"/>
      <c r="H25" s="26"/>
      <c r="I25" s="26"/>
      <c r="J25" s="26"/>
      <c r="K25" s="26"/>
      <c r="L25" s="26"/>
      <c r="M25" s="26"/>
    </row>
    <row r="26" spans="1:13" x14ac:dyDescent="0.35">
      <c r="A26" s="26"/>
      <c r="B26" s="26"/>
      <c r="C26" s="26"/>
      <c r="D26" s="26"/>
      <c r="E26" s="26"/>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3">
    <mergeCell ref="A44:B44"/>
    <mergeCell ref="C44:E44"/>
    <mergeCell ref="A45:B45"/>
    <mergeCell ref="C45:E45"/>
    <mergeCell ref="A36:B36"/>
    <mergeCell ref="E36:F36"/>
    <mergeCell ref="G36:H36"/>
    <mergeCell ref="A42:B42"/>
    <mergeCell ref="C42:E42"/>
    <mergeCell ref="A43:B43"/>
    <mergeCell ref="C43:E43"/>
    <mergeCell ref="A34:B34"/>
    <mergeCell ref="E34:F34"/>
    <mergeCell ref="G34:H34"/>
    <mergeCell ref="A35:B35"/>
    <mergeCell ref="E35:F35"/>
    <mergeCell ref="G35:H35"/>
    <mergeCell ref="B22:E24"/>
    <mergeCell ref="A32:B32"/>
    <mergeCell ref="E32:F32"/>
    <mergeCell ref="I32:J32"/>
    <mergeCell ref="A33:B33"/>
    <mergeCell ref="E33:F33"/>
    <mergeCell ref="G33:H33"/>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0"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C016-E3BE-4E65-83CC-A05C402FABD9}">
  <sheetPr>
    <pageSetUpPr fitToPage="1"/>
  </sheetPr>
  <dimension ref="A1:M45"/>
  <sheetViews>
    <sheetView topLeftCell="A12" workbookViewId="0">
      <selection activeCell="B22" sqref="B22:E2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5" customHeight="1" x14ac:dyDescent="0.35">
      <c r="A1" s="402" t="s">
        <v>352</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45915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476</v>
      </c>
      <c r="C12" s="86" t="s">
        <v>144</v>
      </c>
      <c r="D12" s="135">
        <v>817</v>
      </c>
      <c r="E12" s="87" t="s">
        <v>24</v>
      </c>
      <c r="F12" s="87" t="s">
        <v>44</v>
      </c>
      <c r="G12" s="136" t="s">
        <v>477</v>
      </c>
      <c r="H12" s="78">
        <v>5000</v>
      </c>
      <c r="I12" s="42" t="s">
        <v>97</v>
      </c>
      <c r="J12" s="42" t="s">
        <v>97</v>
      </c>
      <c r="K12" s="11" t="s">
        <v>97</v>
      </c>
      <c r="L12" s="78" t="s">
        <v>97</v>
      </c>
      <c r="M12" s="12" t="s">
        <v>344</v>
      </c>
    </row>
    <row r="13" spans="1:13" x14ac:dyDescent="0.35">
      <c r="A13" s="415" t="s">
        <v>8</v>
      </c>
      <c r="B13" s="415"/>
      <c r="C13" s="415"/>
      <c r="D13" s="415"/>
      <c r="E13" s="415"/>
      <c r="F13" s="415"/>
      <c r="G13" s="415"/>
      <c r="H13" s="81">
        <f>SUM(H12:H12)</f>
        <v>5000</v>
      </c>
      <c r="I13" s="24"/>
      <c r="J13" s="25"/>
      <c r="K13" s="43"/>
      <c r="L13" s="26"/>
      <c r="M13" s="26"/>
    </row>
    <row r="14" spans="1:13" x14ac:dyDescent="0.35">
      <c r="A14" s="26"/>
      <c r="B14" s="26"/>
      <c r="C14" s="26"/>
      <c r="D14" s="26"/>
      <c r="E14" s="26"/>
      <c r="F14" s="26"/>
      <c r="G14" s="26"/>
      <c r="H14" s="26"/>
      <c r="I14" s="26"/>
      <c r="J14" s="26"/>
      <c r="K14" s="26"/>
      <c r="L14" s="26"/>
      <c r="M14" s="26"/>
    </row>
    <row r="15" spans="1:13" x14ac:dyDescent="0.35">
      <c r="A15" s="26"/>
      <c r="B15" s="26" t="s">
        <v>138</v>
      </c>
      <c r="C15" s="26"/>
      <c r="D15" s="26"/>
      <c r="E15" s="26"/>
      <c r="F15" s="26"/>
      <c r="G15" s="26"/>
      <c r="H15" s="26"/>
      <c r="I15" s="26"/>
      <c r="J15" s="26"/>
      <c r="K15" s="26"/>
      <c r="L15" s="26"/>
      <c r="M15" s="26"/>
    </row>
    <row r="16" spans="1:13" x14ac:dyDescent="0.35">
      <c r="A16" s="26"/>
      <c r="B16" s="26"/>
      <c r="C16" s="26"/>
      <c r="D16" s="26"/>
      <c r="E16" s="26"/>
      <c r="F16" s="26"/>
      <c r="G16" s="26"/>
      <c r="H16" s="26"/>
      <c r="I16" s="26"/>
      <c r="J16" s="26"/>
      <c r="K16" s="26"/>
      <c r="L16" s="26"/>
      <c r="M16" s="26"/>
    </row>
    <row r="17" spans="1:13" x14ac:dyDescent="0.35">
      <c r="A17" s="26"/>
      <c r="B17" s="26"/>
      <c r="C17" s="26"/>
      <c r="D17" s="26"/>
      <c r="E17" s="26"/>
      <c r="F17" s="26"/>
      <c r="G17" s="26"/>
      <c r="H17" s="26"/>
      <c r="I17" s="26"/>
      <c r="J17" s="26"/>
      <c r="K17" s="26"/>
      <c r="L17" s="26"/>
      <c r="M17" s="26"/>
    </row>
    <row r="18" spans="1:13" x14ac:dyDescent="0.35">
      <c r="A18" s="26"/>
      <c r="B18" s="26"/>
      <c r="C18" s="26"/>
      <c r="D18" s="26"/>
      <c r="E18" s="26"/>
      <c r="F18" s="26"/>
      <c r="G18" s="26"/>
      <c r="H18" s="26"/>
      <c r="I18" s="26"/>
      <c r="J18" s="26"/>
      <c r="K18" s="26"/>
      <c r="L18" s="26"/>
      <c r="M18" s="26"/>
    </row>
    <row r="19" spans="1:13" x14ac:dyDescent="0.35">
      <c r="A19" s="26"/>
      <c r="B19" s="26"/>
      <c r="C19" s="26"/>
      <c r="D19" s="26"/>
      <c r="E19" s="26"/>
      <c r="F19" s="26"/>
      <c r="G19" s="26"/>
      <c r="H19" s="26"/>
      <c r="I19" s="26"/>
      <c r="J19" s="26"/>
      <c r="K19" s="26"/>
      <c r="L19" s="26"/>
      <c r="M19" s="26"/>
    </row>
    <row r="20" spans="1:13" x14ac:dyDescent="0.35">
      <c r="A20" s="26"/>
      <c r="B20" s="26"/>
      <c r="C20" s="26"/>
      <c r="D20" s="26"/>
      <c r="E20" s="26"/>
      <c r="F20" s="26"/>
      <c r="G20" s="26"/>
      <c r="H20" s="26"/>
      <c r="I20" s="26"/>
      <c r="J20" s="26"/>
      <c r="K20" s="26"/>
      <c r="L20" s="26"/>
      <c r="M20" s="26"/>
    </row>
    <row r="21" spans="1:13" x14ac:dyDescent="0.35">
      <c r="A21" s="26"/>
      <c r="B21" s="26"/>
      <c r="C21" s="26"/>
      <c r="D21" s="26"/>
      <c r="E21" s="26"/>
      <c r="F21" s="26"/>
      <c r="G21" s="26"/>
      <c r="H21" s="26"/>
      <c r="I21" s="26"/>
      <c r="J21" s="26"/>
      <c r="K21" s="26"/>
      <c r="L21" s="26"/>
      <c r="M21" s="26"/>
    </row>
    <row r="22" spans="1:13" x14ac:dyDescent="0.35">
      <c r="A22" s="26"/>
      <c r="B22" s="457" t="s">
        <v>167</v>
      </c>
      <c r="C22" s="457"/>
      <c r="D22" s="457"/>
      <c r="E22" s="457"/>
      <c r="F22" s="26"/>
      <c r="G22" s="26"/>
      <c r="H22" s="26"/>
      <c r="I22" s="26"/>
      <c r="J22" s="26"/>
      <c r="K22" s="26"/>
      <c r="L22" s="26"/>
      <c r="M22" s="26"/>
    </row>
    <row r="23" spans="1:13" x14ac:dyDescent="0.35">
      <c r="A23" s="26"/>
      <c r="B23" s="48" t="s">
        <v>7</v>
      </c>
      <c r="C23" s="433" t="s">
        <v>304</v>
      </c>
      <c r="D23" s="433"/>
      <c r="E23" s="433"/>
      <c r="F23" s="26"/>
      <c r="G23" s="26"/>
      <c r="H23" s="26"/>
      <c r="I23" s="26"/>
      <c r="J23" s="26"/>
      <c r="K23" s="26"/>
      <c r="L23" s="26"/>
      <c r="M23" s="26"/>
    </row>
    <row r="24" spans="1:13" x14ac:dyDescent="0.35">
      <c r="A24" s="26"/>
      <c r="B24" s="48" t="s">
        <v>305</v>
      </c>
      <c r="C24" s="456" t="s">
        <v>306</v>
      </c>
      <c r="D24" s="456"/>
      <c r="E24" s="456"/>
      <c r="F24" s="26"/>
      <c r="G24" s="26"/>
      <c r="H24" s="26"/>
      <c r="I24" s="26"/>
      <c r="J24" s="26"/>
      <c r="K24" s="26"/>
      <c r="L24" s="26"/>
      <c r="M24" s="26"/>
    </row>
    <row r="25" spans="1:13" x14ac:dyDescent="0.35">
      <c r="A25" s="26"/>
      <c r="B25" s="48" t="s">
        <v>307</v>
      </c>
      <c r="C25" s="433" t="s">
        <v>308</v>
      </c>
      <c r="D25" s="433"/>
      <c r="E25" s="433"/>
      <c r="F25" s="26"/>
      <c r="G25" s="26"/>
      <c r="H25" s="26"/>
      <c r="I25" s="26"/>
      <c r="J25" s="26"/>
      <c r="K25" s="26"/>
      <c r="L25" s="26"/>
      <c r="M25" s="26"/>
    </row>
    <row r="26" spans="1:13" x14ac:dyDescent="0.35">
      <c r="A26" s="26"/>
      <c r="B26" s="59" t="s">
        <v>309</v>
      </c>
      <c r="C26" s="438" t="s">
        <v>310</v>
      </c>
      <c r="D26" s="438"/>
      <c r="E26" s="438"/>
      <c r="F26" s="26"/>
      <c r="G26" s="26"/>
      <c r="H26" s="26"/>
      <c r="I26" s="26"/>
      <c r="J26" s="26"/>
      <c r="K26" s="26"/>
      <c r="L26" s="26"/>
      <c r="M26" s="26"/>
    </row>
    <row r="27" spans="1:13" x14ac:dyDescent="0.35">
      <c r="A27" s="26"/>
      <c r="B27" s="26"/>
      <c r="C27" s="26"/>
      <c r="D27" s="26"/>
      <c r="E27" s="26"/>
      <c r="F27" s="26"/>
      <c r="G27" s="26"/>
      <c r="H27" s="26"/>
      <c r="I27" s="26"/>
      <c r="J27" s="26"/>
      <c r="K27" s="26"/>
      <c r="L27" s="26"/>
      <c r="M27" s="26"/>
    </row>
    <row r="28" spans="1:13" x14ac:dyDescent="0.35">
      <c r="A28" s="26"/>
      <c r="B28" s="26"/>
      <c r="C28" s="26"/>
      <c r="D28" s="26"/>
      <c r="E28" s="26"/>
      <c r="F28" s="26"/>
      <c r="G28" s="26"/>
      <c r="H28" s="26"/>
      <c r="I28" s="26"/>
      <c r="J28" s="26"/>
      <c r="K28" s="26"/>
      <c r="L28" s="26"/>
      <c r="M28" s="26"/>
    </row>
    <row r="29" spans="1:13" x14ac:dyDescent="0.35">
      <c r="A29" s="26"/>
      <c r="B29" s="26"/>
      <c r="C29" s="26"/>
      <c r="D29" s="26"/>
      <c r="E29" s="26"/>
      <c r="F29" s="26"/>
      <c r="G29" s="26"/>
      <c r="H29" s="26"/>
      <c r="I29" s="26"/>
      <c r="J29" s="26"/>
      <c r="K29" s="26"/>
      <c r="L29" s="26"/>
      <c r="M29" s="26"/>
    </row>
    <row r="30" spans="1:13" x14ac:dyDescent="0.35">
      <c r="A30" s="26"/>
      <c r="B30" s="26"/>
      <c r="C30" s="26"/>
      <c r="D30" s="26"/>
      <c r="E30" s="26"/>
      <c r="F30" s="26"/>
      <c r="G30" s="26"/>
      <c r="H30" s="26"/>
      <c r="I30" s="26"/>
      <c r="J30" s="26"/>
      <c r="K30" s="26"/>
      <c r="L30" s="26"/>
      <c r="M30" s="26"/>
    </row>
    <row r="31" spans="1:13" x14ac:dyDescent="0.35">
      <c r="A31" s="26"/>
      <c r="B31" s="26"/>
      <c r="C31" s="26"/>
      <c r="D31" s="26"/>
      <c r="E31" s="26"/>
      <c r="F31" s="26"/>
      <c r="G31" s="26"/>
      <c r="H31" s="26"/>
      <c r="I31" s="26"/>
      <c r="J31" s="26"/>
      <c r="K31" s="26"/>
      <c r="L31" s="26"/>
      <c r="M31" s="26"/>
    </row>
    <row r="32" spans="1:13" ht="15" thickBot="1" x14ac:dyDescent="0.4">
      <c r="A32" s="420" t="s">
        <v>66</v>
      </c>
      <c r="B32" s="420"/>
      <c r="C32" s="26"/>
      <c r="D32" s="26"/>
      <c r="E32" s="407" t="s">
        <v>67</v>
      </c>
      <c r="F32" s="407"/>
      <c r="G32" s="49"/>
      <c r="H32" s="49"/>
      <c r="I32" s="408"/>
      <c r="J32" s="408"/>
      <c r="K32" s="28"/>
      <c r="L32" s="29"/>
      <c r="M32" s="29"/>
    </row>
    <row r="33" spans="1:13" ht="15" thickTop="1" x14ac:dyDescent="0.35">
      <c r="A33" s="421" t="s">
        <v>69</v>
      </c>
      <c r="B33" s="421"/>
      <c r="D33" s="30"/>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2" t="s">
        <v>94</v>
      </c>
      <c r="B35" s="412"/>
      <c r="D35" s="34"/>
      <c r="E35" s="414" t="s">
        <v>78</v>
      </c>
      <c r="F35" s="414"/>
      <c r="G35" s="414" t="s">
        <v>414</v>
      </c>
      <c r="H35" s="414"/>
      <c r="I35" s="33"/>
      <c r="J35" s="33"/>
      <c r="K35" s="33" t="s">
        <v>80</v>
      </c>
      <c r="L35" s="34"/>
      <c r="M35" s="34"/>
    </row>
    <row r="36" spans="1:13" x14ac:dyDescent="0.35">
      <c r="A36" s="412" t="s">
        <v>76</v>
      </c>
      <c r="B36" s="412"/>
      <c r="D36" s="34"/>
      <c r="E36" s="412" t="s">
        <v>76</v>
      </c>
      <c r="F36" s="412"/>
      <c r="G36" s="412" t="s">
        <v>76</v>
      </c>
      <c r="H36" s="412"/>
      <c r="I36" s="33"/>
      <c r="J36" s="33"/>
      <c r="K36" s="33"/>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7">
    <mergeCell ref="A44:B44"/>
    <mergeCell ref="C44:E44"/>
    <mergeCell ref="A45:B45"/>
    <mergeCell ref="C45:E45"/>
    <mergeCell ref="B22:E22"/>
    <mergeCell ref="C23:E23"/>
    <mergeCell ref="C24:E24"/>
    <mergeCell ref="C25:E25"/>
    <mergeCell ref="C26:E26"/>
    <mergeCell ref="A36:B36"/>
    <mergeCell ref="E36:F36"/>
    <mergeCell ref="A34:B34"/>
    <mergeCell ref="E34:F34"/>
    <mergeCell ref="G36:H36"/>
    <mergeCell ref="A42:B42"/>
    <mergeCell ref="C42:E42"/>
    <mergeCell ref="A43:B43"/>
    <mergeCell ref="C43:E43"/>
    <mergeCell ref="G34:H34"/>
    <mergeCell ref="A35:B35"/>
    <mergeCell ref="E35:F35"/>
    <mergeCell ref="G35:H35"/>
    <mergeCell ref="A32:B32"/>
    <mergeCell ref="E32:F32"/>
    <mergeCell ref="I32:J32"/>
    <mergeCell ref="A33:B33"/>
    <mergeCell ref="E33:F33"/>
    <mergeCell ref="G33:H33"/>
    <mergeCell ref="A8:B8"/>
    <mergeCell ref="C8:M8"/>
    <mergeCell ref="A9:B9"/>
    <mergeCell ref="C9:M9"/>
    <mergeCell ref="A10:M10"/>
    <mergeCell ref="A13:G13"/>
    <mergeCell ref="A5:B5"/>
    <mergeCell ref="C5:M5"/>
    <mergeCell ref="A6:B6"/>
    <mergeCell ref="C6:M6"/>
    <mergeCell ref="A7:B7"/>
    <mergeCell ref="C7:M7"/>
    <mergeCell ref="A4:B4"/>
    <mergeCell ref="C4:M4"/>
    <mergeCell ref="A1:M1"/>
    <mergeCell ref="A2:B2"/>
    <mergeCell ref="C2:M2"/>
    <mergeCell ref="A3:B3"/>
    <mergeCell ref="C3:M3"/>
  </mergeCells>
  <pageMargins left="0.25" right="0.25" top="0.75" bottom="0.75" header="0.3" footer="0.3"/>
  <pageSetup scale="70" orientation="landscape"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3519-0EE3-4476-BFBE-E79EDF6325CA}">
  <sheetPr>
    <pageSetUpPr fitToPage="1"/>
  </sheetPr>
  <dimension ref="A1:M54"/>
  <sheetViews>
    <sheetView topLeftCell="A18" workbookViewId="0">
      <selection activeCell="B17" sqref="B1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478</v>
      </c>
      <c r="D4" s="394"/>
      <c r="E4" s="394"/>
      <c r="F4" s="394"/>
      <c r="G4" s="394"/>
      <c r="H4" s="394"/>
      <c r="I4" s="394"/>
      <c r="J4" s="394"/>
      <c r="K4" s="394"/>
      <c r="L4" s="394"/>
      <c r="M4" s="395"/>
    </row>
    <row r="5" spans="1:13" x14ac:dyDescent="0.35">
      <c r="A5" s="384" t="s">
        <v>5</v>
      </c>
      <c r="B5" s="385"/>
      <c r="C5" s="387">
        <v>45918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H34</f>
        <v>594000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479</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37189</v>
      </c>
      <c r="J12" s="82">
        <v>54689</v>
      </c>
      <c r="K12" s="11">
        <v>45908</v>
      </c>
      <c r="L12" s="79">
        <v>60000</v>
      </c>
      <c r="M12" s="84" t="s">
        <v>176</v>
      </c>
    </row>
    <row r="13" spans="1:13" x14ac:dyDescent="0.35">
      <c r="A13" s="5">
        <v>2</v>
      </c>
      <c r="B13" s="71" t="s">
        <v>227</v>
      </c>
      <c r="C13" s="72" t="s">
        <v>49</v>
      </c>
      <c r="D13" s="73" t="s">
        <v>54</v>
      </c>
      <c r="E13" s="44" t="s">
        <v>24</v>
      </c>
      <c r="F13" s="44" t="s">
        <v>25</v>
      </c>
      <c r="G13" s="73" t="s">
        <v>55</v>
      </c>
      <c r="H13" s="80">
        <v>20000</v>
      </c>
      <c r="I13" s="10">
        <v>16179</v>
      </c>
      <c r="J13" s="10">
        <v>19679</v>
      </c>
      <c r="K13" s="11">
        <v>45911</v>
      </c>
      <c r="L13" s="80">
        <v>20000</v>
      </c>
      <c r="M13" s="17" t="s">
        <v>204</v>
      </c>
    </row>
    <row r="14" spans="1:13" x14ac:dyDescent="0.35">
      <c r="A14" s="5">
        <v>3</v>
      </c>
      <c r="B14" s="16" t="s">
        <v>231</v>
      </c>
      <c r="C14" s="7" t="s">
        <v>49</v>
      </c>
      <c r="D14" s="8" t="s">
        <v>60</v>
      </c>
      <c r="E14" s="5" t="s">
        <v>24</v>
      </c>
      <c r="F14" s="5" t="s">
        <v>25</v>
      </c>
      <c r="G14" s="8" t="s">
        <v>61</v>
      </c>
      <c r="H14" s="80">
        <v>20000</v>
      </c>
      <c r="I14" s="10">
        <v>20916</v>
      </c>
      <c r="J14" s="10">
        <v>28416</v>
      </c>
      <c r="K14" s="11">
        <v>45903</v>
      </c>
      <c r="L14" s="80">
        <v>10000</v>
      </c>
      <c r="M14" s="17" t="s">
        <v>132</v>
      </c>
    </row>
    <row r="15" spans="1:13" x14ac:dyDescent="0.35">
      <c r="A15" s="5">
        <v>4</v>
      </c>
      <c r="B15" s="71" t="s">
        <v>229</v>
      </c>
      <c r="C15" s="72" t="s">
        <v>49</v>
      </c>
      <c r="D15" s="44" t="s">
        <v>47</v>
      </c>
      <c r="E15" s="44" t="s">
        <v>24</v>
      </c>
      <c r="F15" s="44" t="s">
        <v>25</v>
      </c>
      <c r="G15" s="44" t="s">
        <v>102</v>
      </c>
      <c r="H15" s="80">
        <v>20000</v>
      </c>
      <c r="I15" s="10">
        <v>15514</v>
      </c>
      <c r="J15" s="10">
        <v>25527</v>
      </c>
      <c r="K15" s="11">
        <v>45904</v>
      </c>
      <c r="L15" s="80">
        <v>10000</v>
      </c>
      <c r="M15" s="17" t="s">
        <v>204</v>
      </c>
    </row>
    <row r="16" spans="1:13" x14ac:dyDescent="0.35">
      <c r="A16" s="5">
        <v>5</v>
      </c>
      <c r="B16" s="16" t="s">
        <v>230</v>
      </c>
      <c r="C16" s="7" t="s">
        <v>49</v>
      </c>
      <c r="D16" s="8" t="s">
        <v>50</v>
      </c>
      <c r="E16" s="5" t="s">
        <v>24</v>
      </c>
      <c r="F16" s="5" t="s">
        <v>25</v>
      </c>
      <c r="G16" s="8" t="s">
        <v>51</v>
      </c>
      <c r="H16" s="80">
        <v>15000</v>
      </c>
      <c r="I16" s="10">
        <v>31989</v>
      </c>
      <c r="J16" s="10">
        <v>39489</v>
      </c>
      <c r="K16" s="11">
        <v>45903</v>
      </c>
      <c r="L16" s="80">
        <v>15000</v>
      </c>
      <c r="M16" s="17" t="s">
        <v>132</v>
      </c>
    </row>
    <row r="17" spans="1:13" x14ac:dyDescent="0.35">
      <c r="A17" s="5">
        <v>6</v>
      </c>
      <c r="B17" s="71" t="s">
        <v>232</v>
      </c>
      <c r="C17" s="72" t="s">
        <v>233</v>
      </c>
      <c r="D17" s="44" t="s">
        <v>234</v>
      </c>
      <c r="E17" s="5" t="s">
        <v>24</v>
      </c>
      <c r="F17" s="5" t="s">
        <v>25</v>
      </c>
      <c r="G17" s="44" t="s">
        <v>235</v>
      </c>
      <c r="H17" s="80">
        <v>80000</v>
      </c>
      <c r="I17" s="10">
        <v>52900</v>
      </c>
      <c r="J17" s="10">
        <v>90408</v>
      </c>
      <c r="K17" s="11">
        <v>45903</v>
      </c>
      <c r="L17" s="80">
        <v>65000</v>
      </c>
      <c r="M17" s="17" t="s">
        <v>236</v>
      </c>
    </row>
    <row r="18" spans="1:13" x14ac:dyDescent="0.35">
      <c r="A18" s="5">
        <v>7</v>
      </c>
      <c r="B18" s="71" t="s">
        <v>26</v>
      </c>
      <c r="C18" s="72" t="s">
        <v>23</v>
      </c>
      <c r="D18" s="73" t="s">
        <v>27</v>
      </c>
      <c r="E18" s="44" t="s">
        <v>24</v>
      </c>
      <c r="F18" s="44" t="s">
        <v>25</v>
      </c>
      <c r="G18" s="73" t="s">
        <v>28</v>
      </c>
      <c r="H18" s="80">
        <v>12000</v>
      </c>
      <c r="I18" s="10">
        <v>28000</v>
      </c>
      <c r="J18" s="10">
        <v>35562</v>
      </c>
      <c r="K18" s="11">
        <v>45908</v>
      </c>
      <c r="L18" s="80">
        <v>25000</v>
      </c>
      <c r="M18" s="17" t="s">
        <v>154</v>
      </c>
    </row>
    <row r="19" spans="1:13" x14ac:dyDescent="0.35">
      <c r="A19" s="5">
        <v>8</v>
      </c>
      <c r="B19" s="71" t="s">
        <v>30</v>
      </c>
      <c r="C19" s="72" t="s">
        <v>23</v>
      </c>
      <c r="D19" s="44" t="s">
        <v>31</v>
      </c>
      <c r="E19" s="44" t="s">
        <v>32</v>
      </c>
      <c r="F19" s="44" t="s">
        <v>25</v>
      </c>
      <c r="G19" s="44" t="s">
        <v>33</v>
      </c>
      <c r="H19" s="80">
        <v>50000</v>
      </c>
      <c r="I19" s="10">
        <v>49088</v>
      </c>
      <c r="J19" s="10">
        <v>72180</v>
      </c>
      <c r="K19" s="11">
        <v>45907</v>
      </c>
      <c r="L19" s="80">
        <v>50000</v>
      </c>
      <c r="M19" s="17" t="s">
        <v>104</v>
      </c>
    </row>
    <row r="20" spans="1:13" x14ac:dyDescent="0.35">
      <c r="A20" s="5">
        <v>9</v>
      </c>
      <c r="B20" s="71" t="s">
        <v>22</v>
      </c>
      <c r="C20" s="72" t="s">
        <v>23</v>
      </c>
      <c r="D20" s="44" t="s">
        <v>205</v>
      </c>
      <c r="E20" s="44" t="s">
        <v>24</v>
      </c>
      <c r="F20" s="44" t="s">
        <v>25</v>
      </c>
      <c r="G20" s="44" t="s">
        <v>105</v>
      </c>
      <c r="H20" s="80">
        <v>30000</v>
      </c>
      <c r="I20" s="10">
        <v>18565</v>
      </c>
      <c r="J20" s="10">
        <v>26565</v>
      </c>
      <c r="K20" s="11">
        <v>45907</v>
      </c>
      <c r="L20" s="80">
        <v>23000</v>
      </c>
      <c r="M20" s="17" t="s">
        <v>96</v>
      </c>
    </row>
    <row r="21" spans="1:13" x14ac:dyDescent="0.35">
      <c r="A21" s="5">
        <v>10</v>
      </c>
      <c r="B21" s="71" t="s">
        <v>36</v>
      </c>
      <c r="C21" s="72" t="s">
        <v>23</v>
      </c>
      <c r="D21" s="44">
        <v>1311</v>
      </c>
      <c r="E21" s="44" t="s">
        <v>24</v>
      </c>
      <c r="F21" s="44" t="s">
        <v>25</v>
      </c>
      <c r="G21" s="73" t="s">
        <v>37</v>
      </c>
      <c r="H21" s="80">
        <v>10000</v>
      </c>
      <c r="I21" s="10">
        <v>10100</v>
      </c>
      <c r="J21" s="10">
        <v>15988</v>
      </c>
      <c r="K21" s="11">
        <v>45907</v>
      </c>
      <c r="L21" s="80">
        <v>10000</v>
      </c>
      <c r="M21" s="17" t="s">
        <v>204</v>
      </c>
    </row>
    <row r="22" spans="1:13" x14ac:dyDescent="0.35">
      <c r="A22" s="5">
        <v>11</v>
      </c>
      <c r="B22" s="71" t="s">
        <v>38</v>
      </c>
      <c r="C22" s="72" t="s">
        <v>23</v>
      </c>
      <c r="D22" s="73" t="s">
        <v>39</v>
      </c>
      <c r="E22" s="44" t="s">
        <v>24</v>
      </c>
      <c r="F22" s="44" t="s">
        <v>25</v>
      </c>
      <c r="G22" s="73" t="s">
        <v>40</v>
      </c>
      <c r="H22" s="80">
        <v>10000</v>
      </c>
      <c r="I22" s="10">
        <v>8500</v>
      </c>
      <c r="J22" s="10">
        <v>16566</v>
      </c>
      <c r="K22" s="11">
        <v>45907</v>
      </c>
      <c r="L22" s="80">
        <v>8000</v>
      </c>
      <c r="M22" s="17" t="s">
        <v>154</v>
      </c>
    </row>
    <row r="23" spans="1:13" x14ac:dyDescent="0.35">
      <c r="A23" s="5">
        <v>12</v>
      </c>
      <c r="B23" s="6" t="s">
        <v>34</v>
      </c>
      <c r="C23" s="14" t="s">
        <v>23</v>
      </c>
      <c r="D23" s="15">
        <v>1149</v>
      </c>
      <c r="E23" s="15" t="s">
        <v>24</v>
      </c>
      <c r="F23" s="15" t="s">
        <v>25</v>
      </c>
      <c r="G23" s="13" t="s">
        <v>35</v>
      </c>
      <c r="H23" s="80">
        <v>15000</v>
      </c>
      <c r="I23" s="10">
        <v>9324</v>
      </c>
      <c r="J23" s="10">
        <v>13852</v>
      </c>
      <c r="K23" s="11">
        <v>45907</v>
      </c>
      <c r="L23" s="80">
        <v>12000</v>
      </c>
      <c r="M23" s="17" t="s">
        <v>154</v>
      </c>
    </row>
    <row r="24" spans="1:13" x14ac:dyDescent="0.35">
      <c r="A24" s="5">
        <v>13</v>
      </c>
      <c r="B24" s="97" t="s">
        <v>293</v>
      </c>
      <c r="C24" s="98" t="s">
        <v>23</v>
      </c>
      <c r="D24">
        <v>815</v>
      </c>
      <c r="E24" s="99" t="s">
        <v>24</v>
      </c>
      <c r="F24" s="99" t="s">
        <v>130</v>
      </c>
      <c r="G24" s="100" t="s">
        <v>287</v>
      </c>
      <c r="H24" s="145">
        <v>22000</v>
      </c>
      <c r="I24" s="102">
        <v>19968</v>
      </c>
      <c r="J24" s="102">
        <v>35964</v>
      </c>
      <c r="K24" s="103">
        <v>45908</v>
      </c>
      <c r="L24" s="122">
        <v>25000</v>
      </c>
      <c r="M24" s="64" t="s">
        <v>132</v>
      </c>
    </row>
    <row r="25" spans="1:13" x14ac:dyDescent="0.35">
      <c r="A25" s="5">
        <v>14</v>
      </c>
      <c r="B25" s="14" t="s">
        <v>373</v>
      </c>
      <c r="C25" s="7" t="s">
        <v>23</v>
      </c>
      <c r="D25" s="8">
        <v>1161</v>
      </c>
      <c r="E25" s="5" t="s">
        <v>24</v>
      </c>
      <c r="F25" s="5" t="s">
        <v>25</v>
      </c>
      <c r="G25" s="125" t="s">
        <v>374</v>
      </c>
      <c r="H25" s="145">
        <v>16000</v>
      </c>
      <c r="I25" s="10">
        <v>13582</v>
      </c>
      <c r="J25" s="10">
        <v>18382</v>
      </c>
      <c r="K25" s="124">
        <v>45910</v>
      </c>
      <c r="L25" s="122">
        <v>10000</v>
      </c>
      <c r="M25" s="48" t="s">
        <v>375</v>
      </c>
    </row>
    <row r="26" spans="1:13" x14ac:dyDescent="0.35">
      <c r="A26" s="5">
        <v>15</v>
      </c>
      <c r="B26" s="14" t="s">
        <v>398</v>
      </c>
      <c r="C26" s="7" t="s">
        <v>23</v>
      </c>
      <c r="D26" s="8">
        <v>741</v>
      </c>
      <c r="E26" s="5" t="s">
        <v>24</v>
      </c>
      <c r="F26" s="5" t="s">
        <v>25</v>
      </c>
      <c r="G26" s="125" t="s">
        <v>399</v>
      </c>
      <c r="H26" s="146">
        <v>7000</v>
      </c>
      <c r="I26" s="10">
        <v>20136</v>
      </c>
      <c r="J26" s="10">
        <v>25873</v>
      </c>
      <c r="K26" s="123">
        <v>45910</v>
      </c>
      <c r="L26" s="122">
        <v>7000</v>
      </c>
      <c r="M26" s="17" t="s">
        <v>204</v>
      </c>
    </row>
    <row r="27" spans="1:13" x14ac:dyDescent="0.35">
      <c r="A27" s="5">
        <v>16</v>
      </c>
      <c r="B27" s="71" t="s">
        <v>155</v>
      </c>
      <c r="C27" s="72" t="s">
        <v>23</v>
      </c>
      <c r="D27" s="73">
        <v>731</v>
      </c>
      <c r="E27" s="44" t="s">
        <v>24</v>
      </c>
      <c r="F27" s="44" t="s">
        <v>25</v>
      </c>
      <c r="G27" s="73" t="s">
        <v>131</v>
      </c>
      <c r="H27" s="80">
        <v>5000</v>
      </c>
      <c r="I27" s="10">
        <v>22016</v>
      </c>
      <c r="J27" s="10">
        <v>26974</v>
      </c>
      <c r="K27" s="11">
        <v>45910</v>
      </c>
      <c r="L27" s="80">
        <v>10000</v>
      </c>
      <c r="M27" s="17" t="s">
        <v>154</v>
      </c>
    </row>
    <row r="28" spans="1:13" x14ac:dyDescent="0.35">
      <c r="A28" s="5">
        <v>17</v>
      </c>
      <c r="B28" s="71" t="s">
        <v>450</v>
      </c>
      <c r="C28" s="72" t="s">
        <v>23</v>
      </c>
      <c r="D28" s="73" t="s">
        <v>451</v>
      </c>
      <c r="E28" s="44" t="s">
        <v>24</v>
      </c>
      <c r="F28" s="44" t="s">
        <v>130</v>
      </c>
      <c r="G28" s="73" t="s">
        <v>452</v>
      </c>
      <c r="H28" s="80">
        <v>18000</v>
      </c>
      <c r="I28" s="10">
        <v>21110</v>
      </c>
      <c r="J28" s="10">
        <v>28814</v>
      </c>
      <c r="K28" s="11">
        <v>45905</v>
      </c>
      <c r="L28" s="80">
        <v>20000</v>
      </c>
      <c r="M28" s="17" t="s">
        <v>364</v>
      </c>
    </row>
    <row r="29" spans="1:13" x14ac:dyDescent="0.35">
      <c r="A29" s="5">
        <v>18</v>
      </c>
      <c r="B29" s="71" t="s">
        <v>457</v>
      </c>
      <c r="C29" s="72" t="s">
        <v>23</v>
      </c>
      <c r="D29" s="73" t="s">
        <v>444</v>
      </c>
      <c r="E29" s="44" t="s">
        <v>24</v>
      </c>
      <c r="F29" s="44" t="s">
        <v>130</v>
      </c>
      <c r="G29" s="73" t="s">
        <v>458</v>
      </c>
      <c r="H29" s="80">
        <v>55000</v>
      </c>
      <c r="I29" s="10">
        <v>45130</v>
      </c>
      <c r="J29" s="10">
        <v>67394</v>
      </c>
      <c r="K29" s="11">
        <v>45905</v>
      </c>
      <c r="L29" s="80">
        <v>60000</v>
      </c>
      <c r="M29" s="134" t="s">
        <v>104</v>
      </c>
    </row>
    <row r="30" spans="1:13" x14ac:dyDescent="0.35">
      <c r="A30" s="5">
        <v>19</v>
      </c>
      <c r="B30" s="85" t="s">
        <v>472</v>
      </c>
      <c r="C30" s="86" t="s">
        <v>23</v>
      </c>
      <c r="D30" s="135">
        <v>1170</v>
      </c>
      <c r="E30" s="87" t="s">
        <v>24</v>
      </c>
      <c r="F30" s="87" t="s">
        <v>130</v>
      </c>
      <c r="G30" s="136" t="s">
        <v>473</v>
      </c>
      <c r="H30" s="80">
        <v>16000</v>
      </c>
      <c r="I30" s="10">
        <v>1000</v>
      </c>
      <c r="J30" s="10">
        <v>4196</v>
      </c>
      <c r="K30" s="11">
        <v>45897</v>
      </c>
      <c r="L30" s="80">
        <v>16000</v>
      </c>
      <c r="M30" s="134" t="s">
        <v>204</v>
      </c>
    </row>
    <row r="31" spans="1:13" x14ac:dyDescent="0.35">
      <c r="A31" s="5">
        <v>20</v>
      </c>
      <c r="B31" s="71" t="s">
        <v>419</v>
      </c>
      <c r="C31" s="72" t="s">
        <v>144</v>
      </c>
      <c r="D31" s="73" t="s">
        <v>424</v>
      </c>
      <c r="E31" s="44" t="s">
        <v>24</v>
      </c>
      <c r="F31" s="44" t="s">
        <v>44</v>
      </c>
      <c r="G31" s="73" t="s">
        <v>421</v>
      </c>
      <c r="H31" s="80">
        <v>50000</v>
      </c>
      <c r="I31" s="10">
        <v>32464</v>
      </c>
      <c r="J31" s="10">
        <v>41998</v>
      </c>
      <c r="K31" s="11">
        <v>45909</v>
      </c>
      <c r="L31" s="80">
        <v>40000</v>
      </c>
      <c r="M31" s="17" t="s">
        <v>453</v>
      </c>
    </row>
    <row r="32" spans="1:13" x14ac:dyDescent="0.35">
      <c r="A32" s="5">
        <v>21</v>
      </c>
      <c r="B32" s="74" t="s">
        <v>330</v>
      </c>
      <c r="C32" s="72" t="s">
        <v>144</v>
      </c>
      <c r="D32" s="73" t="s">
        <v>43</v>
      </c>
      <c r="E32" s="44" t="s">
        <v>24</v>
      </c>
      <c r="F32" s="44" t="s">
        <v>44</v>
      </c>
      <c r="G32" s="44">
        <v>24024723</v>
      </c>
      <c r="H32" s="78">
        <v>40000</v>
      </c>
      <c r="I32" s="42">
        <v>57726</v>
      </c>
      <c r="J32" s="42">
        <v>74178</v>
      </c>
      <c r="K32" s="11">
        <v>45902</v>
      </c>
      <c r="L32" s="78">
        <v>30000</v>
      </c>
      <c r="M32" s="12" t="s">
        <v>365</v>
      </c>
    </row>
    <row r="33" spans="1:13" x14ac:dyDescent="0.35">
      <c r="A33" s="5">
        <v>23</v>
      </c>
      <c r="B33" s="85" t="s">
        <v>331</v>
      </c>
      <c r="C33" s="86" t="s">
        <v>332</v>
      </c>
      <c r="D33" s="53" t="s">
        <v>333</v>
      </c>
      <c r="E33" s="87" t="s">
        <v>24</v>
      </c>
      <c r="F33" s="87" t="s">
        <v>44</v>
      </c>
      <c r="G33" s="87" t="s">
        <v>335</v>
      </c>
      <c r="H33" s="78">
        <v>23000</v>
      </c>
      <c r="I33" s="42">
        <v>15785</v>
      </c>
      <c r="J33" s="42">
        <v>22899</v>
      </c>
      <c r="K33" s="11">
        <v>45907</v>
      </c>
      <c r="L33" s="78">
        <v>22000</v>
      </c>
      <c r="M33" s="12" t="s">
        <v>406</v>
      </c>
    </row>
    <row r="34" spans="1:13" x14ac:dyDescent="0.35">
      <c r="A34" s="415" t="s">
        <v>8</v>
      </c>
      <c r="B34" s="415"/>
      <c r="C34" s="415"/>
      <c r="D34" s="415"/>
      <c r="E34" s="415"/>
      <c r="F34" s="415"/>
      <c r="G34" s="415"/>
      <c r="H34" s="81">
        <f>SUM(H12:H33)</f>
        <v>594000</v>
      </c>
      <c r="I34" s="24"/>
      <c r="J34" s="25"/>
      <c r="K34" s="43"/>
      <c r="L34" s="26"/>
      <c r="M34" s="26"/>
    </row>
    <row r="35" spans="1:13" x14ac:dyDescent="0.35">
      <c r="A35" s="26"/>
      <c r="B35" s="26"/>
      <c r="C35" s="26"/>
      <c r="D35" s="26"/>
      <c r="E35" s="26"/>
      <c r="F35" s="26"/>
      <c r="G35" s="26"/>
      <c r="H35" s="26"/>
      <c r="I35" s="26"/>
      <c r="J35" s="26"/>
      <c r="K35" s="26"/>
      <c r="L35" s="26"/>
      <c r="M35" s="26"/>
    </row>
    <row r="36" spans="1:13" x14ac:dyDescent="0.35">
      <c r="A36" s="26"/>
      <c r="B36" s="26" t="s">
        <v>480</v>
      </c>
      <c r="C36" s="26"/>
      <c r="D36" s="26"/>
      <c r="E36" s="26"/>
      <c r="F36" s="26"/>
      <c r="G36" s="26"/>
      <c r="H36" s="26"/>
      <c r="I36" s="26"/>
      <c r="J36" s="26"/>
      <c r="K36" s="26"/>
      <c r="L36" s="26"/>
      <c r="M36" s="26"/>
    </row>
    <row r="37" spans="1:13" x14ac:dyDescent="0.35">
      <c r="A37" s="26"/>
      <c r="B37" s="26"/>
      <c r="C37" s="26"/>
      <c r="D37" s="26"/>
      <c r="E37" s="26"/>
      <c r="F37" s="26"/>
      <c r="G37" s="26"/>
      <c r="H37" s="26"/>
      <c r="I37" s="26"/>
      <c r="J37" s="26"/>
      <c r="K37" s="26"/>
      <c r="L37" s="26"/>
      <c r="M37" s="26"/>
    </row>
    <row r="38" spans="1:13" x14ac:dyDescent="0.35">
      <c r="A38" s="26"/>
      <c r="B38" s="26"/>
      <c r="C38" s="26"/>
      <c r="D38" s="26"/>
      <c r="E38" s="26"/>
      <c r="F38" s="26"/>
      <c r="G38" s="26"/>
      <c r="H38" s="26"/>
      <c r="I38" s="26"/>
      <c r="J38" s="26"/>
      <c r="K38" s="26"/>
      <c r="L38" s="26"/>
      <c r="M38" s="26"/>
    </row>
    <row r="39" spans="1:13" x14ac:dyDescent="0.35">
      <c r="A39" s="26"/>
      <c r="B39" s="26"/>
      <c r="C39" s="26"/>
      <c r="D39" s="26"/>
      <c r="E39" s="26"/>
      <c r="F39" s="26"/>
      <c r="G39" s="26"/>
      <c r="H39" s="26"/>
      <c r="I39" s="26"/>
      <c r="J39" s="26"/>
      <c r="K39" s="26"/>
      <c r="L39" s="26"/>
      <c r="M39" s="26"/>
    </row>
    <row r="40" spans="1:13" x14ac:dyDescent="0.35">
      <c r="A40" s="26"/>
      <c r="B40" s="26"/>
      <c r="C40" s="26"/>
      <c r="D40" s="26"/>
      <c r="E40" s="26"/>
      <c r="F40" s="26"/>
      <c r="G40" s="26"/>
      <c r="H40" s="26"/>
      <c r="I40" s="26"/>
      <c r="J40" s="26"/>
      <c r="K40" s="26"/>
      <c r="L40" s="26"/>
      <c r="M40" s="26"/>
    </row>
    <row r="41" spans="1:13" ht="15" thickBot="1" x14ac:dyDescent="0.4">
      <c r="A41" s="420" t="s">
        <v>66</v>
      </c>
      <c r="B41" s="420"/>
      <c r="C41" s="26"/>
      <c r="D41" s="26"/>
      <c r="E41" s="407" t="s">
        <v>67</v>
      </c>
      <c r="F41" s="407"/>
      <c r="G41" s="49"/>
      <c r="H41" s="49"/>
      <c r="I41" s="408"/>
      <c r="J41" s="408"/>
      <c r="K41" s="28"/>
      <c r="L41" s="29"/>
      <c r="M41" s="29"/>
    </row>
    <row r="42" spans="1:13" ht="15" thickTop="1" x14ac:dyDescent="0.35">
      <c r="A42" s="421" t="s">
        <v>69</v>
      </c>
      <c r="B42" s="421"/>
      <c r="D42" s="30"/>
      <c r="E42" s="410" t="s">
        <v>70</v>
      </c>
      <c r="F42" s="410"/>
      <c r="G42" s="410" t="s">
        <v>71</v>
      </c>
      <c r="H42" s="410"/>
      <c r="I42" s="29"/>
      <c r="J42" s="29"/>
      <c r="K42" s="29" t="s">
        <v>72</v>
      </c>
      <c r="L42" s="31"/>
      <c r="M42" s="31"/>
    </row>
    <row r="43" spans="1:13" x14ac:dyDescent="0.35">
      <c r="A43" s="414" t="s">
        <v>92</v>
      </c>
      <c r="B43" s="414"/>
      <c r="D43" s="32"/>
      <c r="E43" s="414" t="s">
        <v>73</v>
      </c>
      <c r="F43" s="414"/>
      <c r="G43" s="414" t="s">
        <v>74</v>
      </c>
      <c r="H43" s="414"/>
      <c r="I43" s="31"/>
      <c r="J43" s="31"/>
      <c r="K43" s="31" t="s">
        <v>75</v>
      </c>
      <c r="L43" s="33"/>
      <c r="M43" s="33"/>
    </row>
    <row r="44" spans="1:13" x14ac:dyDescent="0.35">
      <c r="A44" s="412" t="s">
        <v>94</v>
      </c>
      <c r="B44" s="412"/>
      <c r="D44" s="34"/>
      <c r="E44" s="414" t="s">
        <v>78</v>
      </c>
      <c r="F44" s="414"/>
      <c r="G44" s="414" t="s">
        <v>414</v>
      </c>
      <c r="H44" s="414"/>
      <c r="I44" s="33"/>
      <c r="J44" s="33"/>
      <c r="K44" s="33" t="s">
        <v>80</v>
      </c>
      <c r="L44" s="34"/>
      <c r="M44" s="34"/>
    </row>
    <row r="45" spans="1:13" x14ac:dyDescent="0.35">
      <c r="A45" s="412" t="s">
        <v>76</v>
      </c>
      <c r="B45" s="412"/>
      <c r="D45" s="34"/>
      <c r="E45" s="412" t="s">
        <v>76</v>
      </c>
      <c r="F45" s="412"/>
      <c r="G45" s="412" t="s">
        <v>76</v>
      </c>
      <c r="H45" s="412"/>
      <c r="I45" s="33"/>
      <c r="J45" s="33"/>
      <c r="K45" s="33"/>
    </row>
    <row r="50" spans="1:5" ht="15" thickBot="1" x14ac:dyDescent="0.4"/>
    <row r="51" spans="1:5" ht="15" thickTop="1" x14ac:dyDescent="0.35">
      <c r="A51" s="417" t="s">
        <v>114</v>
      </c>
      <c r="B51" s="417"/>
      <c r="C51" s="429" t="s">
        <v>282</v>
      </c>
      <c r="D51" s="429"/>
      <c r="E51" s="429"/>
    </row>
    <row r="52" spans="1:5" x14ac:dyDescent="0.35">
      <c r="A52" s="418" t="s">
        <v>115</v>
      </c>
      <c r="B52" s="418"/>
      <c r="C52" s="430" t="s">
        <v>7</v>
      </c>
      <c r="D52" s="430"/>
      <c r="E52" s="430"/>
    </row>
    <row r="53" spans="1:5" x14ac:dyDescent="0.35">
      <c r="A53" s="422" t="s">
        <v>116</v>
      </c>
      <c r="B53" s="418"/>
      <c r="C53" s="431" t="s">
        <v>77</v>
      </c>
      <c r="D53" s="431"/>
      <c r="E53" s="431"/>
    </row>
    <row r="54" spans="1:5" x14ac:dyDescent="0.35">
      <c r="A54" s="416" t="s">
        <v>117</v>
      </c>
      <c r="B54" s="416"/>
      <c r="C54" s="412" t="s">
        <v>81</v>
      </c>
      <c r="D54" s="412"/>
      <c r="E54" s="412"/>
    </row>
  </sheetData>
  <mergeCells count="42">
    <mergeCell ref="A4:B4"/>
    <mergeCell ref="C4:M4"/>
    <mergeCell ref="A1:M1"/>
    <mergeCell ref="A2:B2"/>
    <mergeCell ref="C2:M2"/>
    <mergeCell ref="A3:B3"/>
    <mergeCell ref="C3:M3"/>
    <mergeCell ref="A34:G34"/>
    <mergeCell ref="A5:B5"/>
    <mergeCell ref="C5:M5"/>
    <mergeCell ref="A6:B6"/>
    <mergeCell ref="C6:M6"/>
    <mergeCell ref="A7:B7"/>
    <mergeCell ref="C7:M7"/>
    <mergeCell ref="A8:B8"/>
    <mergeCell ref="C8:M8"/>
    <mergeCell ref="A9:B9"/>
    <mergeCell ref="C9:M9"/>
    <mergeCell ref="A10:M10"/>
    <mergeCell ref="A41:B41"/>
    <mergeCell ref="E41:F41"/>
    <mergeCell ref="I41:J41"/>
    <mergeCell ref="A42:B42"/>
    <mergeCell ref="E42:F42"/>
    <mergeCell ref="G42:H42"/>
    <mergeCell ref="A43:B43"/>
    <mergeCell ref="E43:F43"/>
    <mergeCell ref="G43:H43"/>
    <mergeCell ref="A44:B44"/>
    <mergeCell ref="E44:F44"/>
    <mergeCell ref="G44:H44"/>
    <mergeCell ref="G45:H45"/>
    <mergeCell ref="A51:B51"/>
    <mergeCell ref="C51:E51"/>
    <mergeCell ref="A52:B52"/>
    <mergeCell ref="C52:E52"/>
    <mergeCell ref="A53:B53"/>
    <mergeCell ref="C53:E53"/>
    <mergeCell ref="A54:B54"/>
    <mergeCell ref="C54:E54"/>
    <mergeCell ref="A45:B45"/>
    <mergeCell ref="E45:F45"/>
  </mergeCells>
  <printOptions horizontalCentered="1"/>
  <pageMargins left="0.25" right="0.25" top="0.75" bottom="0.75" header="0.3" footer="0.3"/>
  <pageSetup scale="59" orientation="landscape"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0719-DCA0-426F-B8C1-6EB5A465D690}">
  <sheetPr>
    <pageSetUpPr fitToPage="1"/>
  </sheetPr>
  <dimension ref="A1:M36"/>
  <sheetViews>
    <sheetView topLeftCell="A3" workbookViewId="0">
      <selection activeCell="B16" sqref="B16:G16"/>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8"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448</v>
      </c>
      <c r="D3" s="403"/>
      <c r="E3" s="403"/>
      <c r="F3" s="403"/>
      <c r="G3" s="403"/>
      <c r="H3" s="403"/>
      <c r="I3" s="403"/>
      <c r="J3" s="403"/>
      <c r="K3" s="403"/>
      <c r="L3" s="403"/>
      <c r="M3" s="385"/>
    </row>
    <row r="4" spans="1:13" x14ac:dyDescent="0.35">
      <c r="A4" s="384" t="s">
        <v>4</v>
      </c>
      <c r="B4" s="385"/>
      <c r="C4" s="393" t="s">
        <v>449</v>
      </c>
      <c r="D4" s="394"/>
      <c r="E4" s="394"/>
      <c r="F4" s="394"/>
      <c r="G4" s="394"/>
      <c r="H4" s="394"/>
      <c r="I4" s="394"/>
      <c r="J4" s="394"/>
      <c r="K4" s="394"/>
      <c r="L4" s="394"/>
      <c r="M4" s="395"/>
    </row>
    <row r="5" spans="1:13" x14ac:dyDescent="0.35">
      <c r="A5" s="384" t="s">
        <v>5</v>
      </c>
      <c r="B5" s="385"/>
      <c r="C5" s="387">
        <v>45918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H21</f>
        <v>435000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468</v>
      </c>
      <c r="J11" s="3" t="s">
        <v>18</v>
      </c>
      <c r="K11" s="3" t="s">
        <v>19</v>
      </c>
      <c r="L11" s="3" t="s">
        <v>20</v>
      </c>
      <c r="M11" s="3" t="s">
        <v>84</v>
      </c>
    </row>
    <row r="12" spans="1:13" x14ac:dyDescent="0.35">
      <c r="A12" s="5">
        <v>1</v>
      </c>
      <c r="B12" s="14" t="s">
        <v>85</v>
      </c>
      <c r="C12" s="7" t="s">
        <v>86</v>
      </c>
      <c r="D12" s="8" t="s">
        <v>87</v>
      </c>
      <c r="E12" s="5" t="s">
        <v>24</v>
      </c>
      <c r="F12" s="5" t="s">
        <v>44</v>
      </c>
      <c r="G12" s="5">
        <v>35020062</v>
      </c>
      <c r="H12" s="59">
        <v>190000</v>
      </c>
      <c r="I12" s="10">
        <v>119586</v>
      </c>
      <c r="J12" s="10">
        <v>228005</v>
      </c>
      <c r="K12" s="35">
        <v>45894</v>
      </c>
      <c r="L12" s="59">
        <v>150000</v>
      </c>
      <c r="M12" s="48" t="s">
        <v>409</v>
      </c>
    </row>
    <row r="13" spans="1:13" x14ac:dyDescent="0.35">
      <c r="A13" s="5">
        <v>2</v>
      </c>
      <c r="B13" s="14" t="s">
        <v>89</v>
      </c>
      <c r="C13" s="7" t="s">
        <v>86</v>
      </c>
      <c r="D13" s="8" t="s">
        <v>90</v>
      </c>
      <c r="E13" s="5" t="s">
        <v>24</v>
      </c>
      <c r="F13" s="5" t="s">
        <v>44</v>
      </c>
      <c r="G13" s="13">
        <v>40021666</v>
      </c>
      <c r="H13" s="59">
        <v>60000</v>
      </c>
      <c r="I13" s="10">
        <v>50679</v>
      </c>
      <c r="J13" s="10">
        <v>92464</v>
      </c>
      <c r="K13" s="35">
        <v>45894</v>
      </c>
      <c r="L13" s="59">
        <v>70000</v>
      </c>
      <c r="M13" s="48" t="s">
        <v>325</v>
      </c>
    </row>
    <row r="14" spans="1:13" x14ac:dyDescent="0.35">
      <c r="A14" s="5">
        <v>3</v>
      </c>
      <c r="B14" s="14" t="s">
        <v>158</v>
      </c>
      <c r="C14" s="7" t="s">
        <v>86</v>
      </c>
      <c r="D14" s="8">
        <v>269</v>
      </c>
      <c r="E14" s="5" t="s">
        <v>24</v>
      </c>
      <c r="F14" s="5" t="s">
        <v>44</v>
      </c>
      <c r="G14" s="5">
        <v>74023856</v>
      </c>
      <c r="H14" s="59">
        <v>20000</v>
      </c>
      <c r="I14" s="10">
        <v>82583</v>
      </c>
      <c r="J14" s="10">
        <v>123025</v>
      </c>
      <c r="K14" s="35">
        <v>45894</v>
      </c>
      <c r="L14" s="59">
        <v>70000</v>
      </c>
      <c r="M14" s="12" t="s">
        <v>369</v>
      </c>
    </row>
    <row r="15" spans="1:13" x14ac:dyDescent="0.35">
      <c r="A15" s="5">
        <v>4</v>
      </c>
      <c r="B15" s="19" t="s">
        <v>255</v>
      </c>
      <c r="C15" s="20" t="s">
        <v>23</v>
      </c>
      <c r="D15" s="53" t="s">
        <v>256</v>
      </c>
      <c r="E15" s="22" t="s">
        <v>247</v>
      </c>
      <c r="F15" s="5" t="s">
        <v>44</v>
      </c>
      <c r="G15" s="53" t="s">
        <v>257</v>
      </c>
      <c r="H15" s="59">
        <v>5000</v>
      </c>
      <c r="I15" s="10">
        <v>30000</v>
      </c>
      <c r="J15" s="10">
        <v>33192</v>
      </c>
      <c r="K15" s="35">
        <v>45874</v>
      </c>
      <c r="L15" s="59">
        <v>5000</v>
      </c>
      <c r="M15" s="48" t="s">
        <v>371</v>
      </c>
    </row>
    <row r="16" spans="1:13" x14ac:dyDescent="0.35">
      <c r="A16" s="5">
        <v>5</v>
      </c>
      <c r="B16" s="19" t="s">
        <v>261</v>
      </c>
      <c r="C16" s="20" t="s">
        <v>49</v>
      </c>
      <c r="D16" s="53" t="s">
        <v>262</v>
      </c>
      <c r="E16" s="22" t="s">
        <v>247</v>
      </c>
      <c r="F16" s="5" t="s">
        <v>130</v>
      </c>
      <c r="G16" s="53" t="s">
        <v>462</v>
      </c>
      <c r="H16" s="59">
        <v>50000</v>
      </c>
      <c r="I16" s="10">
        <v>19057</v>
      </c>
      <c r="J16" s="10">
        <v>40657</v>
      </c>
      <c r="K16" s="35">
        <v>45899</v>
      </c>
      <c r="L16" s="59">
        <v>45000</v>
      </c>
      <c r="M16" s="48" t="s">
        <v>446</v>
      </c>
    </row>
    <row r="17" spans="1:13" x14ac:dyDescent="0.35">
      <c r="A17" s="5">
        <v>6</v>
      </c>
      <c r="B17" s="19" t="s">
        <v>442</v>
      </c>
      <c r="C17" s="20" t="s">
        <v>443</v>
      </c>
      <c r="D17" s="53" t="s">
        <v>444</v>
      </c>
      <c r="E17" s="22" t="s">
        <v>24</v>
      </c>
      <c r="F17" s="5" t="s">
        <v>25</v>
      </c>
      <c r="G17" s="53" t="s">
        <v>445</v>
      </c>
      <c r="H17" s="59">
        <v>15000</v>
      </c>
      <c r="I17" s="10">
        <v>22263</v>
      </c>
      <c r="J17" s="10">
        <v>28863</v>
      </c>
      <c r="K17" s="35">
        <v>45874</v>
      </c>
      <c r="L17" s="59">
        <v>12000</v>
      </c>
      <c r="M17" s="48" t="s">
        <v>132</v>
      </c>
    </row>
    <row r="18" spans="1:13" x14ac:dyDescent="0.35">
      <c r="A18" s="5">
        <v>7</v>
      </c>
      <c r="B18" s="16" t="s">
        <v>95</v>
      </c>
      <c r="C18" s="7" t="s">
        <v>49</v>
      </c>
      <c r="D18" s="8">
        <v>183</v>
      </c>
      <c r="E18" s="5" t="s">
        <v>24</v>
      </c>
      <c r="F18" s="5" t="s">
        <v>25</v>
      </c>
      <c r="G18" s="73" t="s">
        <v>279</v>
      </c>
      <c r="H18" s="59">
        <v>60000</v>
      </c>
      <c r="I18" s="10">
        <v>38275</v>
      </c>
      <c r="J18" s="10">
        <v>62275</v>
      </c>
      <c r="K18" s="35">
        <v>45903</v>
      </c>
      <c r="L18" s="59">
        <v>60000</v>
      </c>
      <c r="M18" s="17" t="s">
        <v>213</v>
      </c>
    </row>
    <row r="19" spans="1:13" x14ac:dyDescent="0.35">
      <c r="A19" s="5">
        <v>8</v>
      </c>
      <c r="B19" s="19" t="s">
        <v>246</v>
      </c>
      <c r="C19" s="20" t="s">
        <v>144</v>
      </c>
      <c r="D19" s="53" t="s">
        <v>254</v>
      </c>
      <c r="E19" s="22" t="s">
        <v>247</v>
      </c>
      <c r="F19" s="5" t="s">
        <v>44</v>
      </c>
      <c r="G19" s="21">
        <v>23905383</v>
      </c>
      <c r="H19" s="59">
        <v>20000</v>
      </c>
      <c r="I19" s="10">
        <v>44817</v>
      </c>
      <c r="J19" s="10">
        <v>56792</v>
      </c>
      <c r="K19" s="35">
        <v>45894</v>
      </c>
      <c r="L19" s="59">
        <v>15000</v>
      </c>
      <c r="M19" s="17" t="s">
        <v>441</v>
      </c>
    </row>
    <row r="20" spans="1:13" x14ac:dyDescent="0.35">
      <c r="A20" s="5"/>
      <c r="B20" s="19" t="s">
        <v>149</v>
      </c>
      <c r="C20" s="20" t="s">
        <v>144</v>
      </c>
      <c r="D20" s="53" t="s">
        <v>146</v>
      </c>
      <c r="E20" s="22" t="s">
        <v>64</v>
      </c>
      <c r="F20" s="5" t="s">
        <v>145</v>
      </c>
      <c r="G20" s="21">
        <v>97017150</v>
      </c>
      <c r="H20" s="59">
        <v>15000</v>
      </c>
      <c r="I20" s="10">
        <v>33219</v>
      </c>
      <c r="J20" s="10">
        <v>73678</v>
      </c>
      <c r="K20" s="35">
        <v>45851</v>
      </c>
      <c r="L20" s="59">
        <v>30000</v>
      </c>
      <c r="M20" s="17" t="s">
        <v>366</v>
      </c>
    </row>
    <row r="21" spans="1:13" x14ac:dyDescent="0.35">
      <c r="A21" s="386" t="s">
        <v>8</v>
      </c>
      <c r="B21" s="386"/>
      <c r="C21" s="386"/>
      <c r="D21" s="386"/>
      <c r="E21" s="386"/>
      <c r="F21" s="386"/>
      <c r="G21" s="386"/>
      <c r="H21" s="23">
        <f>SUM(H12:H20)</f>
        <v>435000</v>
      </c>
      <c r="I21" s="24"/>
      <c r="J21" s="25"/>
      <c r="K21" s="25"/>
      <c r="L21" s="26"/>
      <c r="M21" s="26"/>
    </row>
    <row r="22" spans="1:13" x14ac:dyDescent="0.35">
      <c r="A22" s="26"/>
      <c r="B22" s="26"/>
      <c r="C22" s="26"/>
      <c r="D22" s="26"/>
      <c r="E22" s="26"/>
      <c r="F22" s="26"/>
      <c r="G22" s="26"/>
      <c r="H22" s="26"/>
      <c r="I22" s="38"/>
      <c r="J22" s="26"/>
      <c r="K22" s="26"/>
      <c r="L22" s="26"/>
      <c r="M22" s="26"/>
    </row>
    <row r="23" spans="1:13" x14ac:dyDescent="0.35">
      <c r="A23" s="26"/>
      <c r="B23" s="26" t="s">
        <v>481</v>
      </c>
      <c r="C23" s="26"/>
      <c r="D23" s="26"/>
      <c r="E23" s="26"/>
      <c r="F23" s="26"/>
      <c r="G23" s="26"/>
      <c r="H23" s="26"/>
      <c r="I23" s="38"/>
      <c r="J23" s="26"/>
      <c r="K23" s="26"/>
      <c r="L23" s="26"/>
      <c r="M23" s="26"/>
    </row>
    <row r="24" spans="1:13" x14ac:dyDescent="0.35">
      <c r="A24" s="26"/>
      <c r="B24" s="26"/>
      <c r="C24" s="26"/>
      <c r="D24" s="26"/>
      <c r="E24" s="26"/>
      <c r="F24" s="26"/>
      <c r="G24" s="26"/>
      <c r="H24" s="26"/>
      <c r="I24" s="38"/>
      <c r="J24" s="26"/>
      <c r="K24" s="26"/>
      <c r="L24" s="26"/>
      <c r="M24" s="26"/>
    </row>
    <row r="25" spans="1:13" x14ac:dyDescent="0.35">
      <c r="A25" s="26"/>
      <c r="B25" s="26"/>
      <c r="C25" s="26"/>
      <c r="D25" s="26"/>
      <c r="E25" s="26"/>
      <c r="F25" s="26"/>
      <c r="G25" s="26"/>
      <c r="H25" s="26"/>
      <c r="I25" s="38"/>
      <c r="J25" s="26"/>
      <c r="K25" s="26"/>
      <c r="L25" s="26"/>
      <c r="M25" s="26"/>
    </row>
    <row r="26" spans="1:13" x14ac:dyDescent="0.35">
      <c r="A26" s="26"/>
      <c r="B26" s="26"/>
      <c r="C26" s="26"/>
      <c r="D26" s="26"/>
      <c r="E26" s="26"/>
      <c r="F26" s="26"/>
      <c r="G26" s="26"/>
      <c r="H26" s="26"/>
      <c r="I26" s="38"/>
      <c r="J26" s="26"/>
      <c r="K26" s="26"/>
      <c r="L26" s="26"/>
      <c r="M26" s="26"/>
    </row>
    <row r="27" spans="1:13" x14ac:dyDescent="0.35">
      <c r="A27" s="26"/>
      <c r="B27" s="26"/>
      <c r="C27" s="26"/>
      <c r="D27" s="26"/>
      <c r="E27" s="26"/>
      <c r="F27" s="26"/>
      <c r="G27" s="26"/>
      <c r="H27" s="26"/>
      <c r="I27" s="38"/>
      <c r="J27" s="26"/>
      <c r="K27" s="26"/>
      <c r="L27" s="26"/>
      <c r="M27" s="26"/>
    </row>
    <row r="28" spans="1:13" x14ac:dyDescent="0.35">
      <c r="A28" s="26"/>
      <c r="B28" s="26"/>
      <c r="C28" s="26"/>
      <c r="D28" s="26"/>
      <c r="E28" s="26"/>
      <c r="F28" s="26"/>
      <c r="G28" s="26"/>
      <c r="H28" s="26"/>
      <c r="I28" s="38"/>
      <c r="J28" s="26"/>
      <c r="K28" s="26"/>
      <c r="L28" s="26"/>
      <c r="M28" s="26"/>
    </row>
    <row r="29" spans="1:13" x14ac:dyDescent="0.35">
      <c r="A29" s="26"/>
      <c r="B29" s="26"/>
      <c r="C29" s="26"/>
      <c r="D29" s="26"/>
      <c r="E29" s="26"/>
      <c r="F29" s="26"/>
      <c r="G29" s="26"/>
      <c r="H29" s="26"/>
      <c r="I29" s="38"/>
      <c r="J29" s="26"/>
      <c r="K29" s="26"/>
      <c r="L29" s="26"/>
      <c r="M29" s="26"/>
    </row>
    <row r="30" spans="1:13" x14ac:dyDescent="0.35">
      <c r="A30" s="26"/>
      <c r="B30" s="26"/>
      <c r="C30" s="26"/>
      <c r="D30" s="26"/>
      <c r="E30" s="26"/>
      <c r="F30" s="26"/>
      <c r="G30" s="26"/>
      <c r="H30" s="26"/>
      <c r="I30" s="38"/>
      <c r="J30" s="26"/>
      <c r="K30" s="26"/>
      <c r="L30" s="26"/>
      <c r="M30" s="26"/>
    </row>
    <row r="31" spans="1:13" x14ac:dyDescent="0.35">
      <c r="A31" s="26"/>
      <c r="B31" s="26"/>
      <c r="C31" s="26"/>
      <c r="D31" s="26"/>
      <c r="E31" s="26"/>
      <c r="F31" s="26"/>
      <c r="G31" s="26"/>
      <c r="H31" s="26"/>
      <c r="I31" s="38"/>
      <c r="J31" s="26"/>
      <c r="K31" s="26"/>
      <c r="L31" s="26"/>
      <c r="M31" s="26"/>
    </row>
    <row r="32" spans="1:13" x14ac:dyDescent="0.35">
      <c r="A32" s="407" t="s">
        <v>66</v>
      </c>
      <c r="B32" s="407"/>
      <c r="C32" s="26"/>
      <c r="D32" s="26"/>
      <c r="E32" s="407" t="s">
        <v>67</v>
      </c>
      <c r="F32" s="407"/>
      <c r="G32" s="408"/>
      <c r="H32" s="408"/>
      <c r="I32" s="28"/>
      <c r="J32" s="28"/>
      <c r="K32" s="28"/>
      <c r="L32" s="39"/>
      <c r="M32" s="40"/>
    </row>
    <row r="33" spans="1:13" x14ac:dyDescent="0.35">
      <c r="A33" s="421" t="s">
        <v>69</v>
      </c>
      <c r="B33" s="421"/>
      <c r="D33" s="29"/>
      <c r="E33" s="410" t="s">
        <v>70</v>
      </c>
      <c r="F33" s="410"/>
      <c r="G33" s="410" t="s">
        <v>71</v>
      </c>
      <c r="H33" s="410"/>
      <c r="I33" s="29"/>
      <c r="J33" s="29"/>
      <c r="K33" s="29" t="s">
        <v>72</v>
      </c>
      <c r="L33" s="31"/>
      <c r="M33" s="31"/>
    </row>
    <row r="34" spans="1:13" x14ac:dyDescent="0.35">
      <c r="A34" s="414" t="s">
        <v>92</v>
      </c>
      <c r="B34" s="414"/>
      <c r="D34" s="32"/>
      <c r="E34" s="414" t="s">
        <v>73</v>
      </c>
      <c r="F34" s="414"/>
      <c r="G34" s="414" t="s">
        <v>74</v>
      </c>
      <c r="H34" s="414"/>
      <c r="I34" s="31"/>
      <c r="J34" s="31"/>
      <c r="K34" s="31" t="s">
        <v>75</v>
      </c>
      <c r="L34" s="33"/>
      <c r="M34" s="33"/>
    </row>
    <row r="35" spans="1:13" x14ac:dyDescent="0.35">
      <c r="A35" s="414" t="s">
        <v>94</v>
      </c>
      <c r="B35" s="414"/>
      <c r="D35" s="34"/>
      <c r="E35" s="414" t="s">
        <v>78</v>
      </c>
      <c r="F35" s="414"/>
      <c r="G35" s="414" t="s">
        <v>414</v>
      </c>
      <c r="H35" s="414"/>
      <c r="I35" s="33"/>
      <c r="J35" s="33"/>
      <c r="K35" s="31" t="s">
        <v>80</v>
      </c>
      <c r="L35" s="34"/>
      <c r="M35" s="34"/>
    </row>
    <row r="36" spans="1:13" x14ac:dyDescent="0.35">
      <c r="A36" s="412" t="s">
        <v>76</v>
      </c>
      <c r="B36" s="412"/>
      <c r="D36" s="34"/>
      <c r="E36" s="412" t="s">
        <v>76</v>
      </c>
      <c r="F36" s="412"/>
      <c r="G36" s="412" t="s">
        <v>76</v>
      </c>
      <c r="H36" s="412"/>
      <c r="I36" s="33"/>
      <c r="J36" s="33"/>
      <c r="K36" s="33"/>
    </row>
  </sheetData>
  <mergeCells count="34">
    <mergeCell ref="A36:B36"/>
    <mergeCell ref="E36:F36"/>
    <mergeCell ref="G36:H36"/>
    <mergeCell ref="A34:B34"/>
    <mergeCell ref="E34:F34"/>
    <mergeCell ref="G34:H34"/>
    <mergeCell ref="A35:B35"/>
    <mergeCell ref="E35:F35"/>
    <mergeCell ref="G35:H35"/>
    <mergeCell ref="A32:B32"/>
    <mergeCell ref="E32:F32"/>
    <mergeCell ref="G32:H32"/>
    <mergeCell ref="A33:B33"/>
    <mergeCell ref="E33:F33"/>
    <mergeCell ref="G33:H33"/>
    <mergeCell ref="A21:G21"/>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scale="74" orientation="landscape"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556C-CA90-461F-9784-F99D71171E0D}">
  <sheetPr>
    <pageSetUpPr fitToPage="1"/>
  </sheetPr>
  <dimension ref="A1:M45"/>
  <sheetViews>
    <sheetView topLeftCell="A16" workbookViewId="0">
      <selection activeCell="B12" sqref="B12:G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5" customHeight="1" x14ac:dyDescent="0.35">
      <c r="A1" s="402" t="s">
        <v>352</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45923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7500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476</v>
      </c>
      <c r="C12" s="86" t="s">
        <v>144</v>
      </c>
      <c r="D12" s="135">
        <v>817</v>
      </c>
      <c r="E12" s="87" t="s">
        <v>24</v>
      </c>
      <c r="F12" s="87" t="s">
        <v>44</v>
      </c>
      <c r="G12" s="136" t="s">
        <v>477</v>
      </c>
      <c r="H12" s="78">
        <v>7500</v>
      </c>
      <c r="I12" s="42" t="s">
        <v>97</v>
      </c>
      <c r="J12" s="42" t="s">
        <v>97</v>
      </c>
      <c r="K12" s="11" t="s">
        <v>97</v>
      </c>
      <c r="L12" s="78" t="s">
        <v>97</v>
      </c>
      <c r="M12" s="12" t="s">
        <v>344</v>
      </c>
    </row>
    <row r="13" spans="1:13" x14ac:dyDescent="0.35">
      <c r="A13" s="415" t="s">
        <v>8</v>
      </c>
      <c r="B13" s="415"/>
      <c r="C13" s="415"/>
      <c r="D13" s="415"/>
      <c r="E13" s="415"/>
      <c r="F13" s="415"/>
      <c r="G13" s="415"/>
      <c r="H13" s="81">
        <f>SUM(H12:H12)</f>
        <v>7500</v>
      </c>
      <c r="I13" s="24"/>
      <c r="J13" s="25"/>
      <c r="K13" s="43"/>
      <c r="L13" s="141"/>
      <c r="M13" s="141"/>
    </row>
    <row r="14" spans="1:13" x14ac:dyDescent="0.35">
      <c r="A14" s="141"/>
      <c r="B14" s="141"/>
      <c r="C14" s="141"/>
      <c r="D14" s="141"/>
      <c r="E14" s="141"/>
      <c r="F14" s="141"/>
      <c r="G14" s="141"/>
      <c r="H14" s="141"/>
      <c r="I14" s="141"/>
      <c r="J14" s="141"/>
      <c r="K14" s="141"/>
      <c r="L14" s="141"/>
      <c r="M14" s="141"/>
    </row>
    <row r="15" spans="1:13" x14ac:dyDescent="0.35">
      <c r="A15" s="141"/>
      <c r="B15" s="141" t="s">
        <v>482</v>
      </c>
      <c r="C15" s="141"/>
      <c r="D15" s="141"/>
      <c r="E15" s="141"/>
      <c r="F15" s="141"/>
      <c r="G15" s="141"/>
      <c r="H15" s="141"/>
      <c r="I15" s="141"/>
      <c r="J15" s="141"/>
      <c r="K15" s="141"/>
      <c r="L15" s="141"/>
      <c r="M15" s="141"/>
    </row>
    <row r="16" spans="1:13" x14ac:dyDescent="0.35">
      <c r="A16" s="141"/>
      <c r="B16" s="141"/>
      <c r="C16" s="141"/>
      <c r="D16" s="141"/>
      <c r="E16" s="141"/>
      <c r="F16" s="141"/>
      <c r="G16" s="141"/>
      <c r="H16" s="141"/>
      <c r="I16" s="141"/>
      <c r="J16" s="141"/>
      <c r="K16" s="141"/>
      <c r="L16" s="141"/>
      <c r="M16" s="141"/>
    </row>
    <row r="17" spans="1:13" x14ac:dyDescent="0.35">
      <c r="A17" s="141"/>
      <c r="B17" s="141"/>
      <c r="C17" s="141"/>
      <c r="D17" s="141"/>
      <c r="E17" s="141"/>
      <c r="F17" s="141"/>
      <c r="G17" s="141"/>
      <c r="H17" s="141"/>
      <c r="I17" s="141"/>
      <c r="J17" s="141"/>
      <c r="K17" s="141"/>
      <c r="L17" s="141"/>
      <c r="M17" s="141"/>
    </row>
    <row r="18" spans="1:13" x14ac:dyDescent="0.35">
      <c r="A18" s="141"/>
      <c r="B18" s="141"/>
      <c r="C18" s="141"/>
      <c r="D18" s="141"/>
      <c r="E18" s="141"/>
      <c r="F18" s="141"/>
      <c r="G18" s="141"/>
      <c r="H18" s="141"/>
      <c r="I18" s="141"/>
      <c r="J18" s="141"/>
      <c r="K18" s="141"/>
      <c r="L18" s="141"/>
      <c r="M18" s="141"/>
    </row>
    <row r="19" spans="1:13" x14ac:dyDescent="0.35">
      <c r="A19" s="141"/>
      <c r="B19" s="141"/>
      <c r="C19" s="141"/>
      <c r="D19" s="141"/>
      <c r="E19" s="141"/>
      <c r="F19" s="141"/>
      <c r="G19" s="141"/>
      <c r="H19" s="141"/>
      <c r="I19" s="141"/>
      <c r="J19" s="141"/>
      <c r="K19" s="141"/>
      <c r="L19" s="141"/>
      <c r="M19" s="141"/>
    </row>
    <row r="20" spans="1:13" x14ac:dyDescent="0.35">
      <c r="A20" s="141"/>
      <c r="B20" s="141"/>
      <c r="C20" s="141"/>
      <c r="D20" s="141"/>
      <c r="E20" s="141"/>
      <c r="F20" s="141"/>
      <c r="G20" s="141"/>
      <c r="H20" s="141"/>
      <c r="I20" s="141"/>
      <c r="J20" s="141"/>
      <c r="K20" s="141"/>
      <c r="L20" s="141"/>
      <c r="M20" s="141"/>
    </row>
    <row r="21" spans="1:13" x14ac:dyDescent="0.35">
      <c r="A21" s="141"/>
      <c r="B21" s="141"/>
      <c r="C21" s="141"/>
      <c r="D21" s="141"/>
      <c r="E21" s="141"/>
      <c r="F21" s="141"/>
      <c r="G21" s="141"/>
      <c r="H21" s="141"/>
      <c r="I21" s="141"/>
      <c r="J21" s="141"/>
      <c r="K21" s="141"/>
      <c r="L21" s="141"/>
      <c r="M21" s="141"/>
    </row>
    <row r="22" spans="1:13" x14ac:dyDescent="0.35">
      <c r="A22" s="141"/>
      <c r="B22" s="457" t="s">
        <v>167</v>
      </c>
      <c r="C22" s="457"/>
      <c r="D22" s="457"/>
      <c r="E22" s="457"/>
      <c r="F22" s="141"/>
      <c r="G22" s="141"/>
      <c r="H22" s="141"/>
      <c r="I22" s="141"/>
      <c r="J22" s="141"/>
      <c r="K22" s="141"/>
      <c r="L22" s="141"/>
      <c r="M22" s="141"/>
    </row>
    <row r="23" spans="1:13" x14ac:dyDescent="0.35">
      <c r="A23" s="141"/>
      <c r="B23" s="48" t="s">
        <v>7</v>
      </c>
      <c r="C23" s="433" t="s">
        <v>92</v>
      </c>
      <c r="D23" s="433"/>
      <c r="E23" s="433"/>
      <c r="F23" s="141"/>
      <c r="G23" s="141"/>
      <c r="H23" s="141"/>
      <c r="I23" s="141"/>
      <c r="J23" s="141"/>
      <c r="K23" s="141"/>
      <c r="L23" s="141"/>
      <c r="M23" s="141"/>
    </row>
    <row r="24" spans="1:13" x14ac:dyDescent="0.35">
      <c r="A24" s="141"/>
      <c r="B24" s="48" t="s">
        <v>305</v>
      </c>
      <c r="C24" s="456" t="s">
        <v>483</v>
      </c>
      <c r="D24" s="456"/>
      <c r="E24" s="456"/>
      <c r="F24" s="141"/>
      <c r="G24" s="141"/>
      <c r="H24" s="141"/>
      <c r="I24" s="141"/>
      <c r="J24" s="141"/>
      <c r="K24" s="141"/>
      <c r="L24" s="141"/>
      <c r="M24" s="141"/>
    </row>
    <row r="25" spans="1:13" x14ac:dyDescent="0.35">
      <c r="A25" s="141"/>
      <c r="B25" s="48" t="s">
        <v>307</v>
      </c>
      <c r="C25" s="433" t="s">
        <v>308</v>
      </c>
      <c r="D25" s="433"/>
      <c r="E25" s="433"/>
      <c r="F25" s="141"/>
      <c r="G25" s="141"/>
      <c r="H25" s="141"/>
      <c r="I25" s="141"/>
      <c r="J25" s="141"/>
      <c r="K25" s="141"/>
      <c r="L25" s="141"/>
      <c r="M25" s="141"/>
    </row>
    <row r="26" spans="1:13" x14ac:dyDescent="0.35">
      <c r="A26" s="141"/>
      <c r="B26" s="144" t="s">
        <v>309</v>
      </c>
      <c r="C26" s="438" t="s">
        <v>484</v>
      </c>
      <c r="D26" s="438"/>
      <c r="E26" s="438"/>
      <c r="F26" s="141"/>
      <c r="G26" s="141"/>
      <c r="H26" s="141"/>
      <c r="I26" s="141"/>
      <c r="J26" s="141"/>
      <c r="K26" s="141"/>
      <c r="L26" s="141"/>
      <c r="M26" s="141"/>
    </row>
    <row r="27" spans="1:13" x14ac:dyDescent="0.35">
      <c r="A27" s="141"/>
      <c r="B27" s="141"/>
      <c r="C27" s="141"/>
      <c r="D27" s="141"/>
      <c r="E27" s="141"/>
      <c r="F27" s="141"/>
      <c r="G27" s="141"/>
      <c r="H27" s="141"/>
      <c r="I27" s="141"/>
      <c r="J27" s="141"/>
      <c r="K27" s="141"/>
      <c r="L27" s="141"/>
      <c r="M27" s="141"/>
    </row>
    <row r="28" spans="1:13" x14ac:dyDescent="0.35">
      <c r="A28" s="141"/>
      <c r="B28" s="141"/>
      <c r="C28" s="141"/>
      <c r="D28" s="141"/>
      <c r="E28" s="141"/>
      <c r="F28" s="141"/>
      <c r="G28" s="141"/>
      <c r="H28" s="141"/>
      <c r="I28" s="141"/>
      <c r="J28" s="141"/>
      <c r="K28" s="141"/>
      <c r="L28" s="141"/>
      <c r="M28" s="141"/>
    </row>
    <row r="29" spans="1:13" x14ac:dyDescent="0.35">
      <c r="A29" s="141"/>
      <c r="B29" s="141"/>
      <c r="C29" s="141"/>
      <c r="D29" s="141"/>
      <c r="E29" s="141"/>
      <c r="F29" s="141"/>
      <c r="G29" s="141"/>
      <c r="H29" s="141"/>
      <c r="I29" s="141"/>
      <c r="J29" s="141"/>
      <c r="K29" s="141"/>
      <c r="L29" s="141"/>
      <c r="M29" s="141"/>
    </row>
    <row r="30" spans="1:13" x14ac:dyDescent="0.35">
      <c r="A30" s="141"/>
      <c r="B30" s="141"/>
      <c r="C30" s="141"/>
      <c r="D30" s="141"/>
      <c r="E30" s="141"/>
      <c r="F30" s="141"/>
      <c r="G30" s="141"/>
      <c r="H30" s="141"/>
      <c r="I30" s="141"/>
      <c r="J30" s="141"/>
      <c r="K30" s="141"/>
      <c r="L30" s="141"/>
      <c r="M30" s="141"/>
    </row>
    <row r="31" spans="1:13" x14ac:dyDescent="0.35">
      <c r="A31" s="141"/>
      <c r="B31" s="141"/>
      <c r="C31" s="141"/>
      <c r="D31" s="141"/>
      <c r="E31" s="141"/>
      <c r="F31" s="141"/>
      <c r="G31" s="141"/>
      <c r="H31" s="141"/>
      <c r="I31" s="141"/>
      <c r="J31" s="141"/>
      <c r="K31" s="141"/>
      <c r="L31" s="141"/>
      <c r="M31" s="141"/>
    </row>
    <row r="32" spans="1:13" ht="15" thickBot="1" x14ac:dyDescent="0.4">
      <c r="A32" s="420" t="s">
        <v>66</v>
      </c>
      <c r="B32" s="420"/>
      <c r="C32" s="141"/>
      <c r="D32" s="141"/>
      <c r="E32" s="407" t="s">
        <v>67</v>
      </c>
      <c r="F32" s="407"/>
      <c r="G32" s="49"/>
      <c r="H32" s="49"/>
      <c r="I32" s="408"/>
      <c r="J32" s="408"/>
      <c r="K32" s="137"/>
      <c r="L32" s="138"/>
      <c r="M32" s="138"/>
    </row>
    <row r="33" spans="1:13" ht="15" thickTop="1" x14ac:dyDescent="0.35">
      <c r="A33" s="421" t="s">
        <v>69</v>
      </c>
      <c r="B33" s="421"/>
      <c r="D33" s="30"/>
      <c r="E33" s="410" t="s">
        <v>70</v>
      </c>
      <c r="F33" s="410"/>
      <c r="G33" s="410" t="s">
        <v>71</v>
      </c>
      <c r="H33" s="410"/>
      <c r="I33" s="138"/>
      <c r="J33" s="138"/>
      <c r="K33" s="138" t="s">
        <v>72</v>
      </c>
      <c r="L33" s="140"/>
      <c r="M33" s="140"/>
    </row>
    <row r="34" spans="1:13" x14ac:dyDescent="0.35">
      <c r="A34" s="414" t="s">
        <v>92</v>
      </c>
      <c r="B34" s="414"/>
      <c r="D34" s="142"/>
      <c r="E34" s="414" t="s">
        <v>73</v>
      </c>
      <c r="F34" s="414"/>
      <c r="G34" s="414" t="s">
        <v>74</v>
      </c>
      <c r="H34" s="414"/>
      <c r="I34" s="140"/>
      <c r="J34" s="140"/>
      <c r="K34" s="140" t="s">
        <v>75</v>
      </c>
      <c r="L34" s="139"/>
      <c r="M34" s="139"/>
    </row>
    <row r="35" spans="1:13" x14ac:dyDescent="0.35">
      <c r="A35" s="412" t="s">
        <v>94</v>
      </c>
      <c r="B35" s="412"/>
      <c r="D35" s="143"/>
      <c r="E35" s="414" t="s">
        <v>78</v>
      </c>
      <c r="F35" s="414"/>
      <c r="G35" s="414" t="s">
        <v>414</v>
      </c>
      <c r="H35" s="414"/>
      <c r="I35" s="139"/>
      <c r="J35" s="139"/>
      <c r="K35" s="139" t="s">
        <v>80</v>
      </c>
      <c r="L35" s="143"/>
      <c r="M35" s="143"/>
    </row>
    <row r="36" spans="1:13" x14ac:dyDescent="0.35">
      <c r="A36" s="412" t="s">
        <v>76</v>
      </c>
      <c r="B36" s="412"/>
      <c r="D36" s="143"/>
      <c r="E36" s="412" t="s">
        <v>76</v>
      </c>
      <c r="F36" s="412"/>
      <c r="G36" s="412" t="s">
        <v>76</v>
      </c>
      <c r="H36" s="412"/>
      <c r="I36" s="139"/>
      <c r="J36" s="139"/>
      <c r="K36" s="139"/>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7">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2:E22"/>
    <mergeCell ref="C23:E23"/>
    <mergeCell ref="C24:E24"/>
    <mergeCell ref="C25:E25"/>
    <mergeCell ref="C26:E26"/>
    <mergeCell ref="I32:J32"/>
    <mergeCell ref="A33:B33"/>
    <mergeCell ref="E33:F33"/>
    <mergeCell ref="G33:H33"/>
    <mergeCell ref="A34:B34"/>
    <mergeCell ref="E34:F34"/>
    <mergeCell ref="G34:H34"/>
    <mergeCell ref="A32:B32"/>
    <mergeCell ref="E32:F32"/>
    <mergeCell ref="A35:B35"/>
    <mergeCell ref="E35:F35"/>
    <mergeCell ref="G35:H35"/>
    <mergeCell ref="A36:B36"/>
    <mergeCell ref="E36:F36"/>
    <mergeCell ref="G36:H36"/>
    <mergeCell ref="A45:B45"/>
    <mergeCell ref="C45:E45"/>
    <mergeCell ref="A42:B42"/>
    <mergeCell ref="C42:E42"/>
    <mergeCell ref="A43:B43"/>
    <mergeCell ref="C43:E43"/>
    <mergeCell ref="A44:B44"/>
    <mergeCell ref="C44:E44"/>
  </mergeCells>
  <printOptions horizontalCentered="1"/>
  <pageMargins left="0.25" right="0.25" top="0.75" bottom="0.75" header="0.3" footer="0.3"/>
  <pageSetup paperSize="9" scale="68" orientation="landscape"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01A63-019F-433D-AD87-BC055CD83662}">
  <sheetPr>
    <pageSetUpPr fitToPage="1"/>
  </sheetPr>
  <dimension ref="A1:M45"/>
  <sheetViews>
    <sheetView topLeftCell="A13" workbookViewId="0">
      <selection activeCell="B12" sqref="B12:G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 customHeight="1" x14ac:dyDescent="0.35">
      <c r="A1" s="402" t="s">
        <v>352</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45923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7500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485</v>
      </c>
      <c r="C12" s="86" t="s">
        <v>144</v>
      </c>
      <c r="D12" s="135">
        <v>452</v>
      </c>
      <c r="E12" s="87" t="s">
        <v>24</v>
      </c>
      <c r="F12" s="87" t="s">
        <v>44</v>
      </c>
      <c r="G12" s="136" t="s">
        <v>486</v>
      </c>
      <c r="H12" s="78">
        <v>7500</v>
      </c>
      <c r="I12" s="42" t="s">
        <v>97</v>
      </c>
      <c r="J12" s="42" t="s">
        <v>97</v>
      </c>
      <c r="K12" s="11" t="s">
        <v>97</v>
      </c>
      <c r="L12" s="78" t="s">
        <v>97</v>
      </c>
      <c r="M12" s="12" t="s">
        <v>344</v>
      </c>
    </row>
    <row r="13" spans="1:13" x14ac:dyDescent="0.35">
      <c r="A13" s="415" t="s">
        <v>8</v>
      </c>
      <c r="B13" s="415"/>
      <c r="C13" s="415"/>
      <c r="D13" s="415"/>
      <c r="E13" s="415"/>
      <c r="F13" s="415"/>
      <c r="G13" s="415"/>
      <c r="H13" s="81">
        <f>SUM(H12:H12)</f>
        <v>7500</v>
      </c>
      <c r="I13" s="24"/>
      <c r="J13" s="25"/>
      <c r="K13" s="43"/>
      <c r="L13" s="141"/>
      <c r="M13" s="141"/>
    </row>
    <row r="14" spans="1:13" x14ac:dyDescent="0.35">
      <c r="A14" s="141"/>
      <c r="B14" s="141"/>
      <c r="C14" s="141"/>
      <c r="D14" s="141"/>
      <c r="E14" s="141"/>
      <c r="F14" s="141"/>
      <c r="G14" s="141"/>
      <c r="H14" s="141"/>
      <c r="I14" s="141"/>
      <c r="J14" s="141"/>
      <c r="K14" s="141"/>
      <c r="L14" s="141"/>
      <c r="M14" s="141"/>
    </row>
    <row r="15" spans="1:13" x14ac:dyDescent="0.35">
      <c r="A15" s="141"/>
      <c r="B15" s="141" t="s">
        <v>482</v>
      </c>
      <c r="C15" s="141"/>
      <c r="D15" s="141"/>
      <c r="E15" s="141"/>
      <c r="F15" s="141"/>
      <c r="G15" s="141"/>
      <c r="H15" s="141"/>
      <c r="I15" s="141"/>
      <c r="J15" s="141"/>
      <c r="K15" s="141"/>
      <c r="L15" s="141"/>
      <c r="M15" s="141"/>
    </row>
    <row r="16" spans="1:13" x14ac:dyDescent="0.35">
      <c r="A16" s="141"/>
      <c r="B16" s="141"/>
      <c r="C16" s="141"/>
      <c r="D16" s="141"/>
      <c r="E16" s="141"/>
      <c r="F16" s="141"/>
      <c r="G16" s="141"/>
      <c r="H16" s="141"/>
      <c r="I16" s="141"/>
      <c r="J16" s="141"/>
      <c r="K16" s="141"/>
      <c r="L16" s="141"/>
      <c r="M16" s="141"/>
    </row>
    <row r="17" spans="1:13" x14ac:dyDescent="0.35">
      <c r="A17" s="141"/>
      <c r="B17" s="141"/>
      <c r="C17" s="141"/>
      <c r="D17" s="141"/>
      <c r="E17" s="141"/>
      <c r="F17" s="141"/>
      <c r="G17" s="141"/>
      <c r="H17" s="141"/>
      <c r="I17" s="141"/>
      <c r="J17" s="141"/>
      <c r="K17" s="141"/>
      <c r="L17" s="141"/>
      <c r="M17" s="141"/>
    </row>
    <row r="18" spans="1:13" x14ac:dyDescent="0.35">
      <c r="A18" s="141"/>
      <c r="B18" s="141"/>
      <c r="C18" s="141"/>
      <c r="D18" s="141"/>
      <c r="E18" s="141"/>
      <c r="F18" s="141"/>
      <c r="G18" s="141"/>
      <c r="H18" s="141"/>
      <c r="I18" s="141"/>
      <c r="J18" s="141"/>
      <c r="K18" s="141"/>
      <c r="L18" s="141"/>
      <c r="M18" s="141"/>
    </row>
    <row r="19" spans="1:13" x14ac:dyDescent="0.35">
      <c r="A19" s="141"/>
      <c r="B19" s="141"/>
      <c r="C19" s="141"/>
      <c r="D19" s="141"/>
      <c r="E19" s="141"/>
      <c r="F19" s="141"/>
      <c r="G19" s="141"/>
      <c r="H19" s="141"/>
      <c r="I19" s="141"/>
      <c r="J19" s="141"/>
      <c r="K19" s="141"/>
      <c r="L19" s="141"/>
      <c r="M19" s="141"/>
    </row>
    <row r="20" spans="1:13" x14ac:dyDescent="0.35">
      <c r="A20" s="141"/>
      <c r="B20" s="141"/>
      <c r="C20" s="141"/>
      <c r="D20" s="141"/>
      <c r="E20" s="141"/>
      <c r="F20" s="141"/>
      <c r="G20" s="141"/>
      <c r="H20" s="141"/>
      <c r="I20" s="141"/>
      <c r="J20" s="141"/>
      <c r="K20" s="141"/>
      <c r="L20" s="141"/>
      <c r="M20" s="141"/>
    </row>
    <row r="21" spans="1:13" x14ac:dyDescent="0.35">
      <c r="A21" s="141"/>
      <c r="B21" s="141"/>
      <c r="C21" s="141"/>
      <c r="D21" s="141"/>
      <c r="E21" s="141"/>
      <c r="F21" s="141"/>
      <c r="G21" s="141"/>
      <c r="H21" s="141"/>
      <c r="I21" s="141"/>
      <c r="J21" s="141"/>
      <c r="K21" s="141"/>
      <c r="L21" s="141"/>
      <c r="M21" s="141"/>
    </row>
    <row r="22" spans="1:13" x14ac:dyDescent="0.35">
      <c r="A22" s="141"/>
      <c r="B22" s="457" t="s">
        <v>167</v>
      </c>
      <c r="C22" s="457"/>
      <c r="D22" s="457"/>
      <c r="E22" s="457"/>
      <c r="F22" s="141"/>
      <c r="G22" s="141"/>
      <c r="H22" s="141"/>
      <c r="I22" s="141"/>
      <c r="J22" s="141"/>
      <c r="K22" s="141"/>
      <c r="L22" s="141"/>
      <c r="M22" s="141"/>
    </row>
    <row r="23" spans="1:13" x14ac:dyDescent="0.35">
      <c r="A23" s="141"/>
      <c r="B23" s="48" t="s">
        <v>7</v>
      </c>
      <c r="C23" s="433" t="s">
        <v>92</v>
      </c>
      <c r="D23" s="433"/>
      <c r="E23" s="433"/>
      <c r="F23" s="141"/>
      <c r="G23" s="141"/>
      <c r="H23" s="141"/>
      <c r="I23" s="141"/>
      <c r="J23" s="141"/>
      <c r="K23" s="141"/>
      <c r="L23" s="141"/>
      <c r="M23" s="141"/>
    </row>
    <row r="24" spans="1:13" x14ac:dyDescent="0.35">
      <c r="A24" s="141"/>
      <c r="B24" s="48" t="s">
        <v>305</v>
      </c>
      <c r="C24" s="456" t="s">
        <v>483</v>
      </c>
      <c r="D24" s="456"/>
      <c r="E24" s="456"/>
      <c r="F24" s="141"/>
      <c r="G24" s="141"/>
      <c r="H24" s="141"/>
      <c r="I24" s="141"/>
      <c r="J24" s="141"/>
      <c r="K24" s="141"/>
      <c r="L24" s="141"/>
      <c r="M24" s="141"/>
    </row>
    <row r="25" spans="1:13" x14ac:dyDescent="0.35">
      <c r="A25" s="141"/>
      <c r="B25" s="48" t="s">
        <v>307</v>
      </c>
      <c r="C25" s="433" t="s">
        <v>308</v>
      </c>
      <c r="D25" s="433"/>
      <c r="E25" s="433"/>
      <c r="F25" s="141"/>
      <c r="G25" s="141"/>
      <c r="H25" s="141"/>
      <c r="I25" s="141"/>
      <c r="J25" s="141"/>
      <c r="K25" s="141"/>
      <c r="L25" s="141"/>
      <c r="M25" s="141"/>
    </row>
    <row r="26" spans="1:13" x14ac:dyDescent="0.35">
      <c r="A26" s="141"/>
      <c r="B26" s="144" t="s">
        <v>309</v>
      </c>
      <c r="C26" s="438" t="s">
        <v>484</v>
      </c>
      <c r="D26" s="438"/>
      <c r="E26" s="438"/>
      <c r="F26" s="141"/>
      <c r="G26" s="141"/>
      <c r="H26" s="141"/>
      <c r="I26" s="141"/>
      <c r="J26" s="141"/>
      <c r="K26" s="141"/>
      <c r="L26" s="141"/>
      <c r="M26" s="141"/>
    </row>
    <row r="27" spans="1:13" x14ac:dyDescent="0.35">
      <c r="A27" s="141"/>
      <c r="B27" s="141"/>
      <c r="C27" s="141"/>
      <c r="D27" s="141"/>
      <c r="E27" s="141"/>
      <c r="F27" s="141"/>
      <c r="G27" s="141"/>
      <c r="H27" s="141"/>
      <c r="I27" s="141"/>
      <c r="J27" s="141"/>
      <c r="K27" s="141"/>
      <c r="L27" s="141"/>
      <c r="M27" s="141"/>
    </row>
    <row r="28" spans="1:13" x14ac:dyDescent="0.35">
      <c r="A28" s="141"/>
      <c r="B28" s="141"/>
      <c r="C28" s="141"/>
      <c r="D28" s="141"/>
      <c r="E28" s="141"/>
      <c r="F28" s="141"/>
      <c r="G28" s="141"/>
      <c r="H28" s="141"/>
      <c r="I28" s="141"/>
      <c r="J28" s="141"/>
      <c r="K28" s="141"/>
      <c r="L28" s="141"/>
      <c r="M28" s="141"/>
    </row>
    <row r="29" spans="1:13" x14ac:dyDescent="0.35">
      <c r="A29" s="141"/>
      <c r="B29" s="141"/>
      <c r="C29" s="141"/>
      <c r="D29" s="141"/>
      <c r="E29" s="141"/>
      <c r="F29" s="141"/>
      <c r="G29" s="141"/>
      <c r="H29" s="141"/>
      <c r="I29" s="141"/>
      <c r="J29" s="141"/>
      <c r="K29" s="141"/>
      <c r="L29" s="141"/>
      <c r="M29" s="141"/>
    </row>
    <row r="30" spans="1:13" x14ac:dyDescent="0.35">
      <c r="A30" s="141"/>
      <c r="B30" s="141"/>
      <c r="C30" s="141"/>
      <c r="D30" s="141"/>
      <c r="E30" s="141"/>
      <c r="F30" s="141"/>
      <c r="G30" s="141"/>
      <c r="H30" s="141"/>
      <c r="I30" s="141"/>
      <c r="J30" s="141"/>
      <c r="K30" s="141"/>
      <c r="L30" s="141"/>
      <c r="M30" s="141"/>
    </row>
    <row r="31" spans="1:13" x14ac:dyDescent="0.35">
      <c r="A31" s="141"/>
      <c r="B31" s="141"/>
      <c r="C31" s="141"/>
      <c r="D31" s="141"/>
      <c r="E31" s="141"/>
      <c r="F31" s="141"/>
      <c r="G31" s="141"/>
      <c r="H31" s="141"/>
      <c r="I31" s="141"/>
      <c r="J31" s="141"/>
      <c r="K31" s="141"/>
      <c r="L31" s="141"/>
      <c r="M31" s="141"/>
    </row>
    <row r="32" spans="1:13" ht="15" thickBot="1" x14ac:dyDescent="0.4">
      <c r="A32" s="420" t="s">
        <v>66</v>
      </c>
      <c r="B32" s="420"/>
      <c r="C32" s="141"/>
      <c r="D32" s="141"/>
      <c r="E32" s="407" t="s">
        <v>67</v>
      </c>
      <c r="F32" s="407"/>
      <c r="G32" s="49"/>
      <c r="H32" s="49"/>
      <c r="I32" s="408"/>
      <c r="J32" s="408"/>
      <c r="K32" s="137"/>
      <c r="L32" s="138"/>
      <c r="M32" s="138"/>
    </row>
    <row r="33" spans="1:13" ht="15" thickTop="1" x14ac:dyDescent="0.35">
      <c r="A33" s="421" t="s">
        <v>69</v>
      </c>
      <c r="B33" s="421"/>
      <c r="D33" s="30"/>
      <c r="E33" s="410" t="s">
        <v>70</v>
      </c>
      <c r="F33" s="410"/>
      <c r="G33" s="410" t="s">
        <v>71</v>
      </c>
      <c r="H33" s="410"/>
      <c r="I33" s="138"/>
      <c r="J33" s="138"/>
      <c r="K33" s="138" t="s">
        <v>72</v>
      </c>
      <c r="L33" s="140"/>
      <c r="M33" s="140"/>
    </row>
    <row r="34" spans="1:13" x14ac:dyDescent="0.35">
      <c r="A34" s="414" t="s">
        <v>92</v>
      </c>
      <c r="B34" s="414"/>
      <c r="D34" s="142"/>
      <c r="E34" s="414" t="s">
        <v>73</v>
      </c>
      <c r="F34" s="414"/>
      <c r="G34" s="414" t="s">
        <v>74</v>
      </c>
      <c r="H34" s="414"/>
      <c r="I34" s="140"/>
      <c r="J34" s="140"/>
      <c r="K34" s="140" t="s">
        <v>75</v>
      </c>
      <c r="L34" s="139"/>
      <c r="M34" s="139"/>
    </row>
    <row r="35" spans="1:13" x14ac:dyDescent="0.35">
      <c r="A35" s="412" t="s">
        <v>94</v>
      </c>
      <c r="B35" s="412"/>
      <c r="D35" s="143"/>
      <c r="E35" s="414" t="s">
        <v>78</v>
      </c>
      <c r="F35" s="414"/>
      <c r="G35" s="414" t="s">
        <v>414</v>
      </c>
      <c r="H35" s="414"/>
      <c r="I35" s="139"/>
      <c r="J35" s="139"/>
      <c r="K35" s="139" t="s">
        <v>80</v>
      </c>
      <c r="L35" s="143"/>
      <c r="M35" s="143"/>
    </row>
    <row r="36" spans="1:13" x14ac:dyDescent="0.35">
      <c r="A36" s="412" t="s">
        <v>76</v>
      </c>
      <c r="B36" s="412"/>
      <c r="D36" s="143"/>
      <c r="E36" s="412" t="s">
        <v>76</v>
      </c>
      <c r="F36" s="412"/>
      <c r="G36" s="412" t="s">
        <v>76</v>
      </c>
      <c r="H36" s="412"/>
      <c r="I36" s="139"/>
      <c r="J36" s="139"/>
      <c r="K36" s="139"/>
    </row>
    <row r="41" spans="1:13" ht="15" thickBot="1" x14ac:dyDescent="0.4"/>
    <row r="42" spans="1:13" ht="15" thickTop="1" x14ac:dyDescent="0.35">
      <c r="A42" s="417" t="s">
        <v>114</v>
      </c>
      <c r="B42" s="417"/>
      <c r="C42" s="429" t="s">
        <v>282</v>
      </c>
      <c r="D42" s="429"/>
      <c r="E42" s="429"/>
    </row>
    <row r="43" spans="1:13" x14ac:dyDescent="0.35">
      <c r="A43" s="418" t="s">
        <v>115</v>
      </c>
      <c r="B43" s="418"/>
      <c r="C43" s="430" t="s">
        <v>7</v>
      </c>
      <c r="D43" s="430"/>
      <c r="E43" s="430"/>
    </row>
    <row r="44" spans="1:13" x14ac:dyDescent="0.35">
      <c r="A44" s="422" t="s">
        <v>116</v>
      </c>
      <c r="B44" s="418"/>
      <c r="C44" s="431" t="s">
        <v>77</v>
      </c>
      <c r="D44" s="431"/>
      <c r="E44" s="431"/>
    </row>
    <row r="45" spans="1:13" x14ac:dyDescent="0.35">
      <c r="A45" s="416" t="s">
        <v>117</v>
      </c>
      <c r="B45" s="416"/>
      <c r="C45" s="412" t="s">
        <v>81</v>
      </c>
      <c r="D45" s="412"/>
      <c r="E45" s="412"/>
    </row>
  </sheetData>
  <mergeCells count="47">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2:E22"/>
    <mergeCell ref="C23:E23"/>
    <mergeCell ref="C24:E24"/>
    <mergeCell ref="C25:E25"/>
    <mergeCell ref="C26:E26"/>
    <mergeCell ref="I32:J32"/>
    <mergeCell ref="A33:B33"/>
    <mergeCell ref="E33:F33"/>
    <mergeCell ref="G33:H33"/>
    <mergeCell ref="A34:B34"/>
    <mergeCell ref="E34:F34"/>
    <mergeCell ref="G34:H34"/>
    <mergeCell ref="A32:B32"/>
    <mergeCell ref="E32:F32"/>
    <mergeCell ref="A35:B35"/>
    <mergeCell ref="E35:F35"/>
    <mergeCell ref="G35:H35"/>
    <mergeCell ref="A36:B36"/>
    <mergeCell ref="E36:F36"/>
    <mergeCell ref="G36:H36"/>
    <mergeCell ref="A45:B45"/>
    <mergeCell ref="C45:E45"/>
    <mergeCell ref="A42:B42"/>
    <mergeCell ref="C42:E42"/>
    <mergeCell ref="A43:B43"/>
    <mergeCell ref="C43:E43"/>
    <mergeCell ref="A44:B44"/>
    <mergeCell ref="C44:E44"/>
  </mergeCells>
  <printOptions horizontalCentered="1"/>
  <pageMargins left="0.25" right="0.25" top="0.75" bottom="0.75" header="0.3" footer="0.3"/>
  <pageSetup paperSize="9" scale="68" orientation="landscape"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0F41-2DE2-411F-BB8B-487EC5E16B16}">
  <sheetPr>
    <pageSetUpPr fitToPage="1"/>
  </sheetPr>
  <dimension ref="A1:M36"/>
  <sheetViews>
    <sheetView topLeftCell="A10" workbookViewId="0">
      <selection activeCell="B22" sqref="B22:E2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9.5" customHeight="1" x14ac:dyDescent="0.35">
      <c r="A1" s="402" t="s">
        <v>352</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45923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487</v>
      </c>
      <c r="C12" s="86" t="s">
        <v>488</v>
      </c>
      <c r="D12" s="135">
        <v>2046</v>
      </c>
      <c r="E12" s="87" t="s">
        <v>24</v>
      </c>
      <c r="F12" s="87" t="s">
        <v>44</v>
      </c>
      <c r="G12" s="136" t="s">
        <v>489</v>
      </c>
      <c r="H12" s="78">
        <v>10000</v>
      </c>
      <c r="I12" s="42" t="s">
        <v>97</v>
      </c>
      <c r="J12" s="42" t="s">
        <v>97</v>
      </c>
      <c r="K12" s="11" t="s">
        <v>97</v>
      </c>
      <c r="L12" s="78" t="s">
        <v>97</v>
      </c>
      <c r="M12" s="12" t="s">
        <v>344</v>
      </c>
    </row>
    <row r="13" spans="1:13" x14ac:dyDescent="0.35">
      <c r="A13" s="415" t="s">
        <v>8</v>
      </c>
      <c r="B13" s="415"/>
      <c r="C13" s="415"/>
      <c r="D13" s="415"/>
      <c r="E13" s="415"/>
      <c r="F13" s="415"/>
      <c r="G13" s="415"/>
      <c r="H13" s="81">
        <f>SUM(H12:H12)</f>
        <v>10000</v>
      </c>
      <c r="I13" s="24"/>
      <c r="J13" s="25"/>
      <c r="K13" s="43"/>
      <c r="L13" s="141"/>
      <c r="M13" s="141"/>
    </row>
    <row r="14" spans="1:13" x14ac:dyDescent="0.35">
      <c r="A14" s="141"/>
      <c r="B14" s="141"/>
      <c r="C14" s="141"/>
      <c r="D14" s="141"/>
      <c r="E14" s="141"/>
      <c r="F14" s="141"/>
      <c r="G14" s="141"/>
      <c r="H14" s="141"/>
      <c r="I14" s="141"/>
      <c r="J14" s="141"/>
      <c r="K14" s="141"/>
      <c r="L14" s="141"/>
      <c r="M14" s="141"/>
    </row>
    <row r="15" spans="1:13" x14ac:dyDescent="0.35">
      <c r="A15" s="141"/>
      <c r="B15" s="141" t="s">
        <v>455</v>
      </c>
      <c r="C15" s="141"/>
      <c r="D15" s="141"/>
      <c r="E15" s="141"/>
      <c r="F15" s="141"/>
      <c r="G15" s="141"/>
      <c r="H15" s="141"/>
      <c r="I15" s="141"/>
      <c r="J15" s="141"/>
      <c r="K15" s="141"/>
      <c r="L15" s="141"/>
      <c r="M15" s="141"/>
    </row>
    <row r="16" spans="1:13" x14ac:dyDescent="0.35">
      <c r="A16" s="141"/>
      <c r="B16" s="141"/>
      <c r="C16" s="141"/>
      <c r="D16" s="141"/>
      <c r="E16" s="141"/>
      <c r="F16" s="141"/>
      <c r="G16" s="141"/>
      <c r="H16" s="141"/>
      <c r="I16" s="141"/>
      <c r="J16" s="141"/>
      <c r="K16" s="141"/>
      <c r="L16" s="141"/>
      <c r="M16" s="141"/>
    </row>
    <row r="17" spans="1:13" x14ac:dyDescent="0.35">
      <c r="A17" s="141"/>
      <c r="B17" s="141"/>
      <c r="C17" s="141"/>
      <c r="D17" s="141"/>
      <c r="E17" s="141"/>
      <c r="F17" s="141"/>
      <c r="G17" s="141"/>
      <c r="H17" s="141"/>
      <c r="I17" s="141"/>
      <c r="J17" s="141"/>
      <c r="K17" s="141"/>
      <c r="L17" s="141"/>
      <c r="M17" s="141"/>
    </row>
    <row r="18" spans="1:13" x14ac:dyDescent="0.35">
      <c r="A18" s="141"/>
      <c r="B18" s="141"/>
      <c r="C18" s="141"/>
      <c r="D18" s="141"/>
      <c r="E18" s="141"/>
      <c r="F18" s="141"/>
      <c r="G18" s="141"/>
      <c r="H18" s="141"/>
      <c r="I18" s="141"/>
      <c r="J18" s="141"/>
      <c r="K18" s="141"/>
      <c r="L18" s="141"/>
      <c r="M18" s="141"/>
    </row>
    <row r="19" spans="1:13" x14ac:dyDescent="0.35">
      <c r="A19" s="141"/>
      <c r="B19" s="141"/>
      <c r="C19" s="141"/>
      <c r="D19" s="141"/>
      <c r="E19" s="141"/>
      <c r="F19" s="141"/>
      <c r="G19" s="141"/>
      <c r="H19" s="141"/>
      <c r="I19" s="141"/>
      <c r="J19" s="141"/>
      <c r="K19" s="141"/>
      <c r="L19" s="141"/>
      <c r="M19" s="141"/>
    </row>
    <row r="20" spans="1:13" x14ac:dyDescent="0.35">
      <c r="A20" s="141"/>
      <c r="B20" s="141"/>
      <c r="C20" s="141"/>
      <c r="D20" s="141"/>
      <c r="E20" s="141"/>
      <c r="F20" s="141"/>
      <c r="G20" s="141"/>
      <c r="H20" s="141"/>
      <c r="I20" s="141"/>
      <c r="J20" s="141"/>
      <c r="K20" s="141"/>
      <c r="L20" s="141"/>
      <c r="M20" s="141"/>
    </row>
    <row r="21" spans="1:13" x14ac:dyDescent="0.35">
      <c r="A21" s="141"/>
      <c r="B21" s="141"/>
      <c r="C21" s="141"/>
      <c r="D21" s="141"/>
      <c r="E21" s="141"/>
      <c r="F21" s="141"/>
      <c r="G21" s="141"/>
      <c r="H21" s="141"/>
      <c r="I21" s="141"/>
      <c r="J21" s="141"/>
      <c r="K21" s="141"/>
      <c r="L21" s="141"/>
      <c r="M21" s="141"/>
    </row>
    <row r="22" spans="1:13" x14ac:dyDescent="0.35">
      <c r="A22" s="141"/>
      <c r="B22" s="457" t="s">
        <v>167</v>
      </c>
      <c r="C22" s="457"/>
      <c r="D22" s="457"/>
      <c r="E22" s="457"/>
      <c r="F22" s="141"/>
      <c r="G22" s="141"/>
      <c r="H22" s="141"/>
      <c r="I22" s="141"/>
      <c r="J22" s="141"/>
      <c r="K22" s="141"/>
      <c r="L22" s="141"/>
      <c r="M22" s="141"/>
    </row>
    <row r="23" spans="1:13" x14ac:dyDescent="0.35">
      <c r="A23" s="141"/>
      <c r="B23" s="48" t="s">
        <v>7</v>
      </c>
      <c r="C23" s="433" t="s">
        <v>92</v>
      </c>
      <c r="D23" s="433"/>
      <c r="E23" s="433"/>
      <c r="F23" s="141"/>
      <c r="G23" s="141"/>
      <c r="H23" s="141"/>
      <c r="I23" s="141"/>
      <c r="J23" s="141"/>
      <c r="K23" s="141"/>
      <c r="L23" s="141"/>
      <c r="M23" s="141"/>
    </row>
    <row r="24" spans="1:13" x14ac:dyDescent="0.35">
      <c r="A24" s="141"/>
      <c r="B24" s="48" t="s">
        <v>305</v>
      </c>
      <c r="C24" s="456" t="s">
        <v>483</v>
      </c>
      <c r="D24" s="456"/>
      <c r="E24" s="456"/>
      <c r="F24" s="141"/>
      <c r="G24" s="141"/>
      <c r="H24" s="141"/>
      <c r="I24" s="141"/>
      <c r="J24" s="141"/>
      <c r="K24" s="141"/>
      <c r="L24" s="141"/>
      <c r="M24" s="141"/>
    </row>
    <row r="25" spans="1:13" x14ac:dyDescent="0.35">
      <c r="A25" s="141"/>
      <c r="B25" s="48" t="s">
        <v>307</v>
      </c>
      <c r="C25" s="433" t="s">
        <v>308</v>
      </c>
      <c r="D25" s="433"/>
      <c r="E25" s="433"/>
      <c r="F25" s="141"/>
      <c r="G25" s="141"/>
      <c r="H25" s="141"/>
      <c r="I25" s="141"/>
      <c r="J25" s="141"/>
      <c r="K25" s="141"/>
      <c r="L25" s="141"/>
      <c r="M25" s="141"/>
    </row>
    <row r="26" spans="1:13" x14ac:dyDescent="0.35">
      <c r="A26" s="141"/>
      <c r="B26" s="144" t="s">
        <v>309</v>
      </c>
      <c r="C26" s="438" t="s">
        <v>484</v>
      </c>
      <c r="D26" s="438"/>
      <c r="E26" s="438"/>
      <c r="F26" s="141"/>
      <c r="G26" s="141"/>
      <c r="H26" s="141"/>
      <c r="I26" s="141"/>
      <c r="J26" s="141"/>
      <c r="K26" s="141"/>
      <c r="L26" s="141"/>
      <c r="M26" s="141"/>
    </row>
    <row r="27" spans="1:13" x14ac:dyDescent="0.35">
      <c r="A27" s="141"/>
      <c r="B27" s="141"/>
      <c r="C27" s="141"/>
      <c r="D27" s="141"/>
      <c r="E27" s="141"/>
      <c r="F27" s="141"/>
      <c r="G27" s="141"/>
      <c r="H27" s="141"/>
      <c r="I27" s="141"/>
      <c r="J27" s="141"/>
      <c r="K27" s="141"/>
      <c r="L27" s="141"/>
      <c r="M27" s="141"/>
    </row>
    <row r="28" spans="1:13" x14ac:dyDescent="0.35">
      <c r="A28" s="141"/>
      <c r="B28" s="141"/>
      <c r="C28" s="141"/>
      <c r="D28" s="141"/>
      <c r="E28" s="141"/>
      <c r="F28" s="141"/>
      <c r="G28" s="141"/>
      <c r="H28" s="141"/>
      <c r="I28" s="141"/>
      <c r="J28" s="141"/>
      <c r="K28" s="141"/>
      <c r="L28" s="141"/>
      <c r="M28" s="141"/>
    </row>
    <row r="29" spans="1:13" x14ac:dyDescent="0.35">
      <c r="A29" s="141"/>
      <c r="B29" s="141"/>
      <c r="C29" s="141"/>
      <c r="D29" s="141"/>
      <c r="E29" s="141"/>
      <c r="F29" s="141"/>
      <c r="G29" s="141"/>
      <c r="H29" s="141"/>
      <c r="I29" s="141"/>
      <c r="J29" s="141"/>
      <c r="K29" s="141"/>
      <c r="L29" s="141"/>
      <c r="M29" s="141"/>
    </row>
    <row r="30" spans="1:13" x14ac:dyDescent="0.35">
      <c r="A30" s="141"/>
      <c r="B30" s="141"/>
      <c r="C30" s="141"/>
      <c r="D30" s="141"/>
      <c r="E30" s="141"/>
      <c r="F30" s="141"/>
      <c r="G30" s="141"/>
      <c r="H30" s="141"/>
      <c r="I30" s="141"/>
      <c r="J30" s="141"/>
      <c r="K30" s="141"/>
      <c r="L30" s="141"/>
      <c r="M30" s="141"/>
    </row>
    <row r="31" spans="1:13" x14ac:dyDescent="0.35">
      <c r="A31" s="141"/>
      <c r="B31" s="141"/>
      <c r="C31" s="141"/>
      <c r="D31" s="141"/>
      <c r="E31" s="141"/>
      <c r="F31" s="141"/>
      <c r="G31" s="141"/>
      <c r="H31" s="141"/>
      <c r="I31" s="141"/>
      <c r="J31" s="141"/>
      <c r="K31" s="141"/>
      <c r="L31" s="141"/>
      <c r="M31" s="141"/>
    </row>
    <row r="32" spans="1:13" ht="15" thickBot="1" x14ac:dyDescent="0.4">
      <c r="A32" s="420" t="s">
        <v>66</v>
      </c>
      <c r="B32" s="420"/>
      <c r="C32" s="141"/>
      <c r="D32" s="141"/>
      <c r="E32" s="407" t="s">
        <v>67</v>
      </c>
      <c r="F32" s="407"/>
      <c r="G32" s="49"/>
      <c r="H32" s="49"/>
      <c r="I32" s="408"/>
      <c r="J32" s="408"/>
      <c r="K32" s="137"/>
      <c r="L32" s="138"/>
      <c r="M32" s="138"/>
    </row>
    <row r="33" spans="1:13" ht="15" thickTop="1" x14ac:dyDescent="0.35">
      <c r="A33" s="421" t="s">
        <v>69</v>
      </c>
      <c r="B33" s="421"/>
      <c r="D33" s="30"/>
      <c r="E33" s="410" t="s">
        <v>70</v>
      </c>
      <c r="F33" s="410"/>
      <c r="G33" s="410" t="s">
        <v>71</v>
      </c>
      <c r="H33" s="410"/>
      <c r="I33" s="138"/>
      <c r="J33" s="138"/>
      <c r="K33" s="138" t="s">
        <v>72</v>
      </c>
      <c r="L33" s="140"/>
      <c r="M33" s="140"/>
    </row>
    <row r="34" spans="1:13" x14ac:dyDescent="0.35">
      <c r="A34" s="414" t="s">
        <v>92</v>
      </c>
      <c r="B34" s="414"/>
      <c r="D34" s="142"/>
      <c r="E34" s="414" t="s">
        <v>73</v>
      </c>
      <c r="F34" s="414"/>
      <c r="G34" s="414" t="s">
        <v>74</v>
      </c>
      <c r="H34" s="414"/>
      <c r="I34" s="140"/>
      <c r="J34" s="140"/>
      <c r="K34" s="140" t="s">
        <v>75</v>
      </c>
      <c r="L34" s="139"/>
      <c r="M34" s="139"/>
    </row>
    <row r="35" spans="1:13" x14ac:dyDescent="0.35">
      <c r="A35" s="412" t="s">
        <v>94</v>
      </c>
      <c r="B35" s="412"/>
      <c r="D35" s="143"/>
      <c r="E35" s="414" t="s">
        <v>78</v>
      </c>
      <c r="F35" s="414"/>
      <c r="G35" s="414" t="s">
        <v>414</v>
      </c>
      <c r="H35" s="414"/>
      <c r="I35" s="139"/>
      <c r="J35" s="139"/>
      <c r="K35" s="139" t="s">
        <v>80</v>
      </c>
      <c r="L35" s="143"/>
      <c r="M35" s="143"/>
    </row>
    <row r="36" spans="1:13" x14ac:dyDescent="0.35">
      <c r="A36" s="412" t="s">
        <v>76</v>
      </c>
      <c r="B36" s="412"/>
      <c r="D36" s="143"/>
      <c r="E36" s="412" t="s">
        <v>76</v>
      </c>
      <c r="F36" s="412"/>
      <c r="G36" s="412" t="s">
        <v>76</v>
      </c>
      <c r="H36" s="412"/>
      <c r="I36" s="139"/>
      <c r="J36" s="139"/>
      <c r="K36" s="139"/>
    </row>
  </sheetData>
  <mergeCells count="39">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2:E22"/>
    <mergeCell ref="C23:E23"/>
    <mergeCell ref="C24:E24"/>
    <mergeCell ref="C25:E25"/>
    <mergeCell ref="C26:E26"/>
    <mergeCell ref="I32:J32"/>
    <mergeCell ref="A33:B33"/>
    <mergeCell ref="E33:F33"/>
    <mergeCell ref="G33:H33"/>
    <mergeCell ref="A34:B34"/>
    <mergeCell ref="E34:F34"/>
    <mergeCell ref="G34:H34"/>
    <mergeCell ref="A32:B32"/>
    <mergeCell ref="E32:F32"/>
    <mergeCell ref="A35:B35"/>
    <mergeCell ref="E35:F35"/>
    <mergeCell ref="G35:H35"/>
    <mergeCell ref="A36:B36"/>
    <mergeCell ref="E36:F36"/>
    <mergeCell ref="G36:H36"/>
  </mergeCells>
  <pageMargins left="0.25" right="0.25" top="0.75" bottom="0.75" header="0.3" footer="0.3"/>
  <pageSetup paperSize="9" scale="80"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EF0A-293F-46C9-8911-B6912EA9EEA5}">
  <sheetPr>
    <pageSetUpPr fitToPage="1"/>
  </sheetPr>
  <dimension ref="A1:M36"/>
  <sheetViews>
    <sheetView topLeftCell="A5" workbookViewId="0">
      <selection activeCell="B12" sqref="B12:M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 customHeight="1" x14ac:dyDescent="0.35">
      <c r="A1" s="402" t="s">
        <v>491</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471</v>
      </c>
      <c r="D3" s="403"/>
      <c r="E3" s="403"/>
      <c r="F3" s="403"/>
      <c r="G3" s="403"/>
      <c r="H3" s="403"/>
      <c r="I3" s="403"/>
      <c r="J3" s="403"/>
      <c r="K3" s="403"/>
      <c r="L3" s="403"/>
      <c r="M3" s="385"/>
    </row>
    <row r="4" spans="1:13" x14ac:dyDescent="0.35">
      <c r="A4" s="384" t="s">
        <v>4</v>
      </c>
      <c r="B4" s="385"/>
      <c r="C4" s="393" t="s">
        <v>470</v>
      </c>
      <c r="D4" s="394"/>
      <c r="E4" s="394"/>
      <c r="F4" s="394"/>
      <c r="G4" s="394"/>
      <c r="H4" s="394"/>
      <c r="I4" s="394"/>
      <c r="J4" s="394"/>
      <c r="K4" s="394"/>
      <c r="L4" s="394"/>
      <c r="M4" s="395"/>
    </row>
    <row r="5" spans="1:13" x14ac:dyDescent="0.35">
      <c r="A5" s="384" t="s">
        <v>5</v>
      </c>
      <c r="B5" s="385"/>
      <c r="C5" s="387">
        <v>45923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50000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379</v>
      </c>
      <c r="J11" s="3" t="s">
        <v>18</v>
      </c>
      <c r="K11" s="3" t="s">
        <v>19</v>
      </c>
      <c r="L11" s="3" t="s">
        <v>20</v>
      </c>
      <c r="M11" s="4" t="s">
        <v>21</v>
      </c>
    </row>
    <row r="12" spans="1:13" x14ac:dyDescent="0.35">
      <c r="A12" s="5">
        <v>1</v>
      </c>
      <c r="B12" s="85" t="s">
        <v>487</v>
      </c>
      <c r="C12" s="86" t="s">
        <v>488</v>
      </c>
      <c r="D12" s="135">
        <v>2046</v>
      </c>
      <c r="E12" s="87" t="s">
        <v>24</v>
      </c>
      <c r="F12" s="87" t="s">
        <v>44</v>
      </c>
      <c r="G12" s="136" t="s">
        <v>489</v>
      </c>
      <c r="H12" s="78">
        <v>50000</v>
      </c>
      <c r="I12" s="42" t="s">
        <v>97</v>
      </c>
      <c r="J12" s="42" t="s">
        <v>97</v>
      </c>
      <c r="K12" s="11" t="s">
        <v>97</v>
      </c>
      <c r="L12" s="78" t="s">
        <v>97</v>
      </c>
      <c r="M12" s="12" t="s">
        <v>344</v>
      </c>
    </row>
    <row r="13" spans="1:13" x14ac:dyDescent="0.35">
      <c r="A13" s="415" t="s">
        <v>8</v>
      </c>
      <c r="B13" s="415"/>
      <c r="C13" s="415"/>
      <c r="D13" s="415"/>
      <c r="E13" s="415"/>
      <c r="F13" s="415"/>
      <c r="G13" s="415"/>
      <c r="H13" s="81">
        <f>SUM(H12:H12)</f>
        <v>50000</v>
      </c>
      <c r="I13" s="24"/>
      <c r="J13" s="25"/>
      <c r="K13" s="43"/>
      <c r="L13" s="141"/>
      <c r="M13" s="141"/>
    </row>
    <row r="14" spans="1:13" x14ac:dyDescent="0.35">
      <c r="A14" s="141"/>
      <c r="B14" s="141"/>
      <c r="C14" s="141"/>
      <c r="D14" s="141"/>
      <c r="E14" s="141"/>
      <c r="F14" s="141"/>
      <c r="G14" s="141"/>
      <c r="H14" s="141"/>
      <c r="I14" s="141"/>
      <c r="J14" s="141"/>
      <c r="K14" s="141"/>
      <c r="L14" s="141"/>
      <c r="M14" s="141"/>
    </row>
    <row r="15" spans="1:13" x14ac:dyDescent="0.35">
      <c r="A15" s="141"/>
      <c r="B15" s="141" t="s">
        <v>490</v>
      </c>
      <c r="C15" s="141"/>
      <c r="D15" s="141"/>
      <c r="E15" s="141"/>
      <c r="F15" s="141"/>
      <c r="G15" s="141"/>
      <c r="H15" s="141"/>
      <c r="I15" s="141"/>
      <c r="J15" s="141"/>
      <c r="K15" s="141"/>
      <c r="L15" s="141"/>
      <c r="M15" s="141"/>
    </row>
    <row r="16" spans="1:13" x14ac:dyDescent="0.35">
      <c r="A16" s="141"/>
      <c r="B16" s="141"/>
      <c r="C16" s="141"/>
      <c r="D16" s="141"/>
      <c r="E16" s="141"/>
      <c r="F16" s="141"/>
      <c r="G16" s="141"/>
      <c r="H16" s="141"/>
      <c r="I16" s="141"/>
      <c r="J16" s="141"/>
      <c r="K16" s="141"/>
      <c r="L16" s="141"/>
      <c r="M16" s="141"/>
    </row>
    <row r="17" spans="1:13" x14ac:dyDescent="0.35">
      <c r="A17" s="141"/>
      <c r="B17" s="141"/>
      <c r="C17" s="141"/>
      <c r="D17" s="141"/>
      <c r="E17" s="141"/>
      <c r="F17" s="141"/>
      <c r="G17" s="141"/>
      <c r="H17" s="141"/>
      <c r="I17" s="141"/>
      <c r="J17" s="141"/>
      <c r="K17" s="141"/>
      <c r="L17" s="141"/>
      <c r="M17" s="141"/>
    </row>
    <row r="18" spans="1:13" x14ac:dyDescent="0.35">
      <c r="A18" s="141"/>
      <c r="B18" s="141"/>
      <c r="C18" s="141"/>
      <c r="D18" s="141"/>
      <c r="E18" s="141"/>
      <c r="F18" s="141"/>
      <c r="G18" s="141"/>
      <c r="H18" s="141"/>
      <c r="I18" s="141"/>
      <c r="J18" s="141"/>
      <c r="K18" s="141"/>
      <c r="L18" s="141"/>
      <c r="M18" s="141"/>
    </row>
    <row r="19" spans="1:13" x14ac:dyDescent="0.35">
      <c r="A19" s="141"/>
      <c r="B19" s="141"/>
      <c r="C19" s="141"/>
      <c r="D19" s="141"/>
      <c r="E19" s="141"/>
      <c r="F19" s="141"/>
      <c r="G19" s="141"/>
      <c r="H19" s="141"/>
      <c r="I19" s="141"/>
      <c r="J19" s="141"/>
      <c r="K19" s="141"/>
      <c r="L19" s="141"/>
      <c r="M19" s="141"/>
    </row>
    <row r="20" spans="1:13" x14ac:dyDescent="0.35">
      <c r="A20" s="141"/>
      <c r="B20" s="141"/>
      <c r="C20" s="141"/>
      <c r="D20" s="141"/>
      <c r="E20" s="141"/>
      <c r="F20" s="141"/>
      <c r="G20" s="141"/>
      <c r="H20" s="141"/>
      <c r="I20" s="141"/>
      <c r="J20" s="141"/>
      <c r="K20" s="141"/>
      <c r="L20" s="141"/>
      <c r="M20" s="141"/>
    </row>
    <row r="21" spans="1:13" x14ac:dyDescent="0.35">
      <c r="A21" s="141"/>
      <c r="B21" s="141"/>
      <c r="C21" s="141"/>
      <c r="D21" s="141"/>
      <c r="E21" s="141"/>
      <c r="F21" s="141"/>
      <c r="G21" s="141"/>
      <c r="H21" s="141"/>
      <c r="I21" s="141"/>
      <c r="J21" s="141"/>
      <c r="K21" s="141"/>
      <c r="L21" s="141"/>
      <c r="M21" s="141"/>
    </row>
    <row r="22" spans="1:13" x14ac:dyDescent="0.35">
      <c r="A22" s="141"/>
      <c r="B22" s="466"/>
      <c r="C22" s="466"/>
      <c r="D22" s="466"/>
      <c r="E22" s="466"/>
      <c r="F22" s="141"/>
      <c r="G22" s="141"/>
      <c r="H22" s="141"/>
      <c r="I22" s="141"/>
      <c r="J22" s="141"/>
      <c r="K22" s="141"/>
      <c r="L22" s="141"/>
      <c r="M22" s="141"/>
    </row>
    <row r="23" spans="1:13" x14ac:dyDescent="0.35">
      <c r="A23" s="141"/>
      <c r="B23" s="156"/>
      <c r="C23" s="467"/>
      <c r="D23" s="467"/>
      <c r="E23" s="467"/>
      <c r="F23" s="141"/>
      <c r="G23" s="141"/>
      <c r="H23" s="141"/>
      <c r="I23" s="141"/>
      <c r="J23" s="141"/>
      <c r="K23" s="141"/>
      <c r="L23" s="141"/>
      <c r="M23" s="141"/>
    </row>
    <row r="24" spans="1:13" x14ac:dyDescent="0.35">
      <c r="A24" s="141"/>
      <c r="B24" s="156"/>
      <c r="C24" s="468"/>
      <c r="D24" s="468"/>
      <c r="E24" s="468"/>
      <c r="F24" s="141"/>
      <c r="G24" s="141"/>
      <c r="H24" s="141"/>
      <c r="I24" s="141"/>
      <c r="J24" s="141"/>
      <c r="K24" s="141"/>
      <c r="L24" s="141"/>
      <c r="M24" s="141"/>
    </row>
    <row r="25" spans="1:13" x14ac:dyDescent="0.35">
      <c r="A25" s="141"/>
      <c r="B25" s="156"/>
      <c r="C25" s="467"/>
      <c r="D25" s="467"/>
      <c r="E25" s="467"/>
      <c r="F25" s="141"/>
      <c r="G25" s="141"/>
      <c r="H25" s="141"/>
      <c r="I25" s="141"/>
      <c r="J25" s="141"/>
      <c r="K25" s="141"/>
      <c r="L25" s="141"/>
      <c r="M25" s="141"/>
    </row>
    <row r="26" spans="1:13" x14ac:dyDescent="0.35">
      <c r="A26" s="141"/>
      <c r="B26" s="157"/>
      <c r="C26" s="469"/>
      <c r="D26" s="469"/>
      <c r="E26" s="469"/>
      <c r="F26" s="141"/>
      <c r="G26" s="141"/>
      <c r="H26" s="141"/>
      <c r="I26" s="141"/>
      <c r="J26" s="141"/>
      <c r="K26" s="141"/>
      <c r="L26" s="141"/>
      <c r="M26" s="141"/>
    </row>
    <row r="27" spans="1:13" x14ac:dyDescent="0.35">
      <c r="A27" s="141"/>
      <c r="B27" s="141"/>
      <c r="C27" s="141"/>
      <c r="D27" s="141"/>
      <c r="E27" s="141"/>
      <c r="F27" s="141"/>
      <c r="G27" s="141"/>
      <c r="H27" s="141"/>
      <c r="I27" s="141"/>
      <c r="J27" s="141"/>
      <c r="K27" s="141"/>
      <c r="L27" s="141"/>
      <c r="M27" s="141"/>
    </row>
    <row r="28" spans="1:13" x14ac:dyDescent="0.35">
      <c r="A28" s="141"/>
      <c r="B28" s="141"/>
      <c r="C28" s="141"/>
      <c r="D28" s="141"/>
      <c r="E28" s="141"/>
      <c r="F28" s="141"/>
      <c r="G28" s="141"/>
      <c r="H28" s="141"/>
      <c r="I28" s="141"/>
      <c r="J28" s="141"/>
      <c r="K28" s="141"/>
      <c r="L28" s="141"/>
      <c r="M28" s="141"/>
    </row>
    <row r="29" spans="1:13" x14ac:dyDescent="0.35">
      <c r="A29" s="141"/>
      <c r="B29" s="141"/>
      <c r="C29" s="141"/>
      <c r="D29" s="141"/>
      <c r="E29" s="141"/>
      <c r="F29" s="141"/>
      <c r="G29" s="141"/>
      <c r="H29" s="141"/>
      <c r="I29" s="141"/>
      <c r="J29" s="141"/>
      <c r="K29" s="141"/>
      <c r="L29" s="141"/>
      <c r="M29" s="141"/>
    </row>
    <row r="30" spans="1:13" x14ac:dyDescent="0.35">
      <c r="A30" s="141"/>
      <c r="B30" s="141"/>
      <c r="C30" s="141"/>
      <c r="D30" s="141"/>
      <c r="E30" s="141"/>
      <c r="F30" s="141"/>
      <c r="G30" s="141"/>
      <c r="H30" s="141"/>
      <c r="I30" s="141"/>
      <c r="J30" s="141"/>
      <c r="K30" s="141"/>
      <c r="L30" s="141"/>
      <c r="M30" s="141"/>
    </row>
    <row r="31" spans="1:13" x14ac:dyDescent="0.35">
      <c r="A31" s="141"/>
      <c r="B31" s="141"/>
      <c r="C31" s="141"/>
      <c r="D31" s="141"/>
      <c r="E31" s="141"/>
      <c r="F31" s="141"/>
      <c r="G31" s="141"/>
      <c r="H31" s="141"/>
      <c r="I31" s="141"/>
      <c r="J31" s="141"/>
      <c r="K31" s="141"/>
      <c r="L31" s="141"/>
      <c r="M31" s="141"/>
    </row>
    <row r="32" spans="1:13" ht="15" thickBot="1" x14ac:dyDescent="0.4">
      <c r="A32" s="420" t="s">
        <v>66</v>
      </c>
      <c r="B32" s="420"/>
      <c r="C32" s="141"/>
      <c r="D32" s="141"/>
      <c r="E32" s="407" t="s">
        <v>67</v>
      </c>
      <c r="F32" s="407"/>
      <c r="G32" s="49"/>
      <c r="H32" s="49"/>
      <c r="I32" s="408"/>
      <c r="J32" s="408"/>
      <c r="K32" s="137"/>
      <c r="L32" s="138"/>
      <c r="M32" s="138"/>
    </row>
    <row r="33" spans="1:13" ht="15" thickTop="1" x14ac:dyDescent="0.35">
      <c r="A33" s="421" t="s">
        <v>69</v>
      </c>
      <c r="B33" s="421"/>
      <c r="D33" s="30"/>
      <c r="E33" s="410" t="s">
        <v>70</v>
      </c>
      <c r="F33" s="410"/>
      <c r="G33" s="410" t="s">
        <v>71</v>
      </c>
      <c r="H33" s="410"/>
      <c r="I33" s="138"/>
      <c r="J33" s="138"/>
      <c r="K33" s="138" t="s">
        <v>72</v>
      </c>
      <c r="L33" s="140"/>
      <c r="M33" s="140"/>
    </row>
    <row r="34" spans="1:13" x14ac:dyDescent="0.35">
      <c r="A34" s="414" t="s">
        <v>92</v>
      </c>
      <c r="B34" s="414"/>
      <c r="D34" s="142"/>
      <c r="E34" s="414" t="s">
        <v>73</v>
      </c>
      <c r="F34" s="414"/>
      <c r="G34" s="414" t="s">
        <v>74</v>
      </c>
      <c r="H34" s="414"/>
      <c r="I34" s="140"/>
      <c r="J34" s="140"/>
      <c r="K34" s="140" t="s">
        <v>75</v>
      </c>
      <c r="L34" s="139"/>
      <c r="M34" s="139"/>
    </row>
    <row r="35" spans="1:13" x14ac:dyDescent="0.35">
      <c r="A35" s="412" t="s">
        <v>94</v>
      </c>
      <c r="B35" s="412"/>
      <c r="D35" s="143"/>
      <c r="E35" s="414" t="s">
        <v>78</v>
      </c>
      <c r="F35" s="414"/>
      <c r="G35" s="414" t="s">
        <v>414</v>
      </c>
      <c r="H35" s="414"/>
      <c r="I35" s="139"/>
      <c r="J35" s="139"/>
      <c r="K35" s="139" t="s">
        <v>80</v>
      </c>
      <c r="L35" s="143"/>
      <c r="M35" s="143"/>
    </row>
    <row r="36" spans="1:13" x14ac:dyDescent="0.35">
      <c r="A36" s="412" t="s">
        <v>76</v>
      </c>
      <c r="B36" s="412"/>
      <c r="D36" s="143"/>
      <c r="E36" s="412" t="s">
        <v>76</v>
      </c>
      <c r="F36" s="412"/>
      <c r="G36" s="412" t="s">
        <v>76</v>
      </c>
      <c r="H36" s="412"/>
      <c r="I36" s="139"/>
      <c r="J36" s="139"/>
      <c r="K36" s="139"/>
    </row>
  </sheetData>
  <mergeCells count="39">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2:E22"/>
    <mergeCell ref="C23:E23"/>
    <mergeCell ref="C24:E24"/>
    <mergeCell ref="C25:E25"/>
    <mergeCell ref="C26:E26"/>
    <mergeCell ref="I32:J32"/>
    <mergeCell ref="A33:B33"/>
    <mergeCell ref="E33:F33"/>
    <mergeCell ref="G33:H33"/>
    <mergeCell ref="A34:B34"/>
    <mergeCell ref="E34:F34"/>
    <mergeCell ref="G34:H34"/>
    <mergeCell ref="A32:B32"/>
    <mergeCell ref="E32:F32"/>
    <mergeCell ref="A35:B35"/>
    <mergeCell ref="E35:F35"/>
    <mergeCell ref="G35:H35"/>
    <mergeCell ref="A36:B36"/>
    <mergeCell ref="E36:F36"/>
    <mergeCell ref="G36:H36"/>
  </mergeCells>
  <pageMargins left="0.25" right="0.25" top="0.75" bottom="0.75" header="0.3" footer="0.3"/>
  <pageSetup scale="75" orientation="landscape"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80C6-C909-410E-96D6-8E25CBF69137}">
  <sheetPr>
    <pageSetUpPr fitToPage="1"/>
  </sheetPr>
  <dimension ref="A1:M54"/>
  <sheetViews>
    <sheetView topLeftCell="A15" workbookViewId="0">
      <selection activeCell="G27" sqref="G27"/>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2.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496</v>
      </c>
      <c r="D3" s="403"/>
      <c r="E3" s="403"/>
      <c r="F3" s="403"/>
      <c r="G3" s="403"/>
      <c r="H3" s="403"/>
      <c r="I3" s="403"/>
      <c r="J3" s="403"/>
      <c r="K3" s="403"/>
      <c r="L3" s="403"/>
      <c r="M3" s="385"/>
    </row>
    <row r="4" spans="1:13" x14ac:dyDescent="0.35">
      <c r="A4" s="384" t="s">
        <v>4</v>
      </c>
      <c r="B4" s="385"/>
      <c r="C4" s="393" t="s">
        <v>495</v>
      </c>
      <c r="D4" s="394"/>
      <c r="E4" s="394"/>
      <c r="F4" s="394"/>
      <c r="G4" s="394"/>
      <c r="H4" s="394"/>
      <c r="I4" s="394"/>
      <c r="J4" s="394"/>
      <c r="K4" s="394"/>
      <c r="L4" s="394"/>
      <c r="M4" s="395"/>
    </row>
    <row r="5" spans="1:13" x14ac:dyDescent="0.35">
      <c r="A5" s="384" t="s">
        <v>5</v>
      </c>
      <c r="B5" s="385"/>
      <c r="C5" s="387">
        <v>45949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H34</f>
        <v>652000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70" t="s">
        <v>9</v>
      </c>
      <c r="B10" s="470"/>
      <c r="C10" s="470"/>
      <c r="D10" s="470"/>
      <c r="E10" s="470"/>
      <c r="F10" s="470"/>
      <c r="G10" s="470"/>
      <c r="H10" s="470"/>
      <c r="I10" s="470"/>
      <c r="J10" s="470"/>
      <c r="K10" s="470"/>
      <c r="L10" s="470"/>
      <c r="M10" s="470"/>
    </row>
    <row r="11" spans="1:13" ht="54" x14ac:dyDescent="0.35">
      <c r="A11" s="1" t="s">
        <v>10</v>
      </c>
      <c r="B11" s="3" t="s">
        <v>11</v>
      </c>
      <c r="C11" s="3" t="s">
        <v>12</v>
      </c>
      <c r="D11" s="3" t="s">
        <v>13</v>
      </c>
      <c r="E11" s="3" t="s">
        <v>14</v>
      </c>
      <c r="F11" s="3" t="s">
        <v>15</v>
      </c>
      <c r="G11" s="3" t="s">
        <v>16</v>
      </c>
      <c r="H11" s="3" t="s">
        <v>17</v>
      </c>
      <c r="I11" s="3" t="s">
        <v>492</v>
      </c>
      <c r="J11" s="3" t="s">
        <v>18</v>
      </c>
      <c r="K11" s="3" t="s">
        <v>19</v>
      </c>
      <c r="L11" s="3" t="s">
        <v>20</v>
      </c>
      <c r="M11" s="3" t="s">
        <v>21</v>
      </c>
    </row>
    <row r="12" spans="1:13" x14ac:dyDescent="0.35">
      <c r="A12" s="5">
        <v>1</v>
      </c>
      <c r="B12" s="158" t="s">
        <v>119</v>
      </c>
      <c r="C12" s="158" t="s">
        <v>49</v>
      </c>
      <c r="D12" s="68" t="s">
        <v>63</v>
      </c>
      <c r="E12" s="68" t="s">
        <v>24</v>
      </c>
      <c r="F12" s="68" t="s">
        <v>25</v>
      </c>
      <c r="G12" s="68" t="s">
        <v>65</v>
      </c>
      <c r="H12" s="79">
        <v>60000</v>
      </c>
      <c r="I12" s="82">
        <v>50524</v>
      </c>
      <c r="J12" s="82">
        <v>69774</v>
      </c>
      <c r="K12" s="11">
        <v>45934</v>
      </c>
      <c r="L12" s="79">
        <v>60000</v>
      </c>
      <c r="M12" s="84" t="s">
        <v>176</v>
      </c>
    </row>
    <row r="13" spans="1:13" x14ac:dyDescent="0.35">
      <c r="A13" s="5">
        <v>2</v>
      </c>
      <c r="B13" s="71" t="s">
        <v>227</v>
      </c>
      <c r="C13" s="72" t="s">
        <v>49</v>
      </c>
      <c r="D13" s="73" t="s">
        <v>54</v>
      </c>
      <c r="E13" s="44" t="s">
        <v>24</v>
      </c>
      <c r="F13" s="44" t="s">
        <v>25</v>
      </c>
      <c r="G13" s="73" t="s">
        <v>55</v>
      </c>
      <c r="H13" s="80">
        <v>20000</v>
      </c>
      <c r="I13" s="10">
        <v>19776</v>
      </c>
      <c r="J13" s="10">
        <v>22776</v>
      </c>
      <c r="K13" s="11">
        <v>45939</v>
      </c>
      <c r="L13" s="80">
        <v>20000</v>
      </c>
      <c r="M13" s="17" t="s">
        <v>204</v>
      </c>
    </row>
    <row r="14" spans="1:13" x14ac:dyDescent="0.35">
      <c r="A14" s="5">
        <v>3</v>
      </c>
      <c r="B14" s="16" t="s">
        <v>231</v>
      </c>
      <c r="C14" s="7" t="s">
        <v>49</v>
      </c>
      <c r="D14" s="8" t="s">
        <v>60</v>
      </c>
      <c r="E14" s="5" t="s">
        <v>24</v>
      </c>
      <c r="F14" s="5" t="s">
        <v>25</v>
      </c>
      <c r="G14" s="8" t="s">
        <v>61</v>
      </c>
      <c r="H14" s="80">
        <v>15000</v>
      </c>
      <c r="I14" s="10">
        <v>29186</v>
      </c>
      <c r="J14" s="10">
        <v>30186</v>
      </c>
      <c r="K14" s="11">
        <v>45945</v>
      </c>
      <c r="L14" s="80">
        <v>20000</v>
      </c>
      <c r="M14" s="17" t="s">
        <v>132</v>
      </c>
    </row>
    <row r="15" spans="1:13" x14ac:dyDescent="0.35">
      <c r="A15" s="5">
        <v>4</v>
      </c>
      <c r="B15" s="16" t="s">
        <v>230</v>
      </c>
      <c r="C15" s="7" t="s">
        <v>49</v>
      </c>
      <c r="D15" s="8" t="s">
        <v>50</v>
      </c>
      <c r="E15" s="5" t="s">
        <v>24</v>
      </c>
      <c r="F15" s="5" t="s">
        <v>25</v>
      </c>
      <c r="G15" s="8" t="s">
        <v>51</v>
      </c>
      <c r="H15" s="80">
        <v>20000</v>
      </c>
      <c r="I15" s="10">
        <v>25834</v>
      </c>
      <c r="J15" s="10">
        <v>28838</v>
      </c>
      <c r="K15" s="11">
        <v>45945</v>
      </c>
      <c r="L15" s="80">
        <v>15000</v>
      </c>
      <c r="M15" s="17" t="s">
        <v>132</v>
      </c>
    </row>
    <row r="16" spans="1:13" x14ac:dyDescent="0.35">
      <c r="A16" s="5">
        <v>5</v>
      </c>
      <c r="B16" s="71" t="s">
        <v>232</v>
      </c>
      <c r="C16" s="72" t="s">
        <v>233</v>
      </c>
      <c r="D16" s="44" t="s">
        <v>234</v>
      </c>
      <c r="E16" s="5" t="s">
        <v>24</v>
      </c>
      <c r="F16" s="5" t="s">
        <v>25</v>
      </c>
      <c r="G16" s="44" t="s">
        <v>235</v>
      </c>
      <c r="H16" s="80">
        <v>80000</v>
      </c>
      <c r="I16" s="10">
        <v>79341</v>
      </c>
      <c r="J16" s="10">
        <v>89341</v>
      </c>
      <c r="K16" s="11">
        <v>45945</v>
      </c>
      <c r="L16" s="80">
        <v>80000</v>
      </c>
      <c r="M16" s="17" t="s">
        <v>236</v>
      </c>
    </row>
    <row r="17" spans="1:13" x14ac:dyDescent="0.35">
      <c r="A17" s="5">
        <v>6</v>
      </c>
      <c r="B17" s="16" t="s">
        <v>228</v>
      </c>
      <c r="C17" s="7" t="s">
        <v>49</v>
      </c>
      <c r="D17" s="8" t="s">
        <v>57</v>
      </c>
      <c r="E17" s="5" t="s">
        <v>24</v>
      </c>
      <c r="F17" s="5" t="s">
        <v>25</v>
      </c>
      <c r="G17" s="73" t="s">
        <v>359</v>
      </c>
      <c r="H17" s="80">
        <v>20000</v>
      </c>
      <c r="I17" s="10">
        <v>26810</v>
      </c>
      <c r="J17" s="10">
        <v>83610</v>
      </c>
      <c r="K17" s="11">
        <v>45945</v>
      </c>
      <c r="L17" s="80">
        <v>20000</v>
      </c>
      <c r="M17" s="17" t="s">
        <v>204</v>
      </c>
    </row>
    <row r="18" spans="1:13" x14ac:dyDescent="0.35">
      <c r="A18" s="5">
        <v>8</v>
      </c>
      <c r="B18" s="71" t="s">
        <v>30</v>
      </c>
      <c r="C18" s="72" t="s">
        <v>23</v>
      </c>
      <c r="D18" s="44" t="s">
        <v>31</v>
      </c>
      <c r="E18" s="44" t="s">
        <v>32</v>
      </c>
      <c r="F18" s="44" t="s">
        <v>25</v>
      </c>
      <c r="G18" s="44" t="s">
        <v>33</v>
      </c>
      <c r="H18" s="80">
        <v>50000</v>
      </c>
      <c r="I18" s="10">
        <v>52000</v>
      </c>
      <c r="J18" s="10">
        <v>76417</v>
      </c>
      <c r="K18" s="11">
        <v>45937</v>
      </c>
      <c r="L18" s="80">
        <v>50000</v>
      </c>
      <c r="M18" s="17" t="s">
        <v>104</v>
      </c>
    </row>
    <row r="19" spans="1:13" x14ac:dyDescent="0.35">
      <c r="A19" s="5">
        <v>9</v>
      </c>
      <c r="B19" s="71" t="s">
        <v>22</v>
      </c>
      <c r="C19" s="72" t="s">
        <v>23</v>
      </c>
      <c r="D19" s="44" t="s">
        <v>205</v>
      </c>
      <c r="E19" s="44" t="s">
        <v>24</v>
      </c>
      <c r="F19" s="44" t="s">
        <v>25</v>
      </c>
      <c r="G19" s="44" t="s">
        <v>105</v>
      </c>
      <c r="H19" s="80">
        <v>30000</v>
      </c>
      <c r="I19" s="10">
        <v>25888</v>
      </c>
      <c r="J19" s="10">
        <v>34800</v>
      </c>
      <c r="K19" s="11">
        <v>45937</v>
      </c>
      <c r="L19" s="80">
        <v>30000</v>
      </c>
      <c r="M19" s="17" t="s">
        <v>96</v>
      </c>
    </row>
    <row r="20" spans="1:13" x14ac:dyDescent="0.35">
      <c r="A20" s="5">
        <v>10</v>
      </c>
      <c r="B20" s="71" t="s">
        <v>36</v>
      </c>
      <c r="C20" s="72" t="s">
        <v>23</v>
      </c>
      <c r="D20" s="44">
        <v>1311</v>
      </c>
      <c r="E20" s="44" t="s">
        <v>24</v>
      </c>
      <c r="F20" s="44" t="s">
        <v>25</v>
      </c>
      <c r="G20" s="73" t="s">
        <v>37</v>
      </c>
      <c r="H20" s="80">
        <v>8000</v>
      </c>
      <c r="I20" s="10">
        <v>13625</v>
      </c>
      <c r="J20" s="10">
        <v>18625</v>
      </c>
      <c r="K20" s="11">
        <v>45937</v>
      </c>
      <c r="L20" s="80">
        <v>10000</v>
      </c>
      <c r="M20" s="17" t="s">
        <v>204</v>
      </c>
    </row>
    <row r="21" spans="1:13" x14ac:dyDescent="0.35">
      <c r="A21" s="5">
        <v>11</v>
      </c>
      <c r="B21" s="71" t="s">
        <v>38</v>
      </c>
      <c r="C21" s="72" t="s">
        <v>23</v>
      </c>
      <c r="D21" s="73" t="s">
        <v>39</v>
      </c>
      <c r="E21" s="44" t="s">
        <v>24</v>
      </c>
      <c r="F21" s="44" t="s">
        <v>25</v>
      </c>
      <c r="G21" s="73" t="s">
        <v>40</v>
      </c>
      <c r="H21" s="80">
        <v>5000</v>
      </c>
      <c r="I21" s="10">
        <v>17211</v>
      </c>
      <c r="J21" s="10">
        <v>20211</v>
      </c>
      <c r="K21" s="11">
        <v>45937</v>
      </c>
      <c r="L21" s="80">
        <v>10000</v>
      </c>
      <c r="M21" s="17" t="s">
        <v>154</v>
      </c>
    </row>
    <row r="22" spans="1:13" x14ac:dyDescent="0.35">
      <c r="A22" s="5">
        <v>12</v>
      </c>
      <c r="B22" s="6" t="s">
        <v>34</v>
      </c>
      <c r="C22" s="14" t="s">
        <v>23</v>
      </c>
      <c r="D22" s="15">
        <v>1149</v>
      </c>
      <c r="E22" s="15" t="s">
        <v>24</v>
      </c>
      <c r="F22" s="15" t="s">
        <v>25</v>
      </c>
      <c r="G22" s="13" t="s">
        <v>35</v>
      </c>
      <c r="H22" s="80">
        <v>10000</v>
      </c>
      <c r="I22" s="10">
        <v>15989</v>
      </c>
      <c r="J22" s="10">
        <v>21989</v>
      </c>
      <c r="K22" s="11">
        <v>45934</v>
      </c>
      <c r="L22" s="80">
        <v>15000</v>
      </c>
      <c r="M22" s="17" t="s">
        <v>154</v>
      </c>
    </row>
    <row r="23" spans="1:13" x14ac:dyDescent="0.35">
      <c r="A23" s="5">
        <v>13</v>
      </c>
      <c r="B23" s="71" t="s">
        <v>293</v>
      </c>
      <c r="C23" s="72" t="s">
        <v>23</v>
      </c>
      <c r="D23" s="155">
        <v>815</v>
      </c>
      <c r="E23" s="44" t="s">
        <v>24</v>
      </c>
      <c r="F23" s="44" t="s">
        <v>130</v>
      </c>
      <c r="G23" s="159" t="s">
        <v>287</v>
      </c>
      <c r="H23" s="145">
        <v>20000</v>
      </c>
      <c r="I23" s="10">
        <v>33873</v>
      </c>
      <c r="J23" s="10">
        <v>35873</v>
      </c>
      <c r="K23" s="123">
        <v>45946</v>
      </c>
      <c r="L23" s="145">
        <v>22000</v>
      </c>
      <c r="M23" s="17" t="s">
        <v>132</v>
      </c>
    </row>
    <row r="24" spans="1:13" x14ac:dyDescent="0.35">
      <c r="A24" s="5">
        <v>14</v>
      </c>
      <c r="B24" s="14" t="s">
        <v>373</v>
      </c>
      <c r="C24" s="7" t="s">
        <v>23</v>
      </c>
      <c r="D24" s="8">
        <v>1161</v>
      </c>
      <c r="E24" s="5" t="s">
        <v>24</v>
      </c>
      <c r="F24" s="5" t="s">
        <v>25</v>
      </c>
      <c r="G24" s="44" t="s">
        <v>374</v>
      </c>
      <c r="H24" s="145">
        <v>10000</v>
      </c>
      <c r="I24" s="10">
        <v>24661</v>
      </c>
      <c r="J24" s="10">
        <v>25661</v>
      </c>
      <c r="K24" s="124">
        <v>45946</v>
      </c>
      <c r="L24" s="145">
        <v>16000</v>
      </c>
      <c r="M24" s="48" t="s">
        <v>375</v>
      </c>
    </row>
    <row r="25" spans="1:13" x14ac:dyDescent="0.35">
      <c r="A25" s="5">
        <v>15</v>
      </c>
      <c r="B25" s="14" t="s">
        <v>398</v>
      </c>
      <c r="C25" s="7" t="s">
        <v>23</v>
      </c>
      <c r="D25" s="8">
        <v>741</v>
      </c>
      <c r="E25" s="5" t="s">
        <v>24</v>
      </c>
      <c r="F25" s="5" t="s">
        <v>25</v>
      </c>
      <c r="G25" s="44" t="s">
        <v>399</v>
      </c>
      <c r="H25" s="146">
        <v>6000</v>
      </c>
      <c r="I25" s="10">
        <v>26634</v>
      </c>
      <c r="J25" s="10">
        <v>27634</v>
      </c>
      <c r="K25" s="123">
        <v>45946</v>
      </c>
      <c r="L25" s="146">
        <v>7000</v>
      </c>
      <c r="M25" s="17" t="s">
        <v>204</v>
      </c>
    </row>
    <row r="26" spans="1:13" x14ac:dyDescent="0.35">
      <c r="A26" s="5">
        <v>16</v>
      </c>
      <c r="B26" s="71" t="s">
        <v>155</v>
      </c>
      <c r="C26" s="72" t="s">
        <v>23</v>
      </c>
      <c r="D26" s="73">
        <v>731</v>
      </c>
      <c r="E26" s="44" t="s">
        <v>24</v>
      </c>
      <c r="F26" s="44" t="s">
        <v>25</v>
      </c>
      <c r="G26" s="73" t="s">
        <v>131</v>
      </c>
      <c r="H26" s="80">
        <v>5000</v>
      </c>
      <c r="I26" s="10">
        <v>21016</v>
      </c>
      <c r="J26" s="10">
        <v>27645</v>
      </c>
      <c r="K26" s="11">
        <v>45937</v>
      </c>
      <c r="L26" s="80">
        <v>5000</v>
      </c>
      <c r="M26" s="17" t="s">
        <v>154</v>
      </c>
    </row>
    <row r="27" spans="1:13" x14ac:dyDescent="0.35">
      <c r="A27" s="5">
        <v>17</v>
      </c>
      <c r="B27" s="71" t="s">
        <v>450</v>
      </c>
      <c r="C27" s="72" t="s">
        <v>23</v>
      </c>
      <c r="D27" s="73" t="s">
        <v>451</v>
      </c>
      <c r="E27" s="44" t="s">
        <v>24</v>
      </c>
      <c r="F27" s="44" t="s">
        <v>130</v>
      </c>
      <c r="G27" s="73" t="s">
        <v>452</v>
      </c>
      <c r="H27" s="80">
        <v>10000</v>
      </c>
      <c r="I27" s="10">
        <v>28368</v>
      </c>
      <c r="J27" s="10">
        <v>35368</v>
      </c>
      <c r="K27" s="11">
        <v>45936</v>
      </c>
      <c r="L27" s="80">
        <v>18000</v>
      </c>
      <c r="M27" s="17" t="s">
        <v>364</v>
      </c>
    </row>
    <row r="28" spans="1:13" x14ac:dyDescent="0.35">
      <c r="A28" s="5">
        <v>18</v>
      </c>
      <c r="B28" s="71" t="s">
        <v>457</v>
      </c>
      <c r="C28" s="72" t="s">
        <v>23</v>
      </c>
      <c r="D28" s="73" t="s">
        <v>444</v>
      </c>
      <c r="E28" s="44" t="s">
        <v>24</v>
      </c>
      <c r="F28" s="44" t="s">
        <v>130</v>
      </c>
      <c r="G28" s="73" t="s">
        <v>458</v>
      </c>
      <c r="H28" s="80">
        <v>50000</v>
      </c>
      <c r="I28" s="10">
        <v>48171</v>
      </c>
      <c r="J28" s="10">
        <v>21533</v>
      </c>
      <c r="K28" s="11">
        <v>45934</v>
      </c>
      <c r="L28" s="80">
        <v>55000</v>
      </c>
      <c r="M28" s="134" t="s">
        <v>104</v>
      </c>
    </row>
    <row r="29" spans="1:13" x14ac:dyDescent="0.35">
      <c r="A29" s="5">
        <v>19</v>
      </c>
      <c r="B29" s="74" t="s">
        <v>485</v>
      </c>
      <c r="C29" s="72" t="s">
        <v>144</v>
      </c>
      <c r="D29" s="160">
        <v>452</v>
      </c>
      <c r="E29" s="44" t="s">
        <v>24</v>
      </c>
      <c r="F29" s="44" t="s">
        <v>44</v>
      </c>
      <c r="G29" s="161" t="s">
        <v>486</v>
      </c>
      <c r="H29" s="80">
        <v>100000</v>
      </c>
      <c r="I29" s="10">
        <v>52650</v>
      </c>
      <c r="J29" s="10">
        <v>95519</v>
      </c>
      <c r="K29" s="11">
        <v>45923</v>
      </c>
      <c r="L29" s="80">
        <v>100000</v>
      </c>
      <c r="M29" s="134" t="s">
        <v>493</v>
      </c>
    </row>
    <row r="30" spans="1:13" x14ac:dyDescent="0.35">
      <c r="A30" s="5">
        <v>20</v>
      </c>
      <c r="B30" s="74" t="s">
        <v>206</v>
      </c>
      <c r="C30" s="72" t="s">
        <v>144</v>
      </c>
      <c r="D30" s="73" t="s">
        <v>207</v>
      </c>
      <c r="E30" s="44" t="s">
        <v>24</v>
      </c>
      <c r="F30" s="44" t="s">
        <v>44</v>
      </c>
      <c r="G30" s="44" t="s">
        <v>208</v>
      </c>
      <c r="H30" s="80">
        <v>15000</v>
      </c>
      <c r="I30" s="10">
        <v>34332</v>
      </c>
      <c r="J30" s="10">
        <v>48522</v>
      </c>
      <c r="K30" s="11">
        <v>45902</v>
      </c>
      <c r="L30" s="80">
        <v>15000</v>
      </c>
      <c r="M30" s="134" t="s">
        <v>364</v>
      </c>
    </row>
    <row r="31" spans="1:13" x14ac:dyDescent="0.35">
      <c r="A31" s="5">
        <v>21</v>
      </c>
      <c r="B31" s="71" t="s">
        <v>419</v>
      </c>
      <c r="C31" s="72" t="s">
        <v>144</v>
      </c>
      <c r="D31" s="73" t="s">
        <v>424</v>
      </c>
      <c r="E31" s="44" t="s">
        <v>24</v>
      </c>
      <c r="F31" s="44" t="s">
        <v>44</v>
      </c>
      <c r="G31" s="73" t="s">
        <v>421</v>
      </c>
      <c r="H31" s="80">
        <v>70000</v>
      </c>
      <c r="I31" s="10">
        <v>40686</v>
      </c>
      <c r="J31" s="10">
        <v>60105</v>
      </c>
      <c r="K31" s="11">
        <v>45925</v>
      </c>
      <c r="L31" s="80">
        <v>50000</v>
      </c>
      <c r="M31" s="17" t="s">
        <v>453</v>
      </c>
    </row>
    <row r="32" spans="1:13" x14ac:dyDescent="0.35">
      <c r="A32" s="5">
        <v>22</v>
      </c>
      <c r="B32" s="74" t="s">
        <v>330</v>
      </c>
      <c r="C32" s="72" t="s">
        <v>144</v>
      </c>
      <c r="D32" s="73" t="s">
        <v>43</v>
      </c>
      <c r="E32" s="44" t="s">
        <v>24</v>
      </c>
      <c r="F32" s="44" t="s">
        <v>44</v>
      </c>
      <c r="G32" s="44">
        <v>24024723</v>
      </c>
      <c r="H32" s="78">
        <v>30000</v>
      </c>
      <c r="I32" s="42">
        <v>55287</v>
      </c>
      <c r="J32" s="42">
        <v>78898</v>
      </c>
      <c r="K32" s="11">
        <v>45925</v>
      </c>
      <c r="L32" s="78">
        <v>40000</v>
      </c>
      <c r="M32" s="12" t="s">
        <v>365</v>
      </c>
    </row>
    <row r="33" spans="1:13" x14ac:dyDescent="0.35">
      <c r="A33" s="5">
        <v>23</v>
      </c>
      <c r="B33" s="74" t="s">
        <v>331</v>
      </c>
      <c r="C33" s="72" t="s">
        <v>332</v>
      </c>
      <c r="D33" s="73" t="s">
        <v>333</v>
      </c>
      <c r="E33" s="44" t="s">
        <v>24</v>
      </c>
      <c r="F33" s="44" t="s">
        <v>44</v>
      </c>
      <c r="G33" s="44" t="s">
        <v>335</v>
      </c>
      <c r="H33" s="78">
        <v>18000</v>
      </c>
      <c r="I33" s="42">
        <v>18879</v>
      </c>
      <c r="J33" s="42">
        <v>34508</v>
      </c>
      <c r="K33" s="11">
        <v>45955</v>
      </c>
      <c r="L33" s="78">
        <v>23000</v>
      </c>
      <c r="M33" s="12" t="s">
        <v>494</v>
      </c>
    </row>
    <row r="34" spans="1:13" x14ac:dyDescent="0.35">
      <c r="A34" s="415" t="s">
        <v>8</v>
      </c>
      <c r="B34" s="415"/>
      <c r="C34" s="415"/>
      <c r="D34" s="415"/>
      <c r="E34" s="415"/>
      <c r="F34" s="415"/>
      <c r="G34" s="415"/>
      <c r="H34" s="81">
        <f>SUM(H12:H33)</f>
        <v>652000</v>
      </c>
      <c r="I34" s="24"/>
      <c r="J34" s="25"/>
      <c r="K34" s="43"/>
      <c r="L34" s="151"/>
      <c r="M34" s="151"/>
    </row>
    <row r="35" spans="1:13" x14ac:dyDescent="0.35">
      <c r="A35" s="151"/>
      <c r="B35" s="151"/>
      <c r="C35" s="151"/>
      <c r="D35" s="151"/>
      <c r="E35" s="151"/>
      <c r="F35" s="151"/>
      <c r="G35" s="151"/>
      <c r="H35" s="151"/>
      <c r="I35" s="151"/>
      <c r="J35" s="151"/>
      <c r="K35" s="151"/>
      <c r="L35" s="151"/>
      <c r="M35" s="151"/>
    </row>
    <row r="36" spans="1:13" x14ac:dyDescent="0.35">
      <c r="A36" s="151"/>
      <c r="B36" s="151" t="s">
        <v>497</v>
      </c>
      <c r="C36" s="151"/>
      <c r="D36" s="151"/>
      <c r="E36" s="151"/>
      <c r="F36" s="151"/>
      <c r="G36" s="151"/>
      <c r="H36" s="151"/>
      <c r="I36" s="151"/>
      <c r="J36" s="151"/>
      <c r="K36" s="151"/>
      <c r="L36" s="151"/>
      <c r="M36" s="151"/>
    </row>
    <row r="37" spans="1:13" x14ac:dyDescent="0.35">
      <c r="A37" s="151"/>
      <c r="B37" s="151"/>
      <c r="C37" s="151"/>
      <c r="D37" s="151"/>
      <c r="E37" s="151"/>
      <c r="F37" s="151"/>
      <c r="G37" s="151"/>
      <c r="H37" s="151"/>
      <c r="I37" s="151"/>
      <c r="J37" s="151"/>
      <c r="K37" s="151"/>
      <c r="L37" s="151"/>
      <c r="M37" s="151"/>
    </row>
    <row r="38" spans="1:13" x14ac:dyDescent="0.35">
      <c r="A38" s="151"/>
      <c r="B38" s="151"/>
      <c r="C38" s="151"/>
      <c r="D38" s="151"/>
      <c r="E38" s="151"/>
      <c r="F38" s="151"/>
      <c r="G38" s="151"/>
      <c r="H38" s="151"/>
      <c r="I38" s="151"/>
      <c r="J38" s="151"/>
      <c r="K38" s="151"/>
      <c r="L38" s="151"/>
      <c r="M38" s="151"/>
    </row>
    <row r="39" spans="1:13" x14ac:dyDescent="0.35">
      <c r="A39" s="151"/>
      <c r="B39" s="151"/>
      <c r="C39" s="151"/>
      <c r="D39" s="151"/>
      <c r="E39" s="151"/>
      <c r="F39" s="151"/>
      <c r="G39" s="151"/>
      <c r="H39" s="151"/>
      <c r="I39" s="151"/>
      <c r="J39" s="151"/>
      <c r="K39" s="151"/>
      <c r="L39" s="151"/>
      <c r="M39" s="151"/>
    </row>
    <row r="40" spans="1:13" x14ac:dyDescent="0.35">
      <c r="A40" s="151"/>
      <c r="B40" s="151"/>
      <c r="C40" s="151"/>
      <c r="D40" s="151"/>
      <c r="E40" s="151"/>
      <c r="F40" s="151"/>
      <c r="G40" s="151"/>
      <c r="H40" s="151"/>
      <c r="I40" s="151"/>
      <c r="J40" s="151"/>
      <c r="K40" s="151"/>
      <c r="L40" s="151"/>
      <c r="M40" s="151"/>
    </row>
    <row r="41" spans="1:13" ht="15" thickBot="1" x14ac:dyDescent="0.4">
      <c r="A41" s="420" t="s">
        <v>66</v>
      </c>
      <c r="B41" s="420"/>
      <c r="C41" s="151"/>
      <c r="D41" s="151"/>
      <c r="E41" s="407" t="s">
        <v>67</v>
      </c>
      <c r="F41" s="407"/>
      <c r="G41" s="49"/>
      <c r="H41" s="49"/>
      <c r="I41" s="408"/>
      <c r="J41" s="408"/>
      <c r="K41" s="149"/>
      <c r="L41" s="150"/>
      <c r="M41" s="150"/>
    </row>
    <row r="42" spans="1:13" ht="15" thickTop="1" x14ac:dyDescent="0.35">
      <c r="A42" s="421" t="s">
        <v>69</v>
      </c>
      <c r="B42" s="421"/>
      <c r="D42" s="30"/>
      <c r="E42" s="410" t="s">
        <v>70</v>
      </c>
      <c r="F42" s="410"/>
      <c r="G42" s="410" t="s">
        <v>71</v>
      </c>
      <c r="H42" s="410"/>
      <c r="I42" s="150"/>
      <c r="J42" s="150"/>
      <c r="K42" s="150" t="s">
        <v>72</v>
      </c>
      <c r="L42" s="148"/>
      <c r="M42" s="148"/>
    </row>
    <row r="43" spans="1:13" x14ac:dyDescent="0.35">
      <c r="A43" s="414" t="s">
        <v>92</v>
      </c>
      <c r="B43" s="414"/>
      <c r="D43" s="153"/>
      <c r="E43" s="414" t="s">
        <v>73</v>
      </c>
      <c r="F43" s="414"/>
      <c r="G43" s="414" t="s">
        <v>74</v>
      </c>
      <c r="H43" s="414"/>
      <c r="I43" s="148"/>
      <c r="J43" s="148"/>
      <c r="K43" s="148" t="s">
        <v>75</v>
      </c>
      <c r="L43" s="147"/>
      <c r="M43" s="147"/>
    </row>
    <row r="44" spans="1:13" x14ac:dyDescent="0.35">
      <c r="A44" s="412" t="s">
        <v>94</v>
      </c>
      <c r="B44" s="412"/>
      <c r="D44" s="154"/>
      <c r="E44" s="414" t="s">
        <v>78</v>
      </c>
      <c r="F44" s="414"/>
      <c r="G44" s="414" t="s">
        <v>414</v>
      </c>
      <c r="H44" s="414"/>
      <c r="I44" s="147"/>
      <c r="J44" s="147"/>
      <c r="K44" s="147" t="s">
        <v>80</v>
      </c>
      <c r="L44" s="154"/>
      <c r="M44" s="154"/>
    </row>
    <row r="45" spans="1:13" x14ac:dyDescent="0.35">
      <c r="A45" s="412" t="s">
        <v>76</v>
      </c>
      <c r="B45" s="412"/>
      <c r="D45" s="154"/>
      <c r="E45" s="412" t="s">
        <v>76</v>
      </c>
      <c r="F45" s="412"/>
      <c r="G45" s="412" t="s">
        <v>76</v>
      </c>
      <c r="H45" s="412"/>
      <c r="I45" s="147"/>
      <c r="J45" s="147"/>
      <c r="K45" s="147"/>
    </row>
    <row r="50" spans="1:5" ht="15" thickBot="1" x14ac:dyDescent="0.4"/>
    <row r="51" spans="1:5" ht="15" thickTop="1" x14ac:dyDescent="0.35">
      <c r="A51" s="417" t="s">
        <v>114</v>
      </c>
      <c r="B51" s="417"/>
      <c r="C51" s="429" t="s">
        <v>282</v>
      </c>
      <c r="D51" s="429"/>
      <c r="E51" s="429"/>
    </row>
    <row r="52" spans="1:5" x14ac:dyDescent="0.35">
      <c r="A52" s="418" t="s">
        <v>115</v>
      </c>
      <c r="B52" s="418"/>
      <c r="C52" s="430" t="s">
        <v>7</v>
      </c>
      <c r="D52" s="430"/>
      <c r="E52" s="430"/>
    </row>
    <row r="53" spans="1:5" x14ac:dyDescent="0.35">
      <c r="A53" s="422" t="s">
        <v>116</v>
      </c>
      <c r="B53" s="418"/>
      <c r="C53" s="431" t="s">
        <v>77</v>
      </c>
      <c r="D53" s="431"/>
      <c r="E53" s="431"/>
    </row>
    <row r="54" spans="1:5" x14ac:dyDescent="0.35">
      <c r="A54" s="416" t="s">
        <v>117</v>
      </c>
      <c r="B54" s="416"/>
      <c r="C54" s="412" t="s">
        <v>81</v>
      </c>
      <c r="D54" s="412"/>
      <c r="E54" s="412"/>
    </row>
  </sheetData>
  <mergeCells count="42">
    <mergeCell ref="A53:B53"/>
    <mergeCell ref="C53:E53"/>
    <mergeCell ref="A54:B54"/>
    <mergeCell ref="C54:E54"/>
    <mergeCell ref="A45:B45"/>
    <mergeCell ref="E45:F45"/>
    <mergeCell ref="G45:H45"/>
    <mergeCell ref="A51:B51"/>
    <mergeCell ref="C51:E51"/>
    <mergeCell ref="A52:B52"/>
    <mergeCell ref="C52:E52"/>
    <mergeCell ref="A43:B43"/>
    <mergeCell ref="E43:F43"/>
    <mergeCell ref="G43:H43"/>
    <mergeCell ref="A44:B44"/>
    <mergeCell ref="E44:F44"/>
    <mergeCell ref="G44:H44"/>
    <mergeCell ref="A41:B41"/>
    <mergeCell ref="E41:F41"/>
    <mergeCell ref="I41:J41"/>
    <mergeCell ref="A42:B42"/>
    <mergeCell ref="E42:F42"/>
    <mergeCell ref="G42:H42"/>
    <mergeCell ref="A34:G3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57" orientation="landscape"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6722-5789-4E9D-B90C-7A9C2940E0ED}">
  <sheetPr>
    <pageSetUpPr fitToPage="1"/>
  </sheetPr>
  <dimension ref="A1:M36"/>
  <sheetViews>
    <sheetView topLeftCell="A9" workbookViewId="0">
      <selection sqref="A1:M36"/>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6"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496</v>
      </c>
      <c r="D3" s="403"/>
      <c r="E3" s="403"/>
      <c r="F3" s="403"/>
      <c r="G3" s="403"/>
      <c r="H3" s="403"/>
      <c r="I3" s="403"/>
      <c r="J3" s="403"/>
      <c r="K3" s="403"/>
      <c r="L3" s="403"/>
      <c r="M3" s="385"/>
    </row>
    <row r="4" spans="1:13" x14ac:dyDescent="0.35">
      <c r="A4" s="384" t="s">
        <v>4</v>
      </c>
      <c r="B4" s="385"/>
      <c r="C4" s="393" t="s">
        <v>495</v>
      </c>
      <c r="D4" s="394"/>
      <c r="E4" s="394"/>
      <c r="F4" s="394"/>
      <c r="G4" s="394"/>
      <c r="H4" s="394"/>
      <c r="I4" s="394"/>
      <c r="J4" s="394"/>
      <c r="K4" s="394"/>
      <c r="L4" s="394"/>
      <c r="M4" s="395"/>
    </row>
    <row r="5" spans="1:13" x14ac:dyDescent="0.35">
      <c r="A5" s="384" t="s">
        <v>5</v>
      </c>
      <c r="B5" s="385"/>
      <c r="C5" s="387">
        <v>45949</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H21</f>
        <v>470000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492</v>
      </c>
      <c r="J11" s="3" t="s">
        <v>18</v>
      </c>
      <c r="K11" s="3" t="s">
        <v>19</v>
      </c>
      <c r="L11" s="3" t="s">
        <v>20</v>
      </c>
      <c r="M11" s="3" t="s">
        <v>84</v>
      </c>
    </row>
    <row r="12" spans="1:13" x14ac:dyDescent="0.35">
      <c r="A12" s="5">
        <v>1</v>
      </c>
      <c r="B12" s="14" t="s">
        <v>85</v>
      </c>
      <c r="C12" s="7" t="s">
        <v>86</v>
      </c>
      <c r="D12" s="8" t="s">
        <v>87</v>
      </c>
      <c r="E12" s="5" t="s">
        <v>24</v>
      </c>
      <c r="F12" s="5" t="s">
        <v>44</v>
      </c>
      <c r="G12" s="5">
        <v>35020062</v>
      </c>
      <c r="H12" s="155">
        <v>190000</v>
      </c>
      <c r="I12" s="10">
        <v>135919</v>
      </c>
      <c r="J12" s="10">
        <v>257211</v>
      </c>
      <c r="K12" s="35">
        <v>45925</v>
      </c>
      <c r="L12" s="155">
        <v>190000</v>
      </c>
      <c r="M12" s="48" t="s">
        <v>498</v>
      </c>
    </row>
    <row r="13" spans="1:13" x14ac:dyDescent="0.35">
      <c r="A13" s="5">
        <v>2</v>
      </c>
      <c r="B13" s="14" t="s">
        <v>89</v>
      </c>
      <c r="C13" s="7" t="s">
        <v>86</v>
      </c>
      <c r="D13" s="8" t="s">
        <v>90</v>
      </c>
      <c r="E13" s="5" t="s">
        <v>24</v>
      </c>
      <c r="F13" s="5" t="s">
        <v>44</v>
      </c>
      <c r="G13" s="13">
        <v>40021666</v>
      </c>
      <c r="H13" s="155">
        <v>45000</v>
      </c>
      <c r="I13" s="10">
        <v>56805</v>
      </c>
      <c r="J13" s="10">
        <v>93435</v>
      </c>
      <c r="K13" s="35">
        <v>45925</v>
      </c>
      <c r="L13" s="155">
        <v>60000</v>
      </c>
      <c r="M13" s="48" t="s">
        <v>325</v>
      </c>
    </row>
    <row r="14" spans="1:13" x14ac:dyDescent="0.35">
      <c r="A14" s="5">
        <v>3</v>
      </c>
      <c r="B14" s="14" t="s">
        <v>158</v>
      </c>
      <c r="C14" s="7" t="s">
        <v>86</v>
      </c>
      <c r="D14" s="8">
        <v>269</v>
      </c>
      <c r="E14" s="5" t="s">
        <v>24</v>
      </c>
      <c r="F14" s="5" t="s">
        <v>44</v>
      </c>
      <c r="G14" s="5">
        <v>74023856</v>
      </c>
      <c r="H14" s="155">
        <v>40000</v>
      </c>
      <c r="I14" s="10">
        <v>53615</v>
      </c>
      <c r="J14" s="10">
        <v>89000</v>
      </c>
      <c r="K14" s="35">
        <v>45925</v>
      </c>
      <c r="L14" s="155">
        <v>20000</v>
      </c>
      <c r="M14" s="12" t="s">
        <v>369</v>
      </c>
    </row>
    <row r="15" spans="1:13" x14ac:dyDescent="0.35">
      <c r="A15" s="5">
        <v>4</v>
      </c>
      <c r="B15" s="19" t="s">
        <v>255</v>
      </c>
      <c r="C15" s="20" t="s">
        <v>23</v>
      </c>
      <c r="D15" s="53" t="s">
        <v>256</v>
      </c>
      <c r="E15" s="22" t="s">
        <v>247</v>
      </c>
      <c r="F15" s="5" t="s">
        <v>44</v>
      </c>
      <c r="G15" s="53" t="s">
        <v>257</v>
      </c>
      <c r="H15" s="155">
        <v>5000</v>
      </c>
      <c r="I15" s="10">
        <v>22713</v>
      </c>
      <c r="J15" s="10">
        <v>27123</v>
      </c>
      <c r="K15" s="35">
        <v>45932</v>
      </c>
      <c r="L15" s="155">
        <v>5000</v>
      </c>
      <c r="M15" s="48" t="s">
        <v>371</v>
      </c>
    </row>
    <row r="16" spans="1:13" x14ac:dyDescent="0.35">
      <c r="A16" s="5">
        <v>5</v>
      </c>
      <c r="B16" s="19" t="s">
        <v>442</v>
      </c>
      <c r="C16" s="20" t="s">
        <v>443</v>
      </c>
      <c r="D16" s="53" t="s">
        <v>444</v>
      </c>
      <c r="E16" s="22" t="s">
        <v>24</v>
      </c>
      <c r="F16" s="5" t="s">
        <v>25</v>
      </c>
      <c r="G16" s="53" t="s">
        <v>445</v>
      </c>
      <c r="H16" s="155">
        <v>10000</v>
      </c>
      <c r="I16" s="10">
        <v>23405</v>
      </c>
      <c r="J16" s="10">
        <v>33005</v>
      </c>
      <c r="K16" s="35">
        <v>45934</v>
      </c>
      <c r="L16" s="155">
        <v>15000</v>
      </c>
      <c r="M16" s="48" t="s">
        <v>132</v>
      </c>
    </row>
    <row r="17" spans="1:13" x14ac:dyDescent="0.35">
      <c r="A17" s="5">
        <v>6</v>
      </c>
      <c r="B17" s="19" t="s">
        <v>261</v>
      </c>
      <c r="C17" s="20" t="s">
        <v>49</v>
      </c>
      <c r="D17" s="53" t="s">
        <v>262</v>
      </c>
      <c r="E17" s="22" t="s">
        <v>247</v>
      </c>
      <c r="F17" s="5" t="s">
        <v>130</v>
      </c>
      <c r="G17" s="53" t="s">
        <v>462</v>
      </c>
      <c r="H17" s="155">
        <v>50000</v>
      </c>
      <c r="I17" s="10">
        <v>28643</v>
      </c>
      <c r="J17" s="10">
        <v>45443</v>
      </c>
      <c r="K17" s="35">
        <v>45931</v>
      </c>
      <c r="L17" s="155">
        <v>50000</v>
      </c>
      <c r="M17" s="48" t="s">
        <v>365</v>
      </c>
    </row>
    <row r="18" spans="1:13" x14ac:dyDescent="0.35">
      <c r="A18" s="5">
        <v>7</v>
      </c>
      <c r="B18" s="16" t="s">
        <v>95</v>
      </c>
      <c r="C18" s="7" t="s">
        <v>49</v>
      </c>
      <c r="D18" s="8">
        <v>183</v>
      </c>
      <c r="E18" s="5" t="s">
        <v>24</v>
      </c>
      <c r="F18" s="5" t="s">
        <v>25</v>
      </c>
      <c r="G18" s="73" t="s">
        <v>279</v>
      </c>
      <c r="H18" s="155">
        <v>60000</v>
      </c>
      <c r="I18" s="10">
        <v>45646</v>
      </c>
      <c r="J18" s="10">
        <v>55246</v>
      </c>
      <c r="K18" s="35">
        <v>45945</v>
      </c>
      <c r="L18" s="155">
        <v>60000</v>
      </c>
      <c r="M18" s="17" t="s">
        <v>213</v>
      </c>
    </row>
    <row r="19" spans="1:13" x14ac:dyDescent="0.35">
      <c r="A19" s="5">
        <v>8</v>
      </c>
      <c r="B19" s="19" t="s">
        <v>246</v>
      </c>
      <c r="C19" s="20" t="s">
        <v>144</v>
      </c>
      <c r="D19" s="53" t="s">
        <v>254</v>
      </c>
      <c r="E19" s="22" t="s">
        <v>247</v>
      </c>
      <c r="F19" s="5" t="s">
        <v>44</v>
      </c>
      <c r="G19" s="21">
        <v>23905383</v>
      </c>
      <c r="H19" s="155">
        <v>50000</v>
      </c>
      <c r="I19" s="10">
        <v>28643</v>
      </c>
      <c r="J19" s="10">
        <v>45443</v>
      </c>
      <c r="K19" s="35">
        <v>45931</v>
      </c>
      <c r="L19" s="155">
        <v>45000</v>
      </c>
      <c r="M19" s="48" t="s">
        <v>365</v>
      </c>
    </row>
    <row r="20" spans="1:13" ht="27" x14ac:dyDescent="0.35">
      <c r="A20" s="5">
        <v>9</v>
      </c>
      <c r="B20" s="162" t="s">
        <v>149</v>
      </c>
      <c r="C20" s="20" t="s">
        <v>144</v>
      </c>
      <c r="D20" s="53" t="s">
        <v>146</v>
      </c>
      <c r="E20" s="22" t="s">
        <v>64</v>
      </c>
      <c r="F20" s="5" t="s">
        <v>145</v>
      </c>
      <c r="G20" s="21">
        <v>97017150</v>
      </c>
      <c r="H20" s="155">
        <v>20000</v>
      </c>
      <c r="I20" s="10">
        <v>30052</v>
      </c>
      <c r="J20" s="10">
        <v>31852</v>
      </c>
      <c r="K20" s="35">
        <v>45942</v>
      </c>
      <c r="L20" s="155">
        <v>15000</v>
      </c>
      <c r="M20" s="17" t="s">
        <v>366</v>
      </c>
    </row>
    <row r="21" spans="1:13" x14ac:dyDescent="0.35">
      <c r="A21" s="386" t="s">
        <v>8</v>
      </c>
      <c r="B21" s="386"/>
      <c r="C21" s="386"/>
      <c r="D21" s="386"/>
      <c r="E21" s="386"/>
      <c r="F21" s="386"/>
      <c r="G21" s="386"/>
      <c r="H21" s="23">
        <f>SUM(H12:H20)</f>
        <v>470000</v>
      </c>
      <c r="I21" s="24"/>
      <c r="J21" s="25"/>
      <c r="K21" s="25"/>
      <c r="L21" s="151"/>
      <c r="M21" s="151"/>
    </row>
    <row r="22" spans="1:13" x14ac:dyDescent="0.35">
      <c r="A22" s="151"/>
      <c r="B22" s="151"/>
      <c r="C22" s="151"/>
      <c r="D22" s="151"/>
      <c r="E22" s="151"/>
      <c r="F22" s="151"/>
      <c r="G22" s="151"/>
      <c r="H22" s="151"/>
      <c r="I22" s="38"/>
      <c r="J22" s="151"/>
      <c r="K22" s="151"/>
      <c r="L22" s="151"/>
      <c r="M22" s="151"/>
    </row>
    <row r="23" spans="1:13" x14ac:dyDescent="0.35">
      <c r="A23" s="151"/>
      <c r="B23" s="151" t="s">
        <v>499</v>
      </c>
      <c r="C23" s="151"/>
      <c r="D23" s="151"/>
      <c r="E23" s="151"/>
      <c r="F23" s="151"/>
      <c r="G23" s="151"/>
      <c r="H23" s="151"/>
      <c r="I23" s="38"/>
      <c r="J23" s="151"/>
      <c r="K23" s="151"/>
      <c r="L23" s="151"/>
      <c r="M23" s="151"/>
    </row>
    <row r="24" spans="1:13" x14ac:dyDescent="0.35">
      <c r="A24" s="151"/>
      <c r="B24" s="151"/>
      <c r="C24" s="151"/>
      <c r="D24" s="151"/>
      <c r="E24" s="151"/>
      <c r="F24" s="151"/>
      <c r="G24" s="151"/>
      <c r="H24" s="151"/>
      <c r="I24" s="38"/>
      <c r="J24" s="151"/>
      <c r="K24" s="151"/>
      <c r="L24" s="151"/>
      <c r="M24" s="151"/>
    </row>
    <row r="25" spans="1:13" x14ac:dyDescent="0.35">
      <c r="A25" s="151"/>
      <c r="B25" s="151"/>
      <c r="C25" s="151"/>
      <c r="D25" s="151"/>
      <c r="E25" s="151"/>
      <c r="F25" s="151"/>
      <c r="G25" s="151"/>
      <c r="H25" s="151"/>
      <c r="I25" s="38"/>
      <c r="J25" s="151"/>
      <c r="K25" s="151"/>
      <c r="L25" s="151"/>
      <c r="M25" s="151"/>
    </row>
    <row r="26" spans="1:13" x14ac:dyDescent="0.35">
      <c r="A26" s="151"/>
      <c r="B26" s="151"/>
      <c r="C26" s="151"/>
      <c r="D26" s="151"/>
      <c r="E26" s="151"/>
      <c r="F26" s="151"/>
      <c r="G26" s="151"/>
      <c r="H26" s="151"/>
      <c r="I26" s="38"/>
      <c r="J26" s="151"/>
      <c r="K26" s="151"/>
      <c r="L26" s="151"/>
      <c r="M26" s="151"/>
    </row>
    <row r="27" spans="1:13" x14ac:dyDescent="0.35">
      <c r="A27" s="151"/>
      <c r="B27" s="151"/>
      <c r="C27" s="151"/>
      <c r="D27" s="151"/>
      <c r="E27" s="151"/>
      <c r="F27" s="151"/>
      <c r="G27" s="151"/>
      <c r="H27" s="151"/>
      <c r="I27" s="38"/>
      <c r="J27" s="151"/>
      <c r="K27" s="151"/>
      <c r="L27" s="151"/>
      <c r="M27" s="151"/>
    </row>
    <row r="28" spans="1:13" x14ac:dyDescent="0.35">
      <c r="A28" s="151"/>
      <c r="B28" s="151"/>
      <c r="C28" s="151"/>
      <c r="D28" s="151"/>
      <c r="E28" s="151"/>
      <c r="F28" s="151"/>
      <c r="G28" s="151"/>
      <c r="H28" s="151"/>
      <c r="I28" s="38"/>
      <c r="J28" s="151"/>
      <c r="K28" s="151"/>
      <c r="L28" s="151"/>
      <c r="M28" s="151"/>
    </row>
    <row r="29" spans="1:13" x14ac:dyDescent="0.35">
      <c r="A29" s="151"/>
      <c r="B29" s="151"/>
      <c r="C29" s="151"/>
      <c r="D29" s="151"/>
      <c r="E29" s="151"/>
      <c r="F29" s="151"/>
      <c r="G29" s="151"/>
      <c r="H29" s="151"/>
      <c r="I29" s="38"/>
      <c r="J29" s="151"/>
      <c r="K29" s="151"/>
      <c r="L29" s="151"/>
      <c r="M29" s="151"/>
    </row>
    <row r="30" spans="1:13" x14ac:dyDescent="0.35">
      <c r="A30" s="151"/>
      <c r="B30" s="151"/>
      <c r="C30" s="151"/>
      <c r="D30" s="151"/>
      <c r="E30" s="151"/>
      <c r="F30" s="151"/>
      <c r="G30" s="151"/>
      <c r="H30" s="151"/>
      <c r="I30" s="38"/>
      <c r="J30" s="151"/>
      <c r="K30" s="151"/>
      <c r="L30" s="151"/>
      <c r="M30" s="151"/>
    </row>
    <row r="31" spans="1:13" x14ac:dyDescent="0.35">
      <c r="A31" s="151"/>
      <c r="B31" s="151"/>
      <c r="C31" s="151"/>
      <c r="D31" s="151"/>
      <c r="E31" s="151"/>
      <c r="F31" s="151"/>
      <c r="G31" s="151"/>
      <c r="H31" s="151"/>
      <c r="I31" s="38"/>
      <c r="J31" s="151"/>
      <c r="K31" s="151"/>
      <c r="L31" s="151"/>
      <c r="M31" s="151"/>
    </row>
    <row r="32" spans="1:13" x14ac:dyDescent="0.35">
      <c r="A32" s="407" t="s">
        <v>66</v>
      </c>
      <c r="B32" s="407"/>
      <c r="C32" s="151"/>
      <c r="D32" s="151"/>
      <c r="E32" s="407" t="s">
        <v>67</v>
      </c>
      <c r="F32" s="407"/>
      <c r="G32" s="408"/>
      <c r="H32" s="408"/>
      <c r="I32" s="149"/>
      <c r="J32" s="149"/>
      <c r="K32" s="149"/>
      <c r="L32" s="39"/>
      <c r="M32" s="152"/>
    </row>
    <row r="33" spans="1:13" x14ac:dyDescent="0.35">
      <c r="A33" s="421" t="s">
        <v>69</v>
      </c>
      <c r="B33" s="421"/>
      <c r="D33" s="150"/>
      <c r="E33" s="410" t="s">
        <v>70</v>
      </c>
      <c r="F33" s="410"/>
      <c r="G33" s="410" t="s">
        <v>71</v>
      </c>
      <c r="H33" s="410"/>
      <c r="I33" s="150"/>
      <c r="J33" s="150"/>
      <c r="K33" s="150" t="s">
        <v>72</v>
      </c>
      <c r="L33" s="148"/>
      <c r="M33" s="148"/>
    </row>
    <row r="34" spans="1:13" x14ac:dyDescent="0.35">
      <c r="A34" s="414" t="s">
        <v>92</v>
      </c>
      <c r="B34" s="414"/>
      <c r="D34" s="153"/>
      <c r="E34" s="414" t="s">
        <v>73</v>
      </c>
      <c r="F34" s="414"/>
      <c r="G34" s="414" t="s">
        <v>74</v>
      </c>
      <c r="H34" s="414"/>
      <c r="I34" s="148"/>
      <c r="J34" s="148"/>
      <c r="K34" s="148" t="s">
        <v>75</v>
      </c>
      <c r="L34" s="147"/>
      <c r="M34" s="147"/>
    </row>
    <row r="35" spans="1:13" x14ac:dyDescent="0.35">
      <c r="A35" s="414" t="s">
        <v>94</v>
      </c>
      <c r="B35" s="414"/>
      <c r="D35" s="154"/>
      <c r="E35" s="414" t="s">
        <v>78</v>
      </c>
      <c r="F35" s="414"/>
      <c r="G35" s="414" t="s">
        <v>414</v>
      </c>
      <c r="H35" s="414"/>
      <c r="I35" s="147"/>
      <c r="J35" s="147"/>
      <c r="K35" s="148" t="s">
        <v>80</v>
      </c>
      <c r="L35" s="154"/>
      <c r="M35" s="154"/>
    </row>
    <row r="36" spans="1:13" x14ac:dyDescent="0.35">
      <c r="A36" s="412" t="s">
        <v>76</v>
      </c>
      <c r="B36" s="412"/>
      <c r="D36" s="154"/>
      <c r="E36" s="412" t="s">
        <v>76</v>
      </c>
      <c r="F36" s="412"/>
      <c r="G36" s="412" t="s">
        <v>76</v>
      </c>
      <c r="H36" s="412"/>
      <c r="I36" s="147"/>
      <c r="J36" s="147"/>
      <c r="K36" s="147"/>
    </row>
  </sheetData>
  <mergeCells count="34">
    <mergeCell ref="A36:B36"/>
    <mergeCell ref="E36:F36"/>
    <mergeCell ref="G36:H36"/>
    <mergeCell ref="A34:B34"/>
    <mergeCell ref="E34:F34"/>
    <mergeCell ref="G34:H34"/>
    <mergeCell ref="A35:B35"/>
    <mergeCell ref="E35:F35"/>
    <mergeCell ref="G35:H35"/>
    <mergeCell ref="A32:B32"/>
    <mergeCell ref="E32:F32"/>
    <mergeCell ref="G32:H32"/>
    <mergeCell ref="A33:B33"/>
    <mergeCell ref="E33:F33"/>
    <mergeCell ref="G33:H33"/>
    <mergeCell ref="A21:G21"/>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6B1E8-E7C7-4EC6-8042-793C9E5D730B}">
  <sheetPr>
    <pageSetUpPr fitToPage="1"/>
  </sheetPr>
  <dimension ref="A1:M58"/>
  <sheetViews>
    <sheetView topLeftCell="A20" workbookViewId="0">
      <selection activeCell="B36" sqref="B36:M3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501</v>
      </c>
      <c r="D4" s="394"/>
      <c r="E4" s="394"/>
      <c r="F4" s="394"/>
      <c r="G4" s="394"/>
      <c r="H4" s="394"/>
      <c r="I4" s="394"/>
      <c r="J4" s="394"/>
      <c r="K4" s="394"/>
      <c r="L4" s="394"/>
      <c r="M4" s="395"/>
    </row>
    <row r="5" spans="1:13" x14ac:dyDescent="0.35">
      <c r="A5" s="384" t="s">
        <v>5</v>
      </c>
      <c r="B5" s="385"/>
      <c r="C5" s="387">
        <v>45985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H38</f>
        <v>675000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502</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53683</v>
      </c>
      <c r="J12" s="82">
        <v>76433</v>
      </c>
      <c r="K12" s="11">
        <v>45964</v>
      </c>
      <c r="L12" s="79">
        <v>60000</v>
      </c>
      <c r="M12" s="84" t="s">
        <v>176</v>
      </c>
    </row>
    <row r="13" spans="1:13" x14ac:dyDescent="0.35">
      <c r="A13" s="5">
        <v>2</v>
      </c>
      <c r="B13" s="71" t="s">
        <v>227</v>
      </c>
      <c r="C13" s="72" t="s">
        <v>49</v>
      </c>
      <c r="D13" s="73" t="s">
        <v>54</v>
      </c>
      <c r="E13" s="44" t="s">
        <v>24</v>
      </c>
      <c r="F13" s="44" t="s">
        <v>25</v>
      </c>
      <c r="G13" s="73" t="s">
        <v>55</v>
      </c>
      <c r="H13" s="80">
        <v>20000</v>
      </c>
      <c r="I13" s="10">
        <v>26549</v>
      </c>
      <c r="J13" s="10">
        <v>28549</v>
      </c>
      <c r="K13" s="11">
        <v>45973</v>
      </c>
      <c r="L13" s="80">
        <v>20000</v>
      </c>
      <c r="M13" s="17" t="s">
        <v>204</v>
      </c>
    </row>
    <row r="14" spans="1:13" x14ac:dyDescent="0.35">
      <c r="A14" s="5">
        <v>3</v>
      </c>
      <c r="B14" s="16" t="s">
        <v>228</v>
      </c>
      <c r="C14" s="7" t="s">
        <v>49</v>
      </c>
      <c r="D14" s="8" t="s">
        <v>57</v>
      </c>
      <c r="E14" s="5" t="s">
        <v>24</v>
      </c>
      <c r="F14" s="5" t="s">
        <v>25</v>
      </c>
      <c r="G14" s="73" t="s">
        <v>359</v>
      </c>
      <c r="H14" s="80">
        <v>20000</v>
      </c>
      <c r="I14" s="10">
        <v>26455</v>
      </c>
      <c r="J14" s="10">
        <v>28055</v>
      </c>
      <c r="K14" s="11">
        <v>45973</v>
      </c>
      <c r="L14" s="80">
        <v>20000</v>
      </c>
      <c r="M14" s="17" t="s">
        <v>204</v>
      </c>
    </row>
    <row r="15" spans="1:13" x14ac:dyDescent="0.35">
      <c r="A15" s="5">
        <v>4</v>
      </c>
      <c r="B15" s="16" t="s">
        <v>231</v>
      </c>
      <c r="C15" s="7" t="s">
        <v>49</v>
      </c>
      <c r="D15" s="8" t="s">
        <v>60</v>
      </c>
      <c r="E15" s="5" t="s">
        <v>24</v>
      </c>
      <c r="F15" s="5" t="s">
        <v>25</v>
      </c>
      <c r="G15" s="8" t="s">
        <v>61</v>
      </c>
      <c r="H15" s="80">
        <v>15000</v>
      </c>
      <c r="I15" s="10">
        <v>28925</v>
      </c>
      <c r="J15" s="10">
        <v>29425</v>
      </c>
      <c r="K15" s="11">
        <v>45978</v>
      </c>
      <c r="L15" s="80">
        <v>20000</v>
      </c>
      <c r="M15" s="17" t="s">
        <v>132</v>
      </c>
    </row>
    <row r="16" spans="1:13" x14ac:dyDescent="0.35">
      <c r="A16" s="5">
        <v>5</v>
      </c>
      <c r="B16" s="71" t="s">
        <v>229</v>
      </c>
      <c r="C16" s="72" t="s">
        <v>49</v>
      </c>
      <c r="D16" s="44" t="s">
        <v>47</v>
      </c>
      <c r="E16" s="44" t="s">
        <v>24</v>
      </c>
      <c r="F16" s="44" t="s">
        <v>25</v>
      </c>
      <c r="G16" s="44" t="s">
        <v>102</v>
      </c>
      <c r="H16" s="80">
        <v>20000</v>
      </c>
      <c r="I16" s="10">
        <v>26455</v>
      </c>
      <c r="J16" s="10">
        <v>28055</v>
      </c>
      <c r="K16" s="11">
        <v>45973</v>
      </c>
      <c r="L16" s="80">
        <v>20000</v>
      </c>
      <c r="M16" s="17" t="s">
        <v>204</v>
      </c>
    </row>
    <row r="17" spans="1:13" x14ac:dyDescent="0.35">
      <c r="A17" s="5">
        <v>6</v>
      </c>
      <c r="B17" s="16" t="s">
        <v>230</v>
      </c>
      <c r="C17" s="7" t="s">
        <v>49</v>
      </c>
      <c r="D17" s="8" t="s">
        <v>50</v>
      </c>
      <c r="E17" s="5" t="s">
        <v>24</v>
      </c>
      <c r="F17" s="5" t="s">
        <v>25</v>
      </c>
      <c r="G17" s="8" t="s">
        <v>51</v>
      </c>
      <c r="H17" s="80">
        <v>20000</v>
      </c>
      <c r="I17" s="10">
        <v>22160</v>
      </c>
      <c r="J17" s="10">
        <v>29160</v>
      </c>
      <c r="K17" s="11">
        <v>45963</v>
      </c>
      <c r="L17" s="80">
        <v>15000</v>
      </c>
      <c r="M17" s="17" t="s">
        <v>132</v>
      </c>
    </row>
    <row r="18" spans="1:13" x14ac:dyDescent="0.35">
      <c r="A18" s="5">
        <v>7</v>
      </c>
      <c r="B18" s="71" t="s">
        <v>232</v>
      </c>
      <c r="C18" s="72" t="s">
        <v>233</v>
      </c>
      <c r="D18" s="44" t="s">
        <v>234</v>
      </c>
      <c r="E18" s="5" t="s">
        <v>24</v>
      </c>
      <c r="F18" s="5" t="s">
        <v>25</v>
      </c>
      <c r="G18" s="44" t="s">
        <v>235</v>
      </c>
      <c r="H18" s="80">
        <v>75000</v>
      </c>
      <c r="I18" s="10">
        <v>96466</v>
      </c>
      <c r="J18" s="10">
        <v>111466</v>
      </c>
      <c r="K18" s="11">
        <v>45971</v>
      </c>
      <c r="L18" s="80">
        <v>80000</v>
      </c>
      <c r="M18" s="17" t="s">
        <v>236</v>
      </c>
    </row>
    <row r="19" spans="1:13" x14ac:dyDescent="0.35">
      <c r="A19" s="5">
        <v>8</v>
      </c>
      <c r="B19" s="71" t="s">
        <v>26</v>
      </c>
      <c r="C19" s="72" t="s">
        <v>23</v>
      </c>
      <c r="D19" s="73" t="s">
        <v>27</v>
      </c>
      <c r="E19" s="44" t="s">
        <v>24</v>
      </c>
      <c r="F19" s="44" t="s">
        <v>25</v>
      </c>
      <c r="G19" s="73" t="s">
        <v>28</v>
      </c>
      <c r="H19" s="80">
        <v>5000</v>
      </c>
      <c r="I19" s="10">
        <v>35000</v>
      </c>
      <c r="J19" s="10">
        <v>42099</v>
      </c>
      <c r="K19" s="11">
        <v>45964</v>
      </c>
      <c r="L19" s="80">
        <v>12000</v>
      </c>
      <c r="M19" s="17" t="s">
        <v>154</v>
      </c>
    </row>
    <row r="20" spans="1:13" x14ac:dyDescent="0.35">
      <c r="A20" s="5">
        <v>9</v>
      </c>
      <c r="B20" s="71" t="s">
        <v>30</v>
      </c>
      <c r="C20" s="72" t="s">
        <v>23</v>
      </c>
      <c r="D20" s="44" t="s">
        <v>31</v>
      </c>
      <c r="E20" s="44" t="s">
        <v>32</v>
      </c>
      <c r="F20" s="44" t="s">
        <v>25</v>
      </c>
      <c r="G20" s="44" t="s">
        <v>33</v>
      </c>
      <c r="H20" s="80">
        <v>50000</v>
      </c>
      <c r="I20" s="10">
        <v>49907</v>
      </c>
      <c r="J20" s="10">
        <v>71507</v>
      </c>
      <c r="K20" s="11">
        <v>45968</v>
      </c>
      <c r="L20" s="80">
        <v>50000</v>
      </c>
      <c r="M20" s="17" t="s">
        <v>104</v>
      </c>
    </row>
    <row r="21" spans="1:13" x14ac:dyDescent="0.35">
      <c r="A21" s="5">
        <v>10</v>
      </c>
      <c r="B21" s="71" t="s">
        <v>22</v>
      </c>
      <c r="C21" s="72" t="s">
        <v>23</v>
      </c>
      <c r="D21" s="44" t="s">
        <v>205</v>
      </c>
      <c r="E21" s="44" t="s">
        <v>24</v>
      </c>
      <c r="F21" s="44" t="s">
        <v>25</v>
      </c>
      <c r="G21" s="44" t="s">
        <v>105</v>
      </c>
      <c r="H21" s="80">
        <v>20000</v>
      </c>
      <c r="I21" s="10">
        <v>31908</v>
      </c>
      <c r="J21" s="10">
        <v>41508</v>
      </c>
      <c r="K21" s="11">
        <v>45968</v>
      </c>
      <c r="L21" s="80">
        <v>30000</v>
      </c>
      <c r="M21" s="17" t="s">
        <v>96</v>
      </c>
    </row>
    <row r="22" spans="1:13" x14ac:dyDescent="0.35">
      <c r="A22" s="5">
        <v>11</v>
      </c>
      <c r="B22" s="71" t="s">
        <v>36</v>
      </c>
      <c r="C22" s="72" t="s">
        <v>23</v>
      </c>
      <c r="D22" s="44">
        <v>1311</v>
      </c>
      <c r="E22" s="44" t="s">
        <v>24</v>
      </c>
      <c r="F22" s="44" t="s">
        <v>25</v>
      </c>
      <c r="G22" s="73" t="s">
        <v>37</v>
      </c>
      <c r="H22" s="80">
        <v>6000</v>
      </c>
      <c r="I22" s="10">
        <v>12841</v>
      </c>
      <c r="J22" s="10">
        <v>18841</v>
      </c>
      <c r="K22" s="11">
        <v>45968</v>
      </c>
      <c r="L22" s="80">
        <v>10000</v>
      </c>
      <c r="M22" s="17" t="s">
        <v>204</v>
      </c>
    </row>
    <row r="23" spans="1:13" x14ac:dyDescent="0.35">
      <c r="A23" s="5">
        <v>12</v>
      </c>
      <c r="B23" s="71" t="s">
        <v>38</v>
      </c>
      <c r="C23" s="72" t="s">
        <v>23</v>
      </c>
      <c r="D23" s="73" t="s">
        <v>39</v>
      </c>
      <c r="E23" s="44" t="s">
        <v>24</v>
      </c>
      <c r="F23" s="44" t="s">
        <v>25</v>
      </c>
      <c r="G23" s="73" t="s">
        <v>40</v>
      </c>
      <c r="H23" s="80">
        <v>6000</v>
      </c>
      <c r="I23" s="10">
        <v>14400</v>
      </c>
      <c r="J23" s="10">
        <v>18000</v>
      </c>
      <c r="K23" s="11">
        <v>45968</v>
      </c>
      <c r="L23" s="80">
        <v>10000</v>
      </c>
      <c r="M23" s="17" t="s">
        <v>154</v>
      </c>
    </row>
    <row r="24" spans="1:13" x14ac:dyDescent="0.35">
      <c r="A24" s="5">
        <v>13</v>
      </c>
      <c r="B24" s="6" t="s">
        <v>34</v>
      </c>
      <c r="C24" s="14" t="s">
        <v>23</v>
      </c>
      <c r="D24" s="15">
        <v>1149</v>
      </c>
      <c r="E24" s="15" t="s">
        <v>24</v>
      </c>
      <c r="F24" s="15" t="s">
        <v>25</v>
      </c>
      <c r="G24" s="13" t="s">
        <v>35</v>
      </c>
      <c r="H24" s="80">
        <v>5000</v>
      </c>
      <c r="I24" s="10">
        <v>19400</v>
      </c>
      <c r="J24" s="10">
        <v>25282</v>
      </c>
      <c r="K24" s="11">
        <v>45968</v>
      </c>
      <c r="L24" s="80">
        <v>15000</v>
      </c>
      <c r="M24" s="17" t="s">
        <v>154</v>
      </c>
    </row>
    <row r="25" spans="1:13" x14ac:dyDescent="0.35">
      <c r="A25" s="5">
        <v>14</v>
      </c>
      <c r="B25" s="97" t="s">
        <v>293</v>
      </c>
      <c r="C25" s="98" t="s">
        <v>23</v>
      </c>
      <c r="D25">
        <v>815</v>
      </c>
      <c r="E25" s="99" t="s">
        <v>24</v>
      </c>
      <c r="F25" s="99" t="s">
        <v>130</v>
      </c>
      <c r="G25" s="100" t="s">
        <v>287</v>
      </c>
      <c r="H25" s="145">
        <v>10000</v>
      </c>
      <c r="I25" s="102">
        <v>31450</v>
      </c>
      <c r="J25" s="102">
        <v>39450</v>
      </c>
      <c r="K25" s="103">
        <v>45973</v>
      </c>
      <c r="L25" s="145">
        <v>22000</v>
      </c>
      <c r="M25" s="64" t="s">
        <v>132</v>
      </c>
    </row>
    <row r="26" spans="1:13" x14ac:dyDescent="0.35">
      <c r="A26" s="5">
        <v>15</v>
      </c>
      <c r="B26" s="14" t="s">
        <v>373</v>
      </c>
      <c r="C26" s="7" t="s">
        <v>23</v>
      </c>
      <c r="D26" s="8">
        <v>1161</v>
      </c>
      <c r="E26" s="5" t="s">
        <v>24</v>
      </c>
      <c r="F26" s="5" t="s">
        <v>25</v>
      </c>
      <c r="G26" s="125" t="s">
        <v>374</v>
      </c>
      <c r="H26" s="145">
        <v>5000</v>
      </c>
      <c r="I26" s="10">
        <v>25000</v>
      </c>
      <c r="J26" s="10">
        <v>30419</v>
      </c>
      <c r="K26" s="124">
        <v>45970</v>
      </c>
      <c r="L26" s="145">
        <v>16000</v>
      </c>
      <c r="M26" s="48" t="s">
        <v>375</v>
      </c>
    </row>
    <row r="27" spans="1:13" x14ac:dyDescent="0.35">
      <c r="A27" s="5">
        <v>16</v>
      </c>
      <c r="B27" s="14" t="s">
        <v>398</v>
      </c>
      <c r="C27" s="7" t="s">
        <v>23</v>
      </c>
      <c r="D27" s="8">
        <v>741</v>
      </c>
      <c r="E27" s="5" t="s">
        <v>24</v>
      </c>
      <c r="F27" s="5" t="s">
        <v>25</v>
      </c>
      <c r="G27" s="125" t="s">
        <v>399</v>
      </c>
      <c r="H27" s="146">
        <v>5000</v>
      </c>
      <c r="I27" s="10">
        <v>22052</v>
      </c>
      <c r="J27" s="10">
        <v>27052</v>
      </c>
      <c r="K27" s="123">
        <v>45973</v>
      </c>
      <c r="L27" s="146">
        <v>7000</v>
      </c>
      <c r="M27" s="17" t="s">
        <v>204</v>
      </c>
    </row>
    <row r="28" spans="1:13" x14ac:dyDescent="0.35">
      <c r="A28" s="5">
        <v>17</v>
      </c>
      <c r="B28" s="71" t="s">
        <v>155</v>
      </c>
      <c r="C28" s="72" t="s">
        <v>23</v>
      </c>
      <c r="D28" s="73">
        <v>731</v>
      </c>
      <c r="E28" s="44" t="s">
        <v>24</v>
      </c>
      <c r="F28" s="44" t="s">
        <v>25</v>
      </c>
      <c r="G28" s="73" t="s">
        <v>131</v>
      </c>
      <c r="H28" s="80">
        <v>5000</v>
      </c>
      <c r="I28" s="10">
        <v>20214</v>
      </c>
      <c r="J28" s="10">
        <v>27214</v>
      </c>
      <c r="K28" s="11">
        <v>45964</v>
      </c>
      <c r="L28" s="80">
        <v>5000</v>
      </c>
      <c r="M28" s="17" t="s">
        <v>154</v>
      </c>
    </row>
    <row r="29" spans="1:13" x14ac:dyDescent="0.35">
      <c r="A29" s="5">
        <v>18</v>
      </c>
      <c r="B29" s="71" t="s">
        <v>450</v>
      </c>
      <c r="C29" s="72" t="s">
        <v>23</v>
      </c>
      <c r="D29" s="73" t="s">
        <v>451</v>
      </c>
      <c r="E29" s="44" t="s">
        <v>24</v>
      </c>
      <c r="F29" s="44" t="s">
        <v>130</v>
      </c>
      <c r="G29" s="73" t="s">
        <v>452</v>
      </c>
      <c r="H29" s="80">
        <v>5000</v>
      </c>
      <c r="I29" s="10">
        <v>32635</v>
      </c>
      <c r="J29" s="10">
        <v>37635</v>
      </c>
      <c r="K29" s="11">
        <v>45957</v>
      </c>
      <c r="L29" s="80">
        <v>18000</v>
      </c>
      <c r="M29" s="17" t="s">
        <v>364</v>
      </c>
    </row>
    <row r="30" spans="1:13" x14ac:dyDescent="0.35">
      <c r="A30" s="5">
        <v>19</v>
      </c>
      <c r="B30" s="71" t="s">
        <v>457</v>
      </c>
      <c r="C30" s="72" t="s">
        <v>23</v>
      </c>
      <c r="D30" s="73" t="s">
        <v>444</v>
      </c>
      <c r="E30" s="44" t="s">
        <v>24</v>
      </c>
      <c r="F30" s="44" t="s">
        <v>130</v>
      </c>
      <c r="G30" s="73" t="s">
        <v>458</v>
      </c>
      <c r="H30" s="80">
        <v>45000</v>
      </c>
      <c r="I30" s="10">
        <v>43144</v>
      </c>
      <c r="J30" s="10">
        <v>75144</v>
      </c>
      <c r="K30" s="11">
        <v>45960</v>
      </c>
      <c r="L30" s="80">
        <v>55000</v>
      </c>
      <c r="M30" s="134" t="s">
        <v>104</v>
      </c>
    </row>
    <row r="31" spans="1:13" x14ac:dyDescent="0.35">
      <c r="A31" s="5">
        <v>20</v>
      </c>
      <c r="B31" s="85" t="s">
        <v>472</v>
      </c>
      <c r="C31" s="86" t="s">
        <v>23</v>
      </c>
      <c r="D31" s="135">
        <v>1170</v>
      </c>
      <c r="E31" s="87" t="s">
        <v>24</v>
      </c>
      <c r="F31" s="87" t="s">
        <v>130</v>
      </c>
      <c r="G31" s="136" t="s">
        <v>473</v>
      </c>
      <c r="H31" s="80">
        <v>5000</v>
      </c>
      <c r="I31" s="10">
        <v>20800</v>
      </c>
      <c r="J31" s="10">
        <v>28035</v>
      </c>
      <c r="K31" s="11">
        <v>45939</v>
      </c>
      <c r="L31" s="80">
        <v>16000</v>
      </c>
      <c r="M31" s="134" t="s">
        <v>204</v>
      </c>
    </row>
    <row r="32" spans="1:13" x14ac:dyDescent="0.35">
      <c r="A32" s="5">
        <v>21</v>
      </c>
      <c r="B32" s="71" t="s">
        <v>419</v>
      </c>
      <c r="C32" s="72" t="s">
        <v>144</v>
      </c>
      <c r="D32" s="73" t="s">
        <v>424</v>
      </c>
      <c r="E32" s="44" t="s">
        <v>24</v>
      </c>
      <c r="F32" s="44" t="s">
        <v>44</v>
      </c>
      <c r="G32" s="73" t="s">
        <v>421</v>
      </c>
      <c r="H32" s="80">
        <v>80000</v>
      </c>
      <c r="I32" s="10">
        <v>52905</v>
      </c>
      <c r="J32" s="10">
        <v>92137</v>
      </c>
      <c r="K32" s="11">
        <v>45956</v>
      </c>
      <c r="L32" s="80">
        <v>50000</v>
      </c>
      <c r="M32" s="17" t="s">
        <v>453</v>
      </c>
    </row>
    <row r="33" spans="1:13" x14ac:dyDescent="0.35">
      <c r="A33" s="5">
        <v>22</v>
      </c>
      <c r="B33" s="74" t="s">
        <v>330</v>
      </c>
      <c r="C33" s="72" t="s">
        <v>144</v>
      </c>
      <c r="D33" s="73" t="s">
        <v>43</v>
      </c>
      <c r="E33" s="44" t="s">
        <v>24</v>
      </c>
      <c r="F33" s="44" t="s">
        <v>44</v>
      </c>
      <c r="G33" s="44">
        <v>24024723</v>
      </c>
      <c r="H33" s="78">
        <v>40000</v>
      </c>
      <c r="I33" s="42">
        <v>5601</v>
      </c>
      <c r="J33" s="42">
        <v>86035</v>
      </c>
      <c r="K33" s="11">
        <v>45956</v>
      </c>
      <c r="L33" s="78">
        <v>40000</v>
      </c>
      <c r="M33" s="12" t="s">
        <v>365</v>
      </c>
    </row>
    <row r="34" spans="1:13" x14ac:dyDescent="0.35">
      <c r="A34" s="5">
        <v>23</v>
      </c>
      <c r="B34" s="85" t="s">
        <v>485</v>
      </c>
      <c r="C34" s="86" t="s">
        <v>144</v>
      </c>
      <c r="D34" s="160">
        <v>452</v>
      </c>
      <c r="E34" s="87" t="s">
        <v>24</v>
      </c>
      <c r="F34" s="87" t="s">
        <v>44</v>
      </c>
      <c r="G34" s="179" t="s">
        <v>486</v>
      </c>
      <c r="H34" s="78">
        <v>90000</v>
      </c>
      <c r="I34" s="42">
        <v>49409</v>
      </c>
      <c r="J34" s="42">
        <v>102000</v>
      </c>
      <c r="K34" s="11">
        <v>45956</v>
      </c>
      <c r="L34" s="78">
        <v>80000</v>
      </c>
      <c r="M34" s="12" t="s">
        <v>503</v>
      </c>
    </row>
    <row r="35" spans="1:13" x14ac:dyDescent="0.35">
      <c r="A35" s="5">
        <v>24</v>
      </c>
      <c r="B35" s="85" t="s">
        <v>476</v>
      </c>
      <c r="C35" s="86" t="s">
        <v>144</v>
      </c>
      <c r="D35" s="180">
        <v>817</v>
      </c>
      <c r="E35" s="44" t="s">
        <v>24</v>
      </c>
      <c r="F35" s="44" t="s">
        <v>44</v>
      </c>
      <c r="G35" s="181" t="s">
        <v>477</v>
      </c>
      <c r="H35" s="78">
        <v>30000</v>
      </c>
      <c r="I35" s="42">
        <v>38763</v>
      </c>
      <c r="J35" s="42">
        <v>60577</v>
      </c>
      <c r="K35" s="11">
        <v>45925</v>
      </c>
      <c r="L35" s="78">
        <v>30000</v>
      </c>
      <c r="M35" s="12" t="s">
        <v>504</v>
      </c>
    </row>
    <row r="36" spans="1:13" x14ac:dyDescent="0.35">
      <c r="A36" s="5">
        <v>25</v>
      </c>
      <c r="B36" s="85" t="s">
        <v>206</v>
      </c>
      <c r="C36" s="86" t="s">
        <v>144</v>
      </c>
      <c r="D36" s="53" t="s">
        <v>207</v>
      </c>
      <c r="E36" s="87" t="s">
        <v>24</v>
      </c>
      <c r="F36" s="87" t="s">
        <v>44</v>
      </c>
      <c r="G36" s="87" t="s">
        <v>208</v>
      </c>
      <c r="H36" s="78">
        <v>15000</v>
      </c>
      <c r="I36" s="42">
        <v>42420</v>
      </c>
      <c r="J36" s="42">
        <v>56070</v>
      </c>
      <c r="K36" s="11">
        <v>45956</v>
      </c>
      <c r="L36" s="78">
        <v>20000</v>
      </c>
      <c r="M36" s="12" t="s">
        <v>504</v>
      </c>
    </row>
    <row r="37" spans="1:13" x14ac:dyDescent="0.35">
      <c r="A37" s="5">
        <v>26</v>
      </c>
      <c r="B37" s="85" t="s">
        <v>331</v>
      </c>
      <c r="C37" s="86" t="s">
        <v>332</v>
      </c>
      <c r="D37" s="53" t="s">
        <v>333</v>
      </c>
      <c r="E37" s="87" t="s">
        <v>24</v>
      </c>
      <c r="F37" s="87" t="s">
        <v>44</v>
      </c>
      <c r="G37" s="87" t="s">
        <v>335</v>
      </c>
      <c r="H37" s="78">
        <v>18000</v>
      </c>
      <c r="I37" s="42">
        <v>15107</v>
      </c>
      <c r="J37" s="42">
        <v>28150</v>
      </c>
      <c r="K37" s="11">
        <v>45956</v>
      </c>
      <c r="L37" s="78">
        <v>23000</v>
      </c>
      <c r="M37" s="12" t="s">
        <v>406</v>
      </c>
    </row>
    <row r="38" spans="1:13" x14ac:dyDescent="0.35">
      <c r="A38" s="415" t="s">
        <v>8</v>
      </c>
      <c r="B38" s="415"/>
      <c r="C38" s="415"/>
      <c r="D38" s="415"/>
      <c r="E38" s="415"/>
      <c r="F38" s="415"/>
      <c r="G38" s="415"/>
      <c r="H38" s="81">
        <f>SUM(H12:H37)</f>
        <v>675000</v>
      </c>
      <c r="I38" s="24"/>
      <c r="J38" s="25"/>
      <c r="K38" s="43"/>
      <c r="L38" s="167"/>
      <c r="M38" s="167"/>
    </row>
    <row r="39" spans="1:13" x14ac:dyDescent="0.35">
      <c r="A39" s="167"/>
      <c r="B39" s="167"/>
      <c r="C39" s="167"/>
      <c r="D39" s="167"/>
      <c r="E39" s="167"/>
      <c r="F39" s="167"/>
      <c r="G39" s="167"/>
      <c r="H39" s="167"/>
      <c r="I39" s="167"/>
      <c r="J39" s="167"/>
      <c r="K39" s="167"/>
      <c r="L39" s="167"/>
      <c r="M39" s="167"/>
    </row>
    <row r="40" spans="1:13" x14ac:dyDescent="0.35">
      <c r="A40" s="167"/>
      <c r="B40" s="167" t="s">
        <v>505</v>
      </c>
      <c r="C40" s="167"/>
      <c r="D40" s="167"/>
      <c r="E40" s="167"/>
      <c r="F40" s="167"/>
      <c r="G40" s="167"/>
      <c r="H40" s="167"/>
      <c r="I40" s="167"/>
      <c r="J40" s="167"/>
      <c r="K40" s="167"/>
      <c r="L40" s="167"/>
      <c r="M40" s="167"/>
    </row>
    <row r="41" spans="1:13" x14ac:dyDescent="0.35">
      <c r="A41" s="167"/>
      <c r="B41" s="167"/>
      <c r="C41" s="167"/>
      <c r="D41" s="167"/>
      <c r="E41" s="167"/>
      <c r="F41" s="167"/>
      <c r="G41" s="167"/>
      <c r="H41" s="167"/>
      <c r="I41" s="167"/>
      <c r="J41" s="167"/>
      <c r="K41" s="167"/>
      <c r="L41" s="167"/>
      <c r="M41" s="167"/>
    </row>
    <row r="42" spans="1:13" x14ac:dyDescent="0.35">
      <c r="A42" s="167"/>
      <c r="B42" s="167"/>
      <c r="C42" s="167"/>
      <c r="D42" s="167"/>
      <c r="E42" s="167"/>
      <c r="F42" s="167"/>
      <c r="G42" s="167"/>
      <c r="H42" s="167"/>
      <c r="I42" s="167"/>
      <c r="J42" s="167"/>
      <c r="K42" s="167"/>
      <c r="L42" s="167"/>
      <c r="M42" s="167"/>
    </row>
    <row r="43" spans="1:13" x14ac:dyDescent="0.35">
      <c r="A43" s="167"/>
      <c r="B43" s="167"/>
      <c r="C43" s="167"/>
      <c r="D43" s="167"/>
      <c r="E43" s="167"/>
      <c r="F43" s="167"/>
      <c r="G43" s="167"/>
      <c r="H43" s="167"/>
      <c r="I43" s="167"/>
      <c r="J43" s="167"/>
      <c r="K43" s="167"/>
      <c r="L43" s="167"/>
      <c r="M43" s="167"/>
    </row>
    <row r="44" spans="1:13" x14ac:dyDescent="0.35">
      <c r="A44" s="167"/>
      <c r="B44" s="167"/>
      <c r="C44" s="167"/>
      <c r="D44" s="167"/>
      <c r="E44" s="167"/>
      <c r="F44" s="167"/>
      <c r="G44" s="167"/>
      <c r="H44" s="167"/>
      <c r="I44" s="167"/>
      <c r="J44" s="167"/>
      <c r="K44" s="167"/>
      <c r="L44" s="167"/>
      <c r="M44" s="167"/>
    </row>
    <row r="45" spans="1:13" ht="15" thickBot="1" x14ac:dyDescent="0.4">
      <c r="A45" s="420" t="s">
        <v>66</v>
      </c>
      <c r="B45" s="420"/>
      <c r="C45" s="167"/>
      <c r="D45" s="167"/>
      <c r="E45" s="407" t="s">
        <v>67</v>
      </c>
      <c r="F45" s="407"/>
      <c r="G45" s="49"/>
      <c r="H45" s="49"/>
      <c r="I45" s="408"/>
      <c r="J45" s="408"/>
      <c r="K45" s="163"/>
      <c r="L45" s="164"/>
      <c r="M45" s="164"/>
    </row>
    <row r="46" spans="1:13" ht="15" thickTop="1" x14ac:dyDescent="0.35">
      <c r="A46" s="421" t="s">
        <v>69</v>
      </c>
      <c r="B46" s="421"/>
      <c r="D46" s="30"/>
      <c r="E46" s="410" t="s">
        <v>70</v>
      </c>
      <c r="F46" s="410"/>
      <c r="G46" s="410" t="s">
        <v>71</v>
      </c>
      <c r="H46" s="410"/>
      <c r="I46" s="164"/>
      <c r="J46" s="164"/>
      <c r="K46" s="164" t="s">
        <v>72</v>
      </c>
      <c r="L46" s="166"/>
      <c r="M46" s="166"/>
    </row>
    <row r="47" spans="1:13" x14ac:dyDescent="0.35">
      <c r="A47" s="414" t="s">
        <v>92</v>
      </c>
      <c r="B47" s="414"/>
      <c r="D47" s="169"/>
      <c r="E47" s="414" t="s">
        <v>73</v>
      </c>
      <c r="F47" s="414"/>
      <c r="G47" s="414" t="s">
        <v>74</v>
      </c>
      <c r="H47" s="414"/>
      <c r="I47" s="166"/>
      <c r="J47" s="166"/>
      <c r="K47" s="166" t="s">
        <v>75</v>
      </c>
      <c r="L47" s="165"/>
      <c r="M47" s="165"/>
    </row>
    <row r="48" spans="1:13" x14ac:dyDescent="0.35">
      <c r="A48" s="412" t="s">
        <v>94</v>
      </c>
      <c r="B48" s="412"/>
      <c r="D48" s="170"/>
      <c r="E48" s="414" t="s">
        <v>78</v>
      </c>
      <c r="F48" s="414"/>
      <c r="G48" s="414" t="s">
        <v>414</v>
      </c>
      <c r="H48" s="414"/>
      <c r="I48" s="165"/>
      <c r="J48" s="165"/>
      <c r="K48" s="165" t="s">
        <v>80</v>
      </c>
      <c r="L48" s="170"/>
      <c r="M48" s="170"/>
    </row>
    <row r="49" spans="1:11" x14ac:dyDescent="0.35">
      <c r="A49" s="412" t="s">
        <v>76</v>
      </c>
      <c r="B49" s="412"/>
      <c r="D49" s="170"/>
      <c r="E49" s="412" t="s">
        <v>76</v>
      </c>
      <c r="F49" s="412"/>
      <c r="G49" s="412" t="s">
        <v>76</v>
      </c>
      <c r="H49" s="412"/>
      <c r="I49" s="165"/>
      <c r="J49" s="165"/>
      <c r="K49" s="165"/>
    </row>
    <row r="54" spans="1:11" ht="15" thickBot="1" x14ac:dyDescent="0.4"/>
    <row r="55" spans="1:11" ht="15" thickTop="1" x14ac:dyDescent="0.35">
      <c r="A55" s="417" t="s">
        <v>114</v>
      </c>
      <c r="B55" s="417"/>
      <c r="C55" s="429" t="s">
        <v>282</v>
      </c>
      <c r="D55" s="429"/>
      <c r="E55" s="429"/>
    </row>
    <row r="56" spans="1:11" x14ac:dyDescent="0.35">
      <c r="A56" s="418" t="s">
        <v>115</v>
      </c>
      <c r="B56" s="418"/>
      <c r="C56" s="430" t="s">
        <v>7</v>
      </c>
      <c r="D56" s="430"/>
      <c r="E56" s="430"/>
    </row>
    <row r="57" spans="1:11" x14ac:dyDescent="0.35">
      <c r="A57" s="422" t="s">
        <v>116</v>
      </c>
      <c r="B57" s="418"/>
      <c r="C57" s="431" t="s">
        <v>77</v>
      </c>
      <c r="D57" s="431"/>
      <c r="E57" s="431"/>
    </row>
    <row r="58" spans="1:11" x14ac:dyDescent="0.35">
      <c r="A58" s="416" t="s">
        <v>117</v>
      </c>
      <c r="B58" s="416"/>
      <c r="C58" s="412" t="s">
        <v>81</v>
      </c>
      <c r="D58" s="412"/>
      <c r="E58" s="412"/>
    </row>
  </sheetData>
  <mergeCells count="42">
    <mergeCell ref="A4:B4"/>
    <mergeCell ref="C4:M4"/>
    <mergeCell ref="A1:M1"/>
    <mergeCell ref="A2:B2"/>
    <mergeCell ref="C2:M2"/>
    <mergeCell ref="A3:B3"/>
    <mergeCell ref="C3:M3"/>
    <mergeCell ref="A38:G38"/>
    <mergeCell ref="A5:B5"/>
    <mergeCell ref="C5:M5"/>
    <mergeCell ref="A6:B6"/>
    <mergeCell ref="C6:M6"/>
    <mergeCell ref="A7:B7"/>
    <mergeCell ref="C7:M7"/>
    <mergeCell ref="A8:B8"/>
    <mergeCell ref="C8:M8"/>
    <mergeCell ref="A9:B9"/>
    <mergeCell ref="C9:M9"/>
    <mergeCell ref="A10:M10"/>
    <mergeCell ref="A45:B45"/>
    <mergeCell ref="E45:F45"/>
    <mergeCell ref="I45:J45"/>
    <mergeCell ref="A46:B46"/>
    <mergeCell ref="E46:F46"/>
    <mergeCell ref="G46:H46"/>
    <mergeCell ref="A47:B47"/>
    <mergeCell ref="E47:F47"/>
    <mergeCell ref="G47:H47"/>
    <mergeCell ref="A48:B48"/>
    <mergeCell ref="E48:F48"/>
    <mergeCell ref="G48:H48"/>
    <mergeCell ref="G49:H49"/>
    <mergeCell ref="A55:B55"/>
    <mergeCell ref="C55:E55"/>
    <mergeCell ref="A56:B56"/>
    <mergeCell ref="C56:E56"/>
    <mergeCell ref="A57:B57"/>
    <mergeCell ref="C57:E57"/>
    <mergeCell ref="A58:B58"/>
    <mergeCell ref="C58:E58"/>
    <mergeCell ref="A49:B49"/>
    <mergeCell ref="E49:F49"/>
  </mergeCells>
  <printOptions horizontalCentered="1" verticalCentered="1"/>
  <pageMargins left="0" right="0" top="0.25" bottom="0.25" header="0.3" footer="0.3"/>
  <pageSetup paperSize="9" scale="62" orientation="landscape"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9F0C-6520-4FC7-8786-81FB0AE93F3A}">
  <sheetPr>
    <pageSetUpPr fitToPage="1"/>
  </sheetPr>
  <dimension ref="A1:M36"/>
  <sheetViews>
    <sheetView topLeftCell="A7" workbookViewId="0">
      <selection activeCell="B20" sqref="B20:M20"/>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501</v>
      </c>
      <c r="D4" s="394"/>
      <c r="E4" s="394"/>
      <c r="F4" s="394"/>
      <c r="G4" s="394"/>
      <c r="H4" s="394"/>
      <c r="I4" s="394"/>
      <c r="J4" s="394"/>
      <c r="K4" s="394"/>
      <c r="L4" s="394"/>
      <c r="M4" s="395"/>
    </row>
    <row r="5" spans="1:13" x14ac:dyDescent="0.35">
      <c r="A5" s="384" t="s">
        <v>5</v>
      </c>
      <c r="B5" s="385"/>
      <c r="C5" s="387">
        <v>45985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H21</f>
        <v>486000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506</v>
      </c>
      <c r="J11" s="3" t="s">
        <v>18</v>
      </c>
      <c r="K11" s="3" t="s">
        <v>19</v>
      </c>
      <c r="L11" s="3" t="s">
        <v>20</v>
      </c>
      <c r="M11" s="3" t="s">
        <v>84</v>
      </c>
    </row>
    <row r="12" spans="1:13" x14ac:dyDescent="0.35">
      <c r="A12" s="5">
        <v>1</v>
      </c>
      <c r="B12" s="14" t="s">
        <v>85</v>
      </c>
      <c r="C12" s="7" t="s">
        <v>86</v>
      </c>
      <c r="D12" s="8" t="s">
        <v>87</v>
      </c>
      <c r="E12" s="5" t="s">
        <v>24</v>
      </c>
      <c r="F12" s="5" t="s">
        <v>44</v>
      </c>
      <c r="G12" s="5">
        <v>35020062</v>
      </c>
      <c r="H12" s="48">
        <v>190000</v>
      </c>
      <c r="I12" s="10">
        <v>135919</v>
      </c>
      <c r="J12" s="10">
        <v>257211</v>
      </c>
      <c r="K12" s="35">
        <v>45971</v>
      </c>
      <c r="L12" s="48">
        <v>190000</v>
      </c>
      <c r="M12" s="48" t="s">
        <v>498</v>
      </c>
    </row>
    <row r="13" spans="1:13" x14ac:dyDescent="0.35">
      <c r="A13" s="5">
        <v>2</v>
      </c>
      <c r="B13" s="14" t="s">
        <v>89</v>
      </c>
      <c r="C13" s="7" t="s">
        <v>86</v>
      </c>
      <c r="D13" s="8" t="s">
        <v>90</v>
      </c>
      <c r="E13" s="5" t="s">
        <v>24</v>
      </c>
      <c r="F13" s="5" t="s">
        <v>44</v>
      </c>
      <c r="G13" s="13">
        <v>40021666</v>
      </c>
      <c r="H13" s="48">
        <v>50000</v>
      </c>
      <c r="I13" s="10">
        <v>56805</v>
      </c>
      <c r="J13" s="10">
        <v>93435</v>
      </c>
      <c r="K13" s="35">
        <v>45971</v>
      </c>
      <c r="L13" s="48">
        <v>45000</v>
      </c>
      <c r="M13" s="48" t="s">
        <v>325</v>
      </c>
    </row>
    <row r="14" spans="1:13" x14ac:dyDescent="0.35">
      <c r="A14" s="5">
        <v>3</v>
      </c>
      <c r="B14" s="14" t="s">
        <v>158</v>
      </c>
      <c r="C14" s="7" t="s">
        <v>86</v>
      </c>
      <c r="D14" s="8">
        <v>269</v>
      </c>
      <c r="E14" s="5" t="s">
        <v>24</v>
      </c>
      <c r="F14" s="5" t="s">
        <v>44</v>
      </c>
      <c r="G14" s="5">
        <v>74023856</v>
      </c>
      <c r="H14" s="48">
        <v>50000</v>
      </c>
      <c r="I14" s="10">
        <v>53615</v>
      </c>
      <c r="J14" s="10">
        <v>89000</v>
      </c>
      <c r="K14" s="35">
        <v>45971</v>
      </c>
      <c r="L14" s="48">
        <v>40000</v>
      </c>
      <c r="M14" s="12" t="s">
        <v>369</v>
      </c>
    </row>
    <row r="15" spans="1:13" x14ac:dyDescent="0.35">
      <c r="A15" s="5">
        <v>4</v>
      </c>
      <c r="B15" s="19" t="s">
        <v>255</v>
      </c>
      <c r="C15" s="20" t="s">
        <v>23</v>
      </c>
      <c r="D15" s="53" t="s">
        <v>256</v>
      </c>
      <c r="E15" s="22" t="s">
        <v>247</v>
      </c>
      <c r="F15" s="5" t="s">
        <v>44</v>
      </c>
      <c r="G15" s="53" t="s">
        <v>257</v>
      </c>
      <c r="H15" s="48">
        <v>6000</v>
      </c>
      <c r="I15" s="10">
        <v>14361</v>
      </c>
      <c r="J15" s="10">
        <v>21861</v>
      </c>
      <c r="K15" s="35">
        <v>45957</v>
      </c>
      <c r="L15" s="48">
        <v>5000</v>
      </c>
      <c r="M15" s="48" t="s">
        <v>371</v>
      </c>
    </row>
    <row r="16" spans="1:13" x14ac:dyDescent="0.35">
      <c r="A16" s="5">
        <v>5</v>
      </c>
      <c r="B16" s="19" t="s">
        <v>442</v>
      </c>
      <c r="C16" s="20" t="s">
        <v>443</v>
      </c>
      <c r="D16" s="53" t="s">
        <v>444</v>
      </c>
      <c r="E16" s="22" t="s">
        <v>24</v>
      </c>
      <c r="F16" s="5" t="s">
        <v>25</v>
      </c>
      <c r="G16" s="53" t="s">
        <v>445</v>
      </c>
      <c r="H16" s="48">
        <v>10000</v>
      </c>
      <c r="I16" s="10">
        <v>30282</v>
      </c>
      <c r="J16" s="10">
        <v>36282</v>
      </c>
      <c r="K16" s="35">
        <v>45959</v>
      </c>
      <c r="L16" s="48">
        <v>10000</v>
      </c>
      <c r="M16" s="48" t="s">
        <v>132</v>
      </c>
    </row>
    <row r="17" spans="1:13" x14ac:dyDescent="0.35">
      <c r="A17" s="5">
        <v>6</v>
      </c>
      <c r="B17" s="19" t="s">
        <v>261</v>
      </c>
      <c r="C17" s="20" t="s">
        <v>49</v>
      </c>
      <c r="D17" s="53" t="s">
        <v>262</v>
      </c>
      <c r="E17" s="22" t="s">
        <v>247</v>
      </c>
      <c r="F17" s="5" t="s">
        <v>130</v>
      </c>
      <c r="G17" s="53" t="s">
        <v>462</v>
      </c>
      <c r="H17" s="48">
        <v>50000</v>
      </c>
      <c r="I17" s="10">
        <v>28643</v>
      </c>
      <c r="J17" s="10">
        <v>45443</v>
      </c>
      <c r="K17" s="35">
        <v>45962</v>
      </c>
      <c r="L17" s="48">
        <v>50000</v>
      </c>
      <c r="M17" s="48" t="s">
        <v>365</v>
      </c>
    </row>
    <row r="18" spans="1:13" x14ac:dyDescent="0.35">
      <c r="A18" s="5">
        <v>7</v>
      </c>
      <c r="B18" s="16" t="s">
        <v>95</v>
      </c>
      <c r="C18" s="7" t="s">
        <v>49</v>
      </c>
      <c r="D18" s="8">
        <v>183</v>
      </c>
      <c r="E18" s="5" t="s">
        <v>24</v>
      </c>
      <c r="F18" s="5" t="s">
        <v>25</v>
      </c>
      <c r="G18" s="73" t="s">
        <v>279</v>
      </c>
      <c r="H18" s="48">
        <v>60000</v>
      </c>
      <c r="I18" s="10">
        <v>45646</v>
      </c>
      <c r="J18" s="10">
        <v>55246</v>
      </c>
      <c r="K18" s="35">
        <v>45969</v>
      </c>
      <c r="L18" s="48">
        <v>60000</v>
      </c>
      <c r="M18" s="17" t="s">
        <v>213</v>
      </c>
    </row>
    <row r="19" spans="1:13" x14ac:dyDescent="0.35">
      <c r="A19" s="5">
        <v>8</v>
      </c>
      <c r="B19" s="19" t="s">
        <v>246</v>
      </c>
      <c r="C19" s="20" t="s">
        <v>144</v>
      </c>
      <c r="D19" s="53" t="s">
        <v>254</v>
      </c>
      <c r="E19" s="22" t="s">
        <v>247</v>
      </c>
      <c r="F19" s="5" t="s">
        <v>44</v>
      </c>
      <c r="G19" s="21">
        <v>23905383</v>
      </c>
      <c r="H19" s="48">
        <v>30000</v>
      </c>
      <c r="I19" s="10">
        <v>28643</v>
      </c>
      <c r="J19" s="10">
        <v>45443</v>
      </c>
      <c r="K19" s="35">
        <v>45962</v>
      </c>
      <c r="L19" s="48">
        <v>50000</v>
      </c>
      <c r="M19" s="48" t="s">
        <v>365</v>
      </c>
    </row>
    <row r="20" spans="1:13" ht="27" x14ac:dyDescent="0.35">
      <c r="A20" s="5">
        <v>9</v>
      </c>
      <c r="B20" s="162" t="s">
        <v>149</v>
      </c>
      <c r="C20" s="20" t="s">
        <v>144</v>
      </c>
      <c r="D20" s="53" t="s">
        <v>146</v>
      </c>
      <c r="E20" s="22" t="s">
        <v>64</v>
      </c>
      <c r="F20" s="5" t="s">
        <v>145</v>
      </c>
      <c r="G20" s="21">
        <v>97017150</v>
      </c>
      <c r="H20" s="48">
        <v>40000</v>
      </c>
      <c r="I20" s="10">
        <v>27473</v>
      </c>
      <c r="J20" s="10">
        <v>42744</v>
      </c>
      <c r="K20" s="35">
        <v>45956</v>
      </c>
      <c r="L20" s="48">
        <v>20000</v>
      </c>
      <c r="M20" s="17" t="s">
        <v>366</v>
      </c>
    </row>
    <row r="21" spans="1:13" x14ac:dyDescent="0.35">
      <c r="A21" s="386" t="s">
        <v>8</v>
      </c>
      <c r="B21" s="386"/>
      <c r="C21" s="386"/>
      <c r="D21" s="386"/>
      <c r="E21" s="386"/>
      <c r="F21" s="386"/>
      <c r="G21" s="386"/>
      <c r="H21" s="23">
        <f>SUM(H12:H20)</f>
        <v>486000</v>
      </c>
      <c r="I21" s="24"/>
      <c r="J21" s="25"/>
      <c r="K21" s="25"/>
      <c r="L21" s="167"/>
      <c r="M21" s="167"/>
    </row>
    <row r="22" spans="1:13" x14ac:dyDescent="0.35">
      <c r="A22" s="167"/>
      <c r="B22" s="167"/>
      <c r="C22" s="167"/>
      <c r="D22" s="167"/>
      <c r="E22" s="167"/>
      <c r="F22" s="167"/>
      <c r="G22" s="167"/>
      <c r="H22" s="167"/>
      <c r="I22" s="38"/>
      <c r="J22" s="167"/>
      <c r="K22" s="167"/>
      <c r="L22" s="167"/>
      <c r="M22" s="167"/>
    </row>
    <row r="23" spans="1:13" x14ac:dyDescent="0.35">
      <c r="A23" s="167"/>
      <c r="B23" s="167" t="s">
        <v>507</v>
      </c>
      <c r="C23" s="167"/>
      <c r="D23" s="167"/>
      <c r="E23" s="167"/>
      <c r="F23" s="167"/>
      <c r="G23" s="167"/>
      <c r="H23" s="167"/>
      <c r="I23" s="38"/>
      <c r="J23" s="167"/>
      <c r="K23" s="167"/>
      <c r="L23" s="167"/>
      <c r="M23" s="167"/>
    </row>
    <row r="24" spans="1:13" x14ac:dyDescent="0.35">
      <c r="A24" s="167"/>
      <c r="B24" s="167"/>
      <c r="C24" s="167"/>
      <c r="D24" s="167"/>
      <c r="E24" s="167"/>
      <c r="F24" s="167"/>
      <c r="G24" s="167"/>
      <c r="H24" s="167"/>
      <c r="I24" s="38"/>
      <c r="J24" s="167"/>
      <c r="K24" s="167"/>
      <c r="L24" s="167"/>
      <c r="M24" s="167"/>
    </row>
    <row r="25" spans="1:13" x14ac:dyDescent="0.35">
      <c r="A25" s="167"/>
      <c r="B25" s="167"/>
      <c r="C25" s="167"/>
      <c r="D25" s="167"/>
      <c r="E25" s="167"/>
      <c r="F25" s="167"/>
      <c r="G25" s="167"/>
      <c r="H25" s="167"/>
      <c r="I25" s="38"/>
      <c r="J25" s="167"/>
      <c r="K25" s="167"/>
      <c r="L25" s="167"/>
      <c r="M25" s="167"/>
    </row>
    <row r="26" spans="1:13" x14ac:dyDescent="0.35">
      <c r="A26" s="167"/>
      <c r="B26" s="167"/>
      <c r="C26" s="167"/>
      <c r="D26" s="167"/>
      <c r="E26" s="167"/>
      <c r="F26" s="167"/>
      <c r="G26" s="167"/>
      <c r="H26" s="167"/>
      <c r="I26" s="38"/>
      <c r="J26" s="167"/>
      <c r="K26" s="167"/>
      <c r="L26" s="167"/>
      <c r="M26" s="167"/>
    </row>
    <row r="27" spans="1:13" x14ac:dyDescent="0.35">
      <c r="A27" s="167"/>
      <c r="B27" s="167"/>
      <c r="C27" s="167"/>
      <c r="D27" s="167"/>
      <c r="E27" s="167"/>
      <c r="F27" s="167"/>
      <c r="G27" s="167"/>
      <c r="H27" s="167"/>
      <c r="I27" s="38"/>
      <c r="J27" s="167"/>
      <c r="K27" s="167"/>
      <c r="L27" s="167"/>
      <c r="M27" s="167"/>
    </row>
    <row r="28" spans="1:13" x14ac:dyDescent="0.35">
      <c r="A28" s="167"/>
      <c r="B28" s="167"/>
      <c r="C28" s="167"/>
      <c r="D28" s="167"/>
      <c r="E28" s="167"/>
      <c r="F28" s="167"/>
      <c r="G28" s="167"/>
      <c r="H28" s="167"/>
      <c r="I28" s="38"/>
      <c r="J28" s="167"/>
      <c r="K28" s="167"/>
      <c r="L28" s="167"/>
      <c r="M28" s="167"/>
    </row>
    <row r="29" spans="1:13" x14ac:dyDescent="0.35">
      <c r="A29" s="167"/>
      <c r="B29" s="167"/>
      <c r="C29" s="167"/>
      <c r="D29" s="167"/>
      <c r="E29" s="167"/>
      <c r="F29" s="167"/>
      <c r="G29" s="167"/>
      <c r="H29" s="167"/>
      <c r="I29" s="38"/>
      <c r="J29" s="167"/>
      <c r="K29" s="167"/>
      <c r="L29" s="167"/>
      <c r="M29" s="167"/>
    </row>
    <row r="30" spans="1:13" x14ac:dyDescent="0.35">
      <c r="A30" s="167"/>
      <c r="B30" s="167"/>
      <c r="C30" s="167"/>
      <c r="D30" s="167"/>
      <c r="E30" s="167"/>
      <c r="F30" s="167"/>
      <c r="G30" s="167"/>
      <c r="H30" s="167"/>
      <c r="I30" s="38"/>
      <c r="J30" s="167"/>
      <c r="K30" s="167"/>
      <c r="L30" s="167"/>
      <c r="M30" s="167"/>
    </row>
    <row r="31" spans="1:13" x14ac:dyDescent="0.35">
      <c r="A31" s="167"/>
      <c r="B31" s="167"/>
      <c r="C31" s="167"/>
      <c r="D31" s="167"/>
      <c r="E31" s="167"/>
      <c r="F31" s="167"/>
      <c r="G31" s="167"/>
      <c r="H31" s="167"/>
      <c r="I31" s="38"/>
      <c r="J31" s="167"/>
      <c r="K31" s="167"/>
      <c r="L31" s="167"/>
      <c r="M31" s="167"/>
    </row>
    <row r="32" spans="1:13" x14ac:dyDescent="0.35">
      <c r="A32" s="407" t="s">
        <v>66</v>
      </c>
      <c r="B32" s="407"/>
      <c r="C32" s="167"/>
      <c r="D32" s="167"/>
      <c r="E32" s="407" t="s">
        <v>67</v>
      </c>
      <c r="F32" s="407"/>
      <c r="G32" s="408"/>
      <c r="H32" s="408"/>
      <c r="I32" s="163"/>
      <c r="J32" s="163"/>
      <c r="K32" s="163"/>
      <c r="L32" s="39"/>
      <c r="M32" s="168"/>
    </row>
    <row r="33" spans="1:13" x14ac:dyDescent="0.35">
      <c r="A33" s="421" t="s">
        <v>69</v>
      </c>
      <c r="B33" s="421"/>
      <c r="D33" s="164"/>
      <c r="E33" s="410" t="s">
        <v>70</v>
      </c>
      <c r="F33" s="410"/>
      <c r="G33" s="410" t="s">
        <v>71</v>
      </c>
      <c r="H33" s="410"/>
      <c r="I33" s="164"/>
      <c r="J33" s="164"/>
      <c r="K33" s="164" t="s">
        <v>72</v>
      </c>
      <c r="L33" s="166"/>
      <c r="M33" s="166"/>
    </row>
    <row r="34" spans="1:13" x14ac:dyDescent="0.35">
      <c r="A34" s="414" t="s">
        <v>92</v>
      </c>
      <c r="B34" s="414"/>
      <c r="D34" s="169"/>
      <c r="E34" s="414" t="s">
        <v>73</v>
      </c>
      <c r="F34" s="414"/>
      <c r="G34" s="414" t="s">
        <v>74</v>
      </c>
      <c r="H34" s="414"/>
      <c r="I34" s="166"/>
      <c r="J34" s="166"/>
      <c r="K34" s="166" t="s">
        <v>75</v>
      </c>
      <c r="L34" s="165"/>
      <c r="M34" s="165"/>
    </row>
    <row r="35" spans="1:13" x14ac:dyDescent="0.35">
      <c r="A35" s="414" t="s">
        <v>94</v>
      </c>
      <c r="B35" s="414"/>
      <c r="D35" s="170"/>
      <c r="E35" s="414" t="s">
        <v>78</v>
      </c>
      <c r="F35" s="414"/>
      <c r="G35" s="414" t="s">
        <v>414</v>
      </c>
      <c r="H35" s="414"/>
      <c r="I35" s="165"/>
      <c r="J35" s="165"/>
      <c r="K35" s="166" t="s">
        <v>80</v>
      </c>
      <c r="L35" s="170"/>
      <c r="M35" s="170"/>
    </row>
    <row r="36" spans="1:13" x14ac:dyDescent="0.35">
      <c r="A36" s="412" t="s">
        <v>76</v>
      </c>
      <c r="B36" s="412"/>
      <c r="D36" s="170"/>
      <c r="E36" s="412" t="s">
        <v>76</v>
      </c>
      <c r="F36" s="412"/>
      <c r="G36" s="412" t="s">
        <v>76</v>
      </c>
      <c r="H36" s="412"/>
      <c r="I36" s="165"/>
      <c r="J36" s="165"/>
      <c r="K36" s="165"/>
    </row>
  </sheetData>
  <mergeCells count="34">
    <mergeCell ref="A4:B4"/>
    <mergeCell ref="C4:M4"/>
    <mergeCell ref="A1:M1"/>
    <mergeCell ref="A2:B2"/>
    <mergeCell ref="C2:M2"/>
    <mergeCell ref="A3:B3"/>
    <mergeCell ref="C3:M3"/>
    <mergeCell ref="A21:G21"/>
    <mergeCell ref="A5:B5"/>
    <mergeCell ref="C5:M5"/>
    <mergeCell ref="A6:B6"/>
    <mergeCell ref="C6:M6"/>
    <mergeCell ref="A7:B7"/>
    <mergeCell ref="C7:M7"/>
    <mergeCell ref="A8:B8"/>
    <mergeCell ref="C8:M8"/>
    <mergeCell ref="A9:B9"/>
    <mergeCell ref="C9:M9"/>
    <mergeCell ref="A10:M10"/>
    <mergeCell ref="A32:B32"/>
    <mergeCell ref="E32:F32"/>
    <mergeCell ref="G32:H32"/>
    <mergeCell ref="A33:B33"/>
    <mergeCell ref="E33:F33"/>
    <mergeCell ref="G33:H33"/>
    <mergeCell ref="A36:B36"/>
    <mergeCell ref="E36:F36"/>
    <mergeCell ref="G36:H36"/>
    <mergeCell ref="A34:B34"/>
    <mergeCell ref="E34:F34"/>
    <mergeCell ref="G34:H34"/>
    <mergeCell ref="A35:B35"/>
    <mergeCell ref="E35:F35"/>
    <mergeCell ref="G35:H35"/>
  </mergeCells>
  <pageMargins left="0.25" right="0.25" top="0.75" bottom="0.75" header="0.3" footer="0.3"/>
  <pageSetup paperSize="9" scale="79"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D08D-19BE-4382-B402-242423412D5C}">
  <sheetPr>
    <pageSetUpPr fitToPage="1"/>
  </sheetPr>
  <dimension ref="A1:M56"/>
  <sheetViews>
    <sheetView topLeftCell="A17" workbookViewId="0">
      <selection activeCell="B19" sqref="B19:M19"/>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1.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46012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H36</f>
        <v>443000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508</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66419</v>
      </c>
      <c r="J12" s="82">
        <v>71669</v>
      </c>
      <c r="K12" s="11">
        <v>46002</v>
      </c>
      <c r="L12" s="79">
        <v>60000</v>
      </c>
      <c r="M12" s="84" t="s">
        <v>176</v>
      </c>
    </row>
    <row r="13" spans="1:13" x14ac:dyDescent="0.35">
      <c r="A13" s="5">
        <v>2</v>
      </c>
      <c r="B13" s="71" t="s">
        <v>227</v>
      </c>
      <c r="C13" s="72" t="s">
        <v>49</v>
      </c>
      <c r="D13" s="73" t="s">
        <v>54</v>
      </c>
      <c r="E13" s="44" t="s">
        <v>24</v>
      </c>
      <c r="F13" s="44" t="s">
        <v>25</v>
      </c>
      <c r="G13" s="73" t="s">
        <v>55</v>
      </c>
      <c r="H13" s="80">
        <v>15000</v>
      </c>
      <c r="I13" s="10">
        <v>35239</v>
      </c>
      <c r="J13" s="10">
        <v>39739</v>
      </c>
      <c r="K13" s="11">
        <v>46002</v>
      </c>
      <c r="L13" s="80">
        <v>20000</v>
      </c>
      <c r="M13" s="17" t="s">
        <v>204</v>
      </c>
    </row>
    <row r="14" spans="1:13" x14ac:dyDescent="0.35">
      <c r="A14" s="5">
        <v>3</v>
      </c>
      <c r="B14" s="16" t="s">
        <v>228</v>
      </c>
      <c r="C14" s="7" t="s">
        <v>49</v>
      </c>
      <c r="D14" s="8" t="s">
        <v>57</v>
      </c>
      <c r="E14" s="5" t="s">
        <v>24</v>
      </c>
      <c r="F14" s="5" t="s">
        <v>25</v>
      </c>
      <c r="G14" s="73" t="s">
        <v>359</v>
      </c>
      <c r="H14" s="80">
        <v>20000</v>
      </c>
      <c r="I14" s="10">
        <v>34715</v>
      </c>
      <c r="J14" s="10">
        <v>37915</v>
      </c>
      <c r="K14" s="11">
        <v>45997</v>
      </c>
      <c r="L14" s="80">
        <v>20000</v>
      </c>
      <c r="M14" s="17" t="s">
        <v>204</v>
      </c>
    </row>
    <row r="15" spans="1:13" x14ac:dyDescent="0.35">
      <c r="A15" s="5">
        <v>4</v>
      </c>
      <c r="B15" s="16" t="s">
        <v>231</v>
      </c>
      <c r="C15" s="7" t="s">
        <v>49</v>
      </c>
      <c r="D15" s="8" t="s">
        <v>60</v>
      </c>
      <c r="E15" s="5" t="s">
        <v>24</v>
      </c>
      <c r="F15" s="5" t="s">
        <v>25</v>
      </c>
      <c r="G15" s="8" t="s">
        <v>61</v>
      </c>
      <c r="H15" s="80">
        <v>10000</v>
      </c>
      <c r="I15" s="10">
        <v>33098</v>
      </c>
      <c r="J15" s="10">
        <v>36598</v>
      </c>
      <c r="K15" s="11">
        <v>46008</v>
      </c>
      <c r="L15" s="80">
        <v>15000</v>
      </c>
      <c r="M15" s="17" t="s">
        <v>132</v>
      </c>
    </row>
    <row r="16" spans="1:13" x14ac:dyDescent="0.35">
      <c r="A16" s="5">
        <v>5</v>
      </c>
      <c r="B16" s="71" t="s">
        <v>229</v>
      </c>
      <c r="C16" s="72" t="s">
        <v>49</v>
      </c>
      <c r="D16" s="44" t="s">
        <v>47</v>
      </c>
      <c r="E16" s="44" t="s">
        <v>24</v>
      </c>
      <c r="F16" s="44" t="s">
        <v>25</v>
      </c>
      <c r="G16" s="44" t="s">
        <v>102</v>
      </c>
      <c r="H16" s="80">
        <v>10000</v>
      </c>
      <c r="I16" s="10">
        <v>49715</v>
      </c>
      <c r="J16" s="10">
        <v>52515</v>
      </c>
      <c r="K16" s="11">
        <v>45998</v>
      </c>
      <c r="L16" s="80">
        <v>20000</v>
      </c>
      <c r="M16" s="17" t="s">
        <v>204</v>
      </c>
    </row>
    <row r="17" spans="1:13" x14ac:dyDescent="0.35">
      <c r="A17" s="5">
        <v>6</v>
      </c>
      <c r="B17" s="16" t="s">
        <v>230</v>
      </c>
      <c r="C17" s="7" t="s">
        <v>49</v>
      </c>
      <c r="D17" s="8" t="s">
        <v>50</v>
      </c>
      <c r="E17" s="5" t="s">
        <v>24</v>
      </c>
      <c r="F17" s="5" t="s">
        <v>25</v>
      </c>
      <c r="G17" s="8" t="s">
        <v>51</v>
      </c>
      <c r="H17" s="80">
        <v>20000</v>
      </c>
      <c r="I17" s="10">
        <v>20611</v>
      </c>
      <c r="J17" s="10">
        <v>25611</v>
      </c>
      <c r="K17" s="11">
        <v>45995</v>
      </c>
      <c r="L17" s="80">
        <v>20000</v>
      </c>
      <c r="M17" s="17" t="s">
        <v>132</v>
      </c>
    </row>
    <row r="18" spans="1:13" x14ac:dyDescent="0.35">
      <c r="A18" s="5">
        <v>7</v>
      </c>
      <c r="B18" s="71" t="s">
        <v>232</v>
      </c>
      <c r="C18" s="72" t="s">
        <v>233</v>
      </c>
      <c r="D18" s="44" t="s">
        <v>234</v>
      </c>
      <c r="E18" s="5" t="s">
        <v>24</v>
      </c>
      <c r="F18" s="5" t="s">
        <v>25</v>
      </c>
      <c r="G18" s="44" t="s">
        <v>235</v>
      </c>
      <c r="H18" s="80">
        <v>60000</v>
      </c>
      <c r="I18" s="10">
        <v>120570</v>
      </c>
      <c r="J18" s="10">
        <v>130570</v>
      </c>
      <c r="K18" s="11">
        <v>46001</v>
      </c>
      <c r="L18" s="80">
        <v>75000</v>
      </c>
      <c r="M18" s="17" t="s">
        <v>236</v>
      </c>
    </row>
    <row r="19" spans="1:13" x14ac:dyDescent="0.35">
      <c r="A19" s="5">
        <v>8</v>
      </c>
      <c r="B19" s="71" t="s">
        <v>26</v>
      </c>
      <c r="C19" s="72" t="s">
        <v>23</v>
      </c>
      <c r="D19" s="73" t="s">
        <v>27</v>
      </c>
      <c r="E19" s="44" t="s">
        <v>24</v>
      </c>
      <c r="F19" s="44" t="s">
        <v>25</v>
      </c>
      <c r="G19" s="73" t="s">
        <v>28</v>
      </c>
      <c r="H19" s="80">
        <v>5000</v>
      </c>
      <c r="I19" s="10">
        <v>29000</v>
      </c>
      <c r="J19" s="10">
        <v>32711</v>
      </c>
      <c r="K19" s="11">
        <v>46005</v>
      </c>
      <c r="L19" s="80">
        <v>5000</v>
      </c>
      <c r="M19" s="17" t="s">
        <v>154</v>
      </c>
    </row>
    <row r="20" spans="1:13" x14ac:dyDescent="0.35">
      <c r="A20" s="5">
        <v>9</v>
      </c>
      <c r="B20" s="71" t="s">
        <v>30</v>
      </c>
      <c r="C20" s="72" t="s">
        <v>23</v>
      </c>
      <c r="D20" s="44" t="s">
        <v>31</v>
      </c>
      <c r="E20" s="44" t="s">
        <v>32</v>
      </c>
      <c r="F20" s="44" t="s">
        <v>25</v>
      </c>
      <c r="G20" s="44" t="s">
        <v>33</v>
      </c>
      <c r="H20" s="80">
        <v>45000</v>
      </c>
      <c r="I20" s="10">
        <v>64222</v>
      </c>
      <c r="J20" s="10">
        <v>74222</v>
      </c>
      <c r="K20" s="11">
        <v>46002</v>
      </c>
      <c r="L20" s="80">
        <v>50000</v>
      </c>
      <c r="M20" s="17" t="s">
        <v>104</v>
      </c>
    </row>
    <row r="21" spans="1:13" x14ac:dyDescent="0.35">
      <c r="A21" s="5">
        <v>10</v>
      </c>
      <c r="B21" s="71" t="s">
        <v>22</v>
      </c>
      <c r="C21" s="72" t="s">
        <v>23</v>
      </c>
      <c r="D21" s="44" t="s">
        <v>205</v>
      </c>
      <c r="E21" s="44" t="s">
        <v>24</v>
      </c>
      <c r="F21" s="44" t="s">
        <v>25</v>
      </c>
      <c r="G21" s="44" t="s">
        <v>105</v>
      </c>
      <c r="H21" s="80">
        <v>10000</v>
      </c>
      <c r="I21" s="10">
        <v>34568</v>
      </c>
      <c r="J21" s="10">
        <v>44168</v>
      </c>
      <c r="K21" s="11">
        <v>45996</v>
      </c>
      <c r="L21" s="80">
        <v>20000</v>
      </c>
      <c r="M21" s="17" t="s">
        <v>96</v>
      </c>
    </row>
    <row r="22" spans="1:13" x14ac:dyDescent="0.35">
      <c r="A22" s="5">
        <v>11</v>
      </c>
      <c r="B22" s="71" t="s">
        <v>36</v>
      </c>
      <c r="C22" s="72" t="s">
        <v>23</v>
      </c>
      <c r="D22" s="44">
        <v>1311</v>
      </c>
      <c r="E22" s="44" t="s">
        <v>24</v>
      </c>
      <c r="F22" s="44" t="s">
        <v>25</v>
      </c>
      <c r="G22" s="73" t="s">
        <v>37</v>
      </c>
      <c r="H22" s="80">
        <v>5000</v>
      </c>
      <c r="I22" s="10">
        <v>12841</v>
      </c>
      <c r="J22" s="10">
        <v>17275</v>
      </c>
      <c r="K22" s="11">
        <v>45996</v>
      </c>
      <c r="L22" s="80">
        <v>6000</v>
      </c>
      <c r="M22" s="17" t="s">
        <v>204</v>
      </c>
    </row>
    <row r="23" spans="1:13" x14ac:dyDescent="0.35">
      <c r="A23" s="5">
        <v>12</v>
      </c>
      <c r="B23" s="71" t="s">
        <v>38</v>
      </c>
      <c r="C23" s="72" t="s">
        <v>23</v>
      </c>
      <c r="D23" s="73" t="s">
        <v>39</v>
      </c>
      <c r="E23" s="44" t="s">
        <v>24</v>
      </c>
      <c r="F23" s="44" t="s">
        <v>25</v>
      </c>
      <c r="G23" s="73" t="s">
        <v>40</v>
      </c>
      <c r="H23" s="80">
        <v>5000</v>
      </c>
      <c r="I23" s="10">
        <v>13179</v>
      </c>
      <c r="J23" s="10">
        <v>17079</v>
      </c>
      <c r="K23" s="11">
        <v>45996</v>
      </c>
      <c r="L23" s="80">
        <v>6000</v>
      </c>
      <c r="M23" s="17" t="s">
        <v>154</v>
      </c>
    </row>
    <row r="24" spans="1:13" x14ac:dyDescent="0.35">
      <c r="A24" s="5">
        <v>13</v>
      </c>
      <c r="B24" s="6" t="s">
        <v>34</v>
      </c>
      <c r="C24" s="14" t="s">
        <v>23</v>
      </c>
      <c r="D24" s="15">
        <v>1149</v>
      </c>
      <c r="E24" s="15" t="s">
        <v>24</v>
      </c>
      <c r="F24" s="15" t="s">
        <v>25</v>
      </c>
      <c r="G24" s="13" t="s">
        <v>35</v>
      </c>
      <c r="H24" s="80">
        <v>3000</v>
      </c>
      <c r="I24" s="10">
        <v>20365</v>
      </c>
      <c r="J24" s="10">
        <v>23365</v>
      </c>
      <c r="K24" s="11">
        <v>46002</v>
      </c>
      <c r="L24" s="80">
        <v>5000</v>
      </c>
      <c r="M24" s="17" t="s">
        <v>154</v>
      </c>
    </row>
    <row r="25" spans="1:13" x14ac:dyDescent="0.35">
      <c r="A25" s="5">
        <v>14</v>
      </c>
      <c r="B25" s="97" t="s">
        <v>293</v>
      </c>
      <c r="C25" s="98" t="s">
        <v>23</v>
      </c>
      <c r="D25">
        <v>815</v>
      </c>
      <c r="E25" s="99" t="s">
        <v>24</v>
      </c>
      <c r="F25" s="99" t="s">
        <v>130</v>
      </c>
      <c r="G25" s="100" t="s">
        <v>287</v>
      </c>
      <c r="H25" s="145">
        <v>6000</v>
      </c>
      <c r="I25" s="102">
        <v>28273</v>
      </c>
      <c r="J25" s="102">
        <v>37273</v>
      </c>
      <c r="K25" s="103">
        <v>45998</v>
      </c>
      <c r="L25" s="145">
        <v>10000</v>
      </c>
      <c r="M25" s="64" t="s">
        <v>132</v>
      </c>
    </row>
    <row r="26" spans="1:13" x14ac:dyDescent="0.35">
      <c r="A26" s="5">
        <v>15</v>
      </c>
      <c r="B26" s="14" t="s">
        <v>373</v>
      </c>
      <c r="C26" s="7" t="s">
        <v>23</v>
      </c>
      <c r="D26" s="8">
        <v>1161</v>
      </c>
      <c r="E26" s="5" t="s">
        <v>24</v>
      </c>
      <c r="F26" s="5" t="s">
        <v>25</v>
      </c>
      <c r="G26" s="125" t="s">
        <v>374</v>
      </c>
      <c r="H26" s="145">
        <v>5000</v>
      </c>
      <c r="I26" s="10">
        <v>25954</v>
      </c>
      <c r="J26" s="10">
        <v>29954</v>
      </c>
      <c r="K26" s="124">
        <v>45998</v>
      </c>
      <c r="L26" s="145">
        <v>5000</v>
      </c>
      <c r="M26" s="48" t="s">
        <v>375</v>
      </c>
    </row>
    <row r="27" spans="1:13" x14ac:dyDescent="0.35">
      <c r="A27" s="5">
        <v>16</v>
      </c>
      <c r="B27" s="14" t="s">
        <v>398</v>
      </c>
      <c r="C27" s="7" t="s">
        <v>23</v>
      </c>
      <c r="D27" s="8">
        <v>741</v>
      </c>
      <c r="E27" s="5" t="s">
        <v>24</v>
      </c>
      <c r="F27" s="5" t="s">
        <v>25</v>
      </c>
      <c r="G27" s="125" t="s">
        <v>399</v>
      </c>
      <c r="H27" s="146">
        <v>3000</v>
      </c>
      <c r="I27" s="10">
        <v>22015</v>
      </c>
      <c r="J27" s="10">
        <v>26053</v>
      </c>
      <c r="K27" s="123">
        <v>46002</v>
      </c>
      <c r="L27" s="146">
        <v>5000</v>
      </c>
      <c r="M27" s="17" t="s">
        <v>204</v>
      </c>
    </row>
    <row r="28" spans="1:13" x14ac:dyDescent="0.35">
      <c r="A28" s="5">
        <v>17</v>
      </c>
      <c r="B28" s="71" t="s">
        <v>155</v>
      </c>
      <c r="C28" s="72" t="s">
        <v>23</v>
      </c>
      <c r="D28" s="73">
        <v>731</v>
      </c>
      <c r="E28" s="44" t="s">
        <v>24</v>
      </c>
      <c r="F28" s="44" t="s">
        <v>25</v>
      </c>
      <c r="G28" s="73" t="s">
        <v>131</v>
      </c>
      <c r="H28" s="80">
        <v>3000</v>
      </c>
      <c r="I28" s="10">
        <v>20114</v>
      </c>
      <c r="J28" s="10">
        <v>24207</v>
      </c>
      <c r="K28" s="11">
        <v>45999</v>
      </c>
      <c r="L28" s="80">
        <v>5000</v>
      </c>
      <c r="M28" s="17" t="s">
        <v>154</v>
      </c>
    </row>
    <row r="29" spans="1:13" x14ac:dyDescent="0.35">
      <c r="A29" s="5">
        <v>18</v>
      </c>
      <c r="B29" s="71" t="s">
        <v>450</v>
      </c>
      <c r="C29" s="72" t="s">
        <v>23</v>
      </c>
      <c r="D29" s="73" t="s">
        <v>451</v>
      </c>
      <c r="E29" s="44" t="s">
        <v>24</v>
      </c>
      <c r="F29" s="44" t="s">
        <v>130</v>
      </c>
      <c r="G29" s="73" t="s">
        <v>452</v>
      </c>
      <c r="H29" s="80">
        <v>12000</v>
      </c>
      <c r="I29" s="10">
        <v>24107</v>
      </c>
      <c r="J29" s="10">
        <v>37635</v>
      </c>
      <c r="K29" s="11">
        <v>45988</v>
      </c>
      <c r="L29" s="80">
        <v>5000</v>
      </c>
      <c r="M29" s="17" t="s">
        <v>364</v>
      </c>
    </row>
    <row r="30" spans="1:13" x14ac:dyDescent="0.35">
      <c r="A30" s="5">
        <v>19</v>
      </c>
      <c r="B30" s="71" t="s">
        <v>457</v>
      </c>
      <c r="C30" s="72" t="s">
        <v>23</v>
      </c>
      <c r="D30" s="73" t="s">
        <v>444</v>
      </c>
      <c r="E30" s="44" t="s">
        <v>24</v>
      </c>
      <c r="F30" s="44" t="s">
        <v>130</v>
      </c>
      <c r="G30" s="73" t="s">
        <v>458</v>
      </c>
      <c r="H30" s="80">
        <v>60000</v>
      </c>
      <c r="I30" s="10">
        <v>34790</v>
      </c>
      <c r="J30" s="10">
        <v>57790</v>
      </c>
      <c r="K30" s="11">
        <v>45991</v>
      </c>
      <c r="L30" s="80">
        <v>45000</v>
      </c>
      <c r="M30" s="134" t="s">
        <v>104</v>
      </c>
    </row>
    <row r="31" spans="1:13" x14ac:dyDescent="0.35">
      <c r="A31" s="5">
        <v>20</v>
      </c>
      <c r="B31" s="85" t="s">
        <v>472</v>
      </c>
      <c r="C31" s="86" t="s">
        <v>23</v>
      </c>
      <c r="D31" s="135">
        <v>1170</v>
      </c>
      <c r="E31" s="87" t="s">
        <v>24</v>
      </c>
      <c r="F31" s="87" t="s">
        <v>130</v>
      </c>
      <c r="G31" s="136" t="s">
        <v>473</v>
      </c>
      <c r="H31" s="80">
        <v>3000</v>
      </c>
      <c r="I31" s="10">
        <v>20188</v>
      </c>
      <c r="J31" s="10">
        <v>21864</v>
      </c>
      <c r="K31" s="11">
        <v>46000</v>
      </c>
      <c r="L31" s="80">
        <v>5000</v>
      </c>
      <c r="M31" s="134" t="s">
        <v>204</v>
      </c>
    </row>
    <row r="32" spans="1:13" x14ac:dyDescent="0.35">
      <c r="A32" s="5">
        <v>21</v>
      </c>
      <c r="B32" s="71" t="s">
        <v>419</v>
      </c>
      <c r="C32" s="72" t="s">
        <v>144</v>
      </c>
      <c r="D32" s="73" t="s">
        <v>424</v>
      </c>
      <c r="E32" s="44" t="s">
        <v>24</v>
      </c>
      <c r="F32" s="44" t="s">
        <v>44</v>
      </c>
      <c r="G32" s="73" t="s">
        <v>421</v>
      </c>
      <c r="H32" s="80">
        <v>20000</v>
      </c>
      <c r="I32" s="10">
        <v>83697</v>
      </c>
      <c r="J32" s="10">
        <v>103579</v>
      </c>
      <c r="K32" s="11">
        <v>45993</v>
      </c>
      <c r="L32" s="80">
        <v>80000</v>
      </c>
      <c r="M32" s="17" t="s">
        <v>453</v>
      </c>
    </row>
    <row r="33" spans="1:13" x14ac:dyDescent="0.35">
      <c r="A33" s="5">
        <v>22</v>
      </c>
      <c r="B33" s="74" t="s">
        <v>330</v>
      </c>
      <c r="C33" s="72" t="s">
        <v>144</v>
      </c>
      <c r="D33" s="73" t="s">
        <v>43</v>
      </c>
      <c r="E33" s="44" t="s">
        <v>24</v>
      </c>
      <c r="F33" s="44" t="s">
        <v>44</v>
      </c>
      <c r="G33" s="44">
        <v>24024723</v>
      </c>
      <c r="H33" s="78">
        <v>30000</v>
      </c>
      <c r="I33" s="42">
        <v>62654</v>
      </c>
      <c r="J33" s="42">
        <v>76621</v>
      </c>
      <c r="K33" s="11">
        <v>45993</v>
      </c>
      <c r="L33" s="78">
        <v>40000</v>
      </c>
      <c r="M33" s="12" t="s">
        <v>365</v>
      </c>
    </row>
    <row r="34" spans="1:13" x14ac:dyDescent="0.35">
      <c r="A34" s="5">
        <v>23</v>
      </c>
      <c r="B34" s="85" t="s">
        <v>485</v>
      </c>
      <c r="C34" s="86" t="s">
        <v>144</v>
      </c>
      <c r="D34" s="160">
        <v>452</v>
      </c>
      <c r="E34" s="87" t="s">
        <v>24</v>
      </c>
      <c r="F34" s="87" t="s">
        <v>44</v>
      </c>
      <c r="G34" s="179" t="s">
        <v>486</v>
      </c>
      <c r="H34" s="78">
        <v>15000</v>
      </c>
      <c r="I34" s="42">
        <v>91669</v>
      </c>
      <c r="J34" s="42">
        <v>109060</v>
      </c>
      <c r="K34" s="11">
        <v>45993</v>
      </c>
      <c r="L34" s="78">
        <v>90000</v>
      </c>
      <c r="M34" s="12" t="s">
        <v>503</v>
      </c>
    </row>
    <row r="35" spans="1:13" x14ac:dyDescent="0.35">
      <c r="A35" s="5">
        <v>26</v>
      </c>
      <c r="B35" s="85" t="s">
        <v>331</v>
      </c>
      <c r="C35" s="86" t="s">
        <v>332</v>
      </c>
      <c r="D35" s="53" t="s">
        <v>333</v>
      </c>
      <c r="E35" s="87" t="s">
        <v>24</v>
      </c>
      <c r="F35" s="87" t="s">
        <v>44</v>
      </c>
      <c r="G35" s="87" t="s">
        <v>335</v>
      </c>
      <c r="H35" s="78">
        <v>18000</v>
      </c>
      <c r="I35" s="42">
        <v>14192</v>
      </c>
      <c r="J35" s="42">
        <v>21914</v>
      </c>
      <c r="K35" s="11">
        <v>45993</v>
      </c>
      <c r="L35" s="78">
        <v>18000</v>
      </c>
      <c r="M35" s="12" t="s">
        <v>406</v>
      </c>
    </row>
    <row r="36" spans="1:13" x14ac:dyDescent="0.35">
      <c r="A36" s="415" t="s">
        <v>8</v>
      </c>
      <c r="B36" s="415"/>
      <c r="C36" s="415"/>
      <c r="D36" s="415"/>
      <c r="E36" s="415"/>
      <c r="F36" s="415"/>
      <c r="G36" s="415"/>
      <c r="H36" s="81">
        <f>SUM(H12:H35)</f>
        <v>443000</v>
      </c>
      <c r="I36" s="24"/>
      <c r="J36" s="25"/>
      <c r="K36" s="43"/>
      <c r="L36" s="175"/>
      <c r="M36" s="175"/>
    </row>
    <row r="37" spans="1:13" x14ac:dyDescent="0.35">
      <c r="A37" s="175"/>
      <c r="B37" s="175"/>
      <c r="C37" s="175"/>
      <c r="D37" s="175"/>
      <c r="E37" s="175"/>
      <c r="F37" s="175"/>
      <c r="G37" s="175"/>
      <c r="H37" s="175"/>
      <c r="I37" s="175"/>
      <c r="J37" s="175"/>
      <c r="K37" s="175"/>
      <c r="L37" s="175"/>
      <c r="M37" s="175"/>
    </row>
    <row r="38" spans="1:13" x14ac:dyDescent="0.35">
      <c r="A38" s="175"/>
      <c r="B38" s="175" t="s">
        <v>509</v>
      </c>
      <c r="C38" s="175"/>
      <c r="D38" s="175"/>
      <c r="E38" s="175"/>
      <c r="F38" s="175"/>
      <c r="G38" s="175"/>
      <c r="H38" s="175"/>
      <c r="I38" s="175"/>
      <c r="J38" s="175"/>
      <c r="K38" s="175"/>
      <c r="L38" s="175"/>
      <c r="M38" s="175"/>
    </row>
    <row r="39" spans="1:13" x14ac:dyDescent="0.35">
      <c r="A39" s="175"/>
      <c r="B39" s="175"/>
      <c r="C39" s="175"/>
      <c r="D39" s="175"/>
      <c r="E39" s="175"/>
      <c r="F39" s="175"/>
      <c r="G39" s="175"/>
      <c r="H39" s="175"/>
      <c r="I39" s="175"/>
      <c r="J39" s="175"/>
      <c r="K39" s="175"/>
      <c r="L39" s="175"/>
      <c r="M39" s="175"/>
    </row>
    <row r="40" spans="1:13" x14ac:dyDescent="0.35">
      <c r="A40" s="175"/>
      <c r="B40" s="175"/>
      <c r="C40" s="175"/>
      <c r="D40" s="175"/>
      <c r="E40" s="175"/>
      <c r="F40" s="175"/>
      <c r="G40" s="175"/>
      <c r="H40" s="175"/>
      <c r="I40" s="175"/>
      <c r="J40" s="175"/>
      <c r="K40" s="175"/>
      <c r="L40" s="175"/>
      <c r="M40" s="175"/>
    </row>
    <row r="41" spans="1:13" x14ac:dyDescent="0.35">
      <c r="A41" s="175"/>
      <c r="B41" s="175"/>
      <c r="C41" s="175"/>
      <c r="D41" s="175"/>
      <c r="E41" s="175"/>
      <c r="F41" s="175"/>
      <c r="G41" s="175"/>
      <c r="H41" s="175"/>
      <c r="I41" s="175"/>
      <c r="J41" s="175"/>
      <c r="K41" s="175"/>
      <c r="L41" s="175"/>
      <c r="M41" s="175"/>
    </row>
    <row r="42" spans="1:13" x14ac:dyDescent="0.35">
      <c r="A42" s="175"/>
      <c r="B42" s="175"/>
      <c r="C42" s="175"/>
      <c r="D42" s="175"/>
      <c r="E42" s="175"/>
      <c r="F42" s="175"/>
      <c r="G42" s="175"/>
      <c r="H42" s="175"/>
      <c r="I42" s="175"/>
      <c r="J42" s="175"/>
      <c r="K42" s="175"/>
      <c r="L42" s="175"/>
      <c r="M42" s="175"/>
    </row>
    <row r="43" spans="1:13" ht="15" thickBot="1" x14ac:dyDescent="0.4">
      <c r="A43" s="420" t="s">
        <v>66</v>
      </c>
      <c r="B43" s="420"/>
      <c r="C43" s="175"/>
      <c r="D43" s="175"/>
      <c r="E43" s="407" t="s">
        <v>67</v>
      </c>
      <c r="F43" s="407"/>
      <c r="G43" s="49"/>
      <c r="H43" s="49"/>
      <c r="I43" s="408"/>
      <c r="J43" s="408"/>
      <c r="K43" s="173"/>
      <c r="L43" s="174"/>
      <c r="M43" s="174"/>
    </row>
    <row r="44" spans="1:13" ht="15" thickTop="1" x14ac:dyDescent="0.35">
      <c r="A44" s="421" t="s">
        <v>69</v>
      </c>
      <c r="B44" s="421"/>
      <c r="D44" s="30"/>
      <c r="E44" s="410" t="s">
        <v>70</v>
      </c>
      <c r="F44" s="410"/>
      <c r="G44" s="410" t="s">
        <v>71</v>
      </c>
      <c r="H44" s="410"/>
      <c r="I44" s="174"/>
      <c r="J44" s="174"/>
      <c r="K44" s="174" t="s">
        <v>72</v>
      </c>
      <c r="L44" s="172"/>
      <c r="M44" s="172"/>
    </row>
    <row r="45" spans="1:13" x14ac:dyDescent="0.35">
      <c r="A45" s="414" t="s">
        <v>92</v>
      </c>
      <c r="B45" s="414"/>
      <c r="D45" s="177"/>
      <c r="E45" s="414" t="s">
        <v>73</v>
      </c>
      <c r="F45" s="414"/>
      <c r="G45" s="414" t="s">
        <v>74</v>
      </c>
      <c r="H45" s="414"/>
      <c r="I45" s="172"/>
      <c r="J45" s="172"/>
      <c r="K45" s="172" t="s">
        <v>75</v>
      </c>
      <c r="L45" s="171"/>
      <c r="M45" s="171"/>
    </row>
    <row r="46" spans="1:13" x14ac:dyDescent="0.35">
      <c r="A46" s="412" t="s">
        <v>94</v>
      </c>
      <c r="B46" s="412"/>
      <c r="D46" s="178"/>
      <c r="E46" s="414" t="s">
        <v>78</v>
      </c>
      <c r="F46" s="414"/>
      <c r="G46" s="414" t="s">
        <v>414</v>
      </c>
      <c r="H46" s="414"/>
      <c r="I46" s="171"/>
      <c r="J46" s="171"/>
      <c r="K46" s="171" t="s">
        <v>80</v>
      </c>
      <c r="L46" s="178"/>
      <c r="M46" s="178"/>
    </row>
    <row r="47" spans="1:13" x14ac:dyDescent="0.35">
      <c r="A47" s="412" t="s">
        <v>76</v>
      </c>
      <c r="B47" s="412"/>
      <c r="D47" s="178"/>
      <c r="E47" s="412" t="s">
        <v>76</v>
      </c>
      <c r="F47" s="412"/>
      <c r="G47" s="412" t="s">
        <v>76</v>
      </c>
      <c r="H47" s="412"/>
      <c r="I47" s="171"/>
      <c r="J47" s="171"/>
      <c r="K47" s="171"/>
    </row>
    <row r="52" spans="1:5" ht="15" thickBot="1" x14ac:dyDescent="0.4"/>
    <row r="53" spans="1:5" ht="15" thickTop="1" x14ac:dyDescent="0.35">
      <c r="A53" s="417" t="s">
        <v>114</v>
      </c>
      <c r="B53" s="417"/>
      <c r="C53" s="429" t="s">
        <v>282</v>
      </c>
      <c r="D53" s="429"/>
      <c r="E53" s="429"/>
    </row>
    <row r="54" spans="1:5" x14ac:dyDescent="0.35">
      <c r="A54" s="418" t="s">
        <v>115</v>
      </c>
      <c r="B54" s="418"/>
      <c r="C54" s="430" t="s">
        <v>7</v>
      </c>
      <c r="D54" s="430"/>
      <c r="E54" s="430"/>
    </row>
    <row r="55" spans="1:5" x14ac:dyDescent="0.35">
      <c r="A55" s="422" t="s">
        <v>116</v>
      </c>
      <c r="B55" s="418"/>
      <c r="C55" s="431" t="s">
        <v>77</v>
      </c>
      <c r="D55" s="431"/>
      <c r="E55" s="431"/>
    </row>
    <row r="56" spans="1:5" x14ac:dyDescent="0.35">
      <c r="A56" s="416" t="s">
        <v>117</v>
      </c>
      <c r="B56" s="416"/>
      <c r="C56" s="412" t="s">
        <v>81</v>
      </c>
      <c r="D56" s="412"/>
      <c r="E56" s="412"/>
    </row>
  </sheetData>
  <mergeCells count="42">
    <mergeCell ref="A55:B55"/>
    <mergeCell ref="C55:E55"/>
    <mergeCell ref="A56:B56"/>
    <mergeCell ref="C56:E56"/>
    <mergeCell ref="A47:B47"/>
    <mergeCell ref="E47:F47"/>
    <mergeCell ref="G47:H47"/>
    <mergeCell ref="A53:B53"/>
    <mergeCell ref="C53:E53"/>
    <mergeCell ref="A54:B54"/>
    <mergeCell ref="C54:E54"/>
    <mergeCell ref="A45:B45"/>
    <mergeCell ref="E45:F45"/>
    <mergeCell ref="G45:H45"/>
    <mergeCell ref="A46:B46"/>
    <mergeCell ref="E46:F46"/>
    <mergeCell ref="G46:H46"/>
    <mergeCell ref="A43:B43"/>
    <mergeCell ref="E43:F43"/>
    <mergeCell ref="I43:J43"/>
    <mergeCell ref="A44:B44"/>
    <mergeCell ref="E44:F44"/>
    <mergeCell ref="G44:H44"/>
    <mergeCell ref="A36:G36"/>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pageMargins left="0.25" right="0.25" top="0.75" bottom="0.75" header="0.3" footer="0.3"/>
  <pageSetup paperSize="9" scale="55" orientation="landscape"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2CF9-E030-4CC2-8E8D-7DA40C61510F}">
  <dimension ref="A1"/>
  <sheetViews>
    <sheetView workbookViewId="0"/>
  </sheetViews>
  <sheetFormatPr defaultRowHeight="14.5" x14ac:dyDescent="0.35"/>
  <sheetData/>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11579-50A0-4FED-B6FF-C0455FC610F1}">
  <sheetPr>
    <pageSetUpPr fitToPage="1"/>
  </sheetPr>
  <dimension ref="A1:M34"/>
  <sheetViews>
    <sheetView topLeftCell="A4" workbookViewId="0">
      <selection activeCell="H12" sqref="H12:H18"/>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512</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46012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H19</f>
        <v>298000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506</v>
      </c>
      <c r="J11" s="3" t="s">
        <v>18</v>
      </c>
      <c r="K11" s="3" t="s">
        <v>19</v>
      </c>
      <c r="L11" s="3" t="s">
        <v>20</v>
      </c>
      <c r="M11" s="3" t="s">
        <v>84</v>
      </c>
    </row>
    <row r="12" spans="1:13" x14ac:dyDescent="0.35">
      <c r="A12" s="5">
        <v>1</v>
      </c>
      <c r="B12" s="14" t="s">
        <v>85</v>
      </c>
      <c r="C12" s="7" t="s">
        <v>86</v>
      </c>
      <c r="D12" s="8" t="s">
        <v>87</v>
      </c>
      <c r="E12" s="5" t="s">
        <v>24</v>
      </c>
      <c r="F12" s="5" t="s">
        <v>44</v>
      </c>
      <c r="G12" s="5">
        <v>35020062</v>
      </c>
      <c r="H12" s="48">
        <v>60000</v>
      </c>
      <c r="I12" s="10">
        <v>211273</v>
      </c>
      <c r="J12" s="10">
        <v>268054</v>
      </c>
      <c r="K12" s="35">
        <v>45993</v>
      </c>
      <c r="L12" s="48">
        <v>190000</v>
      </c>
      <c r="M12" s="48" t="s">
        <v>498</v>
      </c>
    </row>
    <row r="13" spans="1:13" x14ac:dyDescent="0.35">
      <c r="A13" s="5">
        <v>2</v>
      </c>
      <c r="B13" s="14" t="s">
        <v>89</v>
      </c>
      <c r="C13" s="7" t="s">
        <v>86</v>
      </c>
      <c r="D13" s="8" t="s">
        <v>90</v>
      </c>
      <c r="E13" s="5" t="s">
        <v>24</v>
      </c>
      <c r="F13" s="5" t="s">
        <v>44</v>
      </c>
      <c r="G13" s="13">
        <v>40021666</v>
      </c>
      <c r="H13" s="48">
        <v>60000</v>
      </c>
      <c r="I13" s="10">
        <v>38969</v>
      </c>
      <c r="J13" s="10">
        <v>66425</v>
      </c>
      <c r="K13" s="35">
        <v>45993</v>
      </c>
      <c r="L13" s="48">
        <v>50000</v>
      </c>
      <c r="M13" s="48" t="s">
        <v>325</v>
      </c>
    </row>
    <row r="14" spans="1:13" x14ac:dyDescent="0.35">
      <c r="A14" s="5">
        <v>3</v>
      </c>
      <c r="B14" s="14" t="s">
        <v>158</v>
      </c>
      <c r="C14" s="7" t="s">
        <v>86</v>
      </c>
      <c r="D14" s="8">
        <v>269</v>
      </c>
      <c r="E14" s="5" t="s">
        <v>24</v>
      </c>
      <c r="F14" s="5" t="s">
        <v>44</v>
      </c>
      <c r="G14" s="5">
        <v>74023856</v>
      </c>
      <c r="H14" s="48">
        <v>50000</v>
      </c>
      <c r="I14" s="10">
        <v>37293</v>
      </c>
      <c r="J14" s="10">
        <v>59198</v>
      </c>
      <c r="K14" s="35">
        <v>45993</v>
      </c>
      <c r="L14" s="48">
        <v>50000</v>
      </c>
      <c r="M14" s="12" t="s">
        <v>369</v>
      </c>
    </row>
    <row r="15" spans="1:13" x14ac:dyDescent="0.35">
      <c r="A15" s="5">
        <v>4</v>
      </c>
      <c r="B15" s="19" t="s">
        <v>255</v>
      </c>
      <c r="C15" s="20" t="s">
        <v>23</v>
      </c>
      <c r="D15" s="53" t="s">
        <v>256</v>
      </c>
      <c r="E15" s="22" t="s">
        <v>247</v>
      </c>
      <c r="F15" s="5" t="s">
        <v>44</v>
      </c>
      <c r="G15" s="53" t="s">
        <v>257</v>
      </c>
      <c r="H15" s="48">
        <v>15000</v>
      </c>
      <c r="I15" s="10">
        <v>7669</v>
      </c>
      <c r="J15" s="10">
        <v>12669</v>
      </c>
      <c r="K15" s="35">
        <v>45998</v>
      </c>
      <c r="L15" s="48">
        <v>6000</v>
      </c>
      <c r="M15" s="48" t="s">
        <v>371</v>
      </c>
    </row>
    <row r="16" spans="1:13" x14ac:dyDescent="0.35">
      <c r="A16" s="5">
        <v>5</v>
      </c>
      <c r="B16" s="19" t="s">
        <v>442</v>
      </c>
      <c r="C16" s="20" t="s">
        <v>443</v>
      </c>
      <c r="D16" s="53" t="s">
        <v>444</v>
      </c>
      <c r="E16" s="22" t="s">
        <v>24</v>
      </c>
      <c r="F16" s="5" t="s">
        <v>25</v>
      </c>
      <c r="G16" s="53" t="s">
        <v>445</v>
      </c>
      <c r="H16" s="48">
        <v>3000</v>
      </c>
      <c r="I16" s="10">
        <v>30282</v>
      </c>
      <c r="J16" s="10">
        <v>37479</v>
      </c>
      <c r="K16" s="35">
        <v>45999</v>
      </c>
      <c r="L16" s="48">
        <v>10000</v>
      </c>
      <c r="M16" s="48" t="s">
        <v>132</v>
      </c>
    </row>
    <row r="17" spans="1:13" x14ac:dyDescent="0.35">
      <c r="A17" s="5">
        <v>6</v>
      </c>
      <c r="B17" s="19" t="s">
        <v>261</v>
      </c>
      <c r="C17" s="20" t="s">
        <v>49</v>
      </c>
      <c r="D17" s="53" t="s">
        <v>262</v>
      </c>
      <c r="E17" s="22" t="s">
        <v>247</v>
      </c>
      <c r="F17" s="5" t="s">
        <v>130</v>
      </c>
      <c r="G17" s="53" t="s">
        <v>462</v>
      </c>
      <c r="H17" s="48">
        <v>50000</v>
      </c>
      <c r="I17" s="10">
        <v>45834</v>
      </c>
      <c r="J17" s="10">
        <v>56634</v>
      </c>
      <c r="K17" s="35">
        <v>45996</v>
      </c>
      <c r="L17" s="48">
        <v>50000</v>
      </c>
      <c r="M17" s="48" t="s">
        <v>365</v>
      </c>
    </row>
    <row r="18" spans="1:13" x14ac:dyDescent="0.35">
      <c r="A18" s="5">
        <v>7</v>
      </c>
      <c r="B18" s="16" t="s">
        <v>95</v>
      </c>
      <c r="C18" s="7" t="s">
        <v>49</v>
      </c>
      <c r="D18" s="8">
        <v>183</v>
      </c>
      <c r="E18" s="5" t="s">
        <v>24</v>
      </c>
      <c r="F18" s="5" t="s">
        <v>25</v>
      </c>
      <c r="G18" s="73" t="s">
        <v>279</v>
      </c>
      <c r="H18" s="48">
        <v>60000</v>
      </c>
      <c r="I18" s="10">
        <v>67043</v>
      </c>
      <c r="J18" s="10">
        <v>71843</v>
      </c>
      <c r="K18" s="35">
        <v>46005</v>
      </c>
      <c r="L18" s="48">
        <v>60000</v>
      </c>
      <c r="M18" s="17" t="s">
        <v>213</v>
      </c>
    </row>
    <row r="19" spans="1:13" x14ac:dyDescent="0.35">
      <c r="A19" s="386" t="s">
        <v>8</v>
      </c>
      <c r="B19" s="386"/>
      <c r="C19" s="386"/>
      <c r="D19" s="386"/>
      <c r="E19" s="386"/>
      <c r="F19" s="386"/>
      <c r="G19" s="386"/>
      <c r="H19" s="23">
        <f>SUM(H12:H18)</f>
        <v>298000</v>
      </c>
      <c r="I19" s="24"/>
      <c r="J19" s="25"/>
      <c r="K19" s="25"/>
      <c r="L19" s="175"/>
      <c r="M19" s="175"/>
    </row>
    <row r="20" spans="1:13" x14ac:dyDescent="0.35">
      <c r="A20" s="175"/>
      <c r="B20" s="175"/>
      <c r="C20" s="175"/>
      <c r="D20" s="175"/>
      <c r="E20" s="175"/>
      <c r="F20" s="175"/>
      <c r="G20" s="175"/>
      <c r="H20" s="175"/>
      <c r="I20" s="38"/>
      <c r="J20" s="175"/>
      <c r="K20" s="175"/>
      <c r="L20" s="175"/>
      <c r="M20" s="175"/>
    </row>
    <row r="21" spans="1:13" x14ac:dyDescent="0.35">
      <c r="A21" s="175"/>
      <c r="B21" s="175" t="s">
        <v>511</v>
      </c>
      <c r="C21" s="175"/>
      <c r="D21" s="175"/>
      <c r="E21" s="175"/>
      <c r="F21" s="175"/>
      <c r="G21" s="175"/>
      <c r="H21" s="175"/>
      <c r="I21" s="38"/>
      <c r="J21" s="175"/>
      <c r="K21" s="175"/>
      <c r="L21" s="175"/>
      <c r="M21" s="175"/>
    </row>
    <row r="22" spans="1:13" x14ac:dyDescent="0.35">
      <c r="A22" s="175"/>
      <c r="B22" s="175"/>
      <c r="C22" s="175"/>
      <c r="D22" s="175"/>
      <c r="E22" s="175"/>
      <c r="F22" s="175"/>
      <c r="G22" s="175"/>
      <c r="H22" s="175"/>
      <c r="I22" s="38"/>
      <c r="J22" s="175"/>
      <c r="K22" s="175"/>
      <c r="L22" s="175"/>
      <c r="M22" s="175"/>
    </row>
    <row r="23" spans="1:13" x14ac:dyDescent="0.35">
      <c r="A23" s="175"/>
      <c r="B23" s="175"/>
      <c r="C23" s="175"/>
      <c r="D23" s="175"/>
      <c r="E23" s="175"/>
      <c r="F23" s="175"/>
      <c r="G23" s="175"/>
      <c r="H23" s="175"/>
      <c r="I23" s="38"/>
      <c r="J23" s="175"/>
      <c r="K23" s="175"/>
      <c r="L23" s="175"/>
      <c r="M23" s="175"/>
    </row>
    <row r="24" spans="1:13" x14ac:dyDescent="0.35">
      <c r="A24" s="175"/>
      <c r="B24" s="175"/>
      <c r="C24" s="175"/>
      <c r="D24" s="175"/>
      <c r="E24" s="175"/>
      <c r="F24" s="175"/>
      <c r="G24" s="175"/>
      <c r="H24" s="175"/>
      <c r="I24" s="38"/>
      <c r="J24" s="175"/>
      <c r="K24" s="175"/>
      <c r="L24" s="175"/>
      <c r="M24" s="175"/>
    </row>
    <row r="25" spans="1:13" x14ac:dyDescent="0.35">
      <c r="A25" s="175"/>
      <c r="B25" s="175"/>
      <c r="C25" s="175"/>
      <c r="D25" s="175"/>
      <c r="E25" s="175"/>
      <c r="F25" s="175"/>
      <c r="G25" s="175"/>
      <c r="H25" s="175"/>
      <c r="I25" s="38"/>
      <c r="J25" s="175"/>
      <c r="K25" s="175"/>
      <c r="L25" s="175"/>
      <c r="M25" s="175"/>
    </row>
    <row r="26" spans="1:13" x14ac:dyDescent="0.35">
      <c r="A26" s="175"/>
      <c r="B26" s="175"/>
      <c r="C26" s="175"/>
      <c r="D26" s="175"/>
      <c r="E26" s="175"/>
      <c r="F26" s="175"/>
      <c r="G26" s="175"/>
      <c r="H26" s="175"/>
      <c r="I26" s="38"/>
      <c r="J26" s="175"/>
      <c r="K26" s="175"/>
      <c r="L26" s="175"/>
      <c r="M26" s="175"/>
    </row>
    <row r="27" spans="1:13" x14ac:dyDescent="0.35">
      <c r="A27" s="175"/>
      <c r="B27" s="175"/>
      <c r="C27" s="175"/>
      <c r="D27" s="175"/>
      <c r="E27" s="175"/>
      <c r="F27" s="175"/>
      <c r="G27" s="175"/>
      <c r="H27" s="175"/>
      <c r="I27" s="38"/>
      <c r="J27" s="175"/>
      <c r="K27" s="175"/>
      <c r="L27" s="175"/>
      <c r="M27" s="175"/>
    </row>
    <row r="28" spans="1:13" x14ac:dyDescent="0.35">
      <c r="A28" s="175"/>
      <c r="B28" s="175"/>
      <c r="C28" s="175"/>
      <c r="D28" s="175"/>
      <c r="E28" s="175"/>
      <c r="F28" s="175"/>
      <c r="G28" s="175"/>
      <c r="H28" s="175"/>
      <c r="I28" s="38"/>
      <c r="J28" s="175"/>
      <c r="K28" s="175"/>
      <c r="L28" s="175"/>
      <c r="M28" s="175"/>
    </row>
    <row r="29" spans="1:13" x14ac:dyDescent="0.35">
      <c r="A29" s="175"/>
      <c r="B29" s="175"/>
      <c r="C29" s="175"/>
      <c r="D29" s="175"/>
      <c r="E29" s="175"/>
      <c r="F29" s="175"/>
      <c r="G29" s="175"/>
      <c r="H29" s="175"/>
      <c r="I29" s="38"/>
      <c r="J29" s="175"/>
      <c r="K29" s="175"/>
      <c r="L29" s="175"/>
      <c r="M29" s="175"/>
    </row>
    <row r="30" spans="1:13" x14ac:dyDescent="0.35">
      <c r="A30" s="407" t="s">
        <v>66</v>
      </c>
      <c r="B30" s="407"/>
      <c r="C30" s="175"/>
      <c r="D30" s="175"/>
      <c r="E30" s="407" t="s">
        <v>67</v>
      </c>
      <c r="F30" s="407"/>
      <c r="G30" s="408"/>
      <c r="H30" s="408"/>
      <c r="I30" s="173"/>
      <c r="J30" s="173"/>
      <c r="K30" s="173"/>
      <c r="L30" s="39"/>
      <c r="M30" s="176"/>
    </row>
    <row r="31" spans="1:13" x14ac:dyDescent="0.35">
      <c r="A31" s="421" t="s">
        <v>69</v>
      </c>
      <c r="B31" s="421"/>
      <c r="D31" s="174"/>
      <c r="E31" s="410" t="s">
        <v>70</v>
      </c>
      <c r="F31" s="410"/>
      <c r="G31" s="410" t="s">
        <v>71</v>
      </c>
      <c r="H31" s="410"/>
      <c r="I31" s="174"/>
      <c r="J31" s="174"/>
      <c r="K31" s="174" t="s">
        <v>72</v>
      </c>
      <c r="L31" s="172"/>
      <c r="M31" s="172"/>
    </row>
    <row r="32" spans="1:13" x14ac:dyDescent="0.35">
      <c r="A32" s="414" t="s">
        <v>92</v>
      </c>
      <c r="B32" s="414"/>
      <c r="D32" s="177"/>
      <c r="E32" s="414" t="s">
        <v>73</v>
      </c>
      <c r="F32" s="414"/>
      <c r="G32" s="414" t="s">
        <v>74</v>
      </c>
      <c r="H32" s="414"/>
      <c r="I32" s="172"/>
      <c r="J32" s="172"/>
      <c r="K32" s="172" t="s">
        <v>75</v>
      </c>
      <c r="L32" s="171"/>
      <c r="M32" s="171"/>
    </row>
    <row r="33" spans="1:13" x14ac:dyDescent="0.35">
      <c r="A33" s="414" t="s">
        <v>94</v>
      </c>
      <c r="B33" s="414"/>
      <c r="D33" s="178"/>
      <c r="E33" s="414" t="s">
        <v>78</v>
      </c>
      <c r="F33" s="414"/>
      <c r="G33" s="414" t="s">
        <v>414</v>
      </c>
      <c r="H33" s="414"/>
      <c r="I33" s="171"/>
      <c r="J33" s="171"/>
      <c r="K33" s="172" t="s">
        <v>80</v>
      </c>
      <c r="L33" s="178"/>
      <c r="M33" s="178"/>
    </row>
    <row r="34" spans="1:13" x14ac:dyDescent="0.35">
      <c r="A34" s="412" t="s">
        <v>76</v>
      </c>
      <c r="B34" s="412"/>
      <c r="D34" s="178"/>
      <c r="E34" s="412" t="s">
        <v>76</v>
      </c>
      <c r="F34" s="412"/>
      <c r="G34" s="412" t="s">
        <v>76</v>
      </c>
      <c r="H34" s="412"/>
      <c r="I34" s="171"/>
      <c r="J34" s="171"/>
      <c r="K34" s="171"/>
    </row>
  </sheetData>
  <mergeCells count="34">
    <mergeCell ref="A34:B34"/>
    <mergeCell ref="E34:F34"/>
    <mergeCell ref="G34:H34"/>
    <mergeCell ref="A32:B32"/>
    <mergeCell ref="E32:F32"/>
    <mergeCell ref="G32:H32"/>
    <mergeCell ref="A33:B33"/>
    <mergeCell ref="E33:F33"/>
    <mergeCell ref="G33:H33"/>
    <mergeCell ref="A30:B30"/>
    <mergeCell ref="E30:F30"/>
    <mergeCell ref="G30:H30"/>
    <mergeCell ref="A31:B31"/>
    <mergeCell ref="E31:F31"/>
    <mergeCell ref="G31:H31"/>
    <mergeCell ref="A19:G19"/>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2C2D-3F9F-48C6-9614-67A25EDA3735}">
  <dimension ref="A1"/>
  <sheetViews>
    <sheetView workbookViewId="0"/>
  </sheetViews>
  <sheetFormatPr defaultRowHeight="14.5" x14ac:dyDescent="0.35"/>
  <sheetData/>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5335-948B-4B4D-9028-FC83631B0862}">
  <sheetPr>
    <pageSetUpPr fitToPage="1"/>
  </sheetPr>
  <dimension ref="A1:M33"/>
  <sheetViews>
    <sheetView workbookViewId="0">
      <selection activeCell="B12" sqref="B12:H12"/>
    </sheetView>
  </sheetViews>
  <sheetFormatPr defaultRowHeight="14.5" x14ac:dyDescent="0.35"/>
  <cols>
    <col min="1" max="1" width="5.7265625" bestFit="1" customWidth="1"/>
    <col min="2" max="2" width="33.7265625" customWidth="1"/>
    <col min="3" max="3" width="17.453125" bestFit="1" customWidth="1"/>
    <col min="4" max="4" width="5.08984375" bestFit="1" customWidth="1"/>
    <col min="5" max="5" width="7.81640625" customWidth="1"/>
    <col min="6" max="6" width="16.54296875" customWidth="1"/>
    <col min="7" max="7" width="13.5429687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501</v>
      </c>
      <c r="D4" s="394"/>
      <c r="E4" s="394"/>
      <c r="F4" s="394"/>
      <c r="G4" s="394"/>
      <c r="H4" s="394"/>
      <c r="I4" s="394"/>
      <c r="J4" s="394"/>
      <c r="K4" s="394"/>
      <c r="L4" s="394"/>
      <c r="M4" s="395"/>
    </row>
    <row r="5" spans="1:13" x14ac:dyDescent="0.35">
      <c r="A5" s="384" t="s">
        <v>5</v>
      </c>
      <c r="B5" s="385"/>
      <c r="C5" s="387">
        <v>46020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30000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515</v>
      </c>
      <c r="H11" s="3" t="s">
        <v>17</v>
      </c>
      <c r="I11" s="3" t="s">
        <v>517</v>
      </c>
      <c r="J11" s="3" t="s">
        <v>18</v>
      </c>
      <c r="K11" s="3" t="s">
        <v>19</v>
      </c>
      <c r="L11" s="3" t="s">
        <v>20</v>
      </c>
      <c r="M11" s="4" t="s">
        <v>21</v>
      </c>
    </row>
    <row r="12" spans="1:13" x14ac:dyDescent="0.35">
      <c r="A12" s="5">
        <v>1</v>
      </c>
      <c r="B12" s="71" t="s">
        <v>513</v>
      </c>
      <c r="C12" s="72" t="s">
        <v>144</v>
      </c>
      <c r="D12" s="73" t="s">
        <v>514</v>
      </c>
      <c r="E12" s="44" t="s">
        <v>14</v>
      </c>
      <c r="F12" s="44" t="s">
        <v>44</v>
      </c>
      <c r="G12" s="73" t="s">
        <v>516</v>
      </c>
      <c r="H12" s="80">
        <v>30000</v>
      </c>
      <c r="I12" s="10">
        <v>5546</v>
      </c>
      <c r="J12" s="10">
        <v>8413</v>
      </c>
      <c r="K12" s="11">
        <v>46014</v>
      </c>
      <c r="L12" s="80">
        <v>10000</v>
      </c>
      <c r="M12" s="17"/>
    </row>
    <row r="13" spans="1:13" x14ac:dyDescent="0.35">
      <c r="A13" s="415" t="s">
        <v>8</v>
      </c>
      <c r="B13" s="415"/>
      <c r="C13" s="415"/>
      <c r="D13" s="415"/>
      <c r="E13" s="415"/>
      <c r="F13" s="415"/>
      <c r="G13" s="415"/>
      <c r="H13" s="81">
        <f>SUM(H12:H12)</f>
        <v>30000</v>
      </c>
      <c r="I13" s="24"/>
      <c r="J13" s="25"/>
      <c r="K13" s="43"/>
      <c r="L13" s="186"/>
      <c r="M13" s="186"/>
    </row>
    <row r="14" spans="1:13" x14ac:dyDescent="0.35">
      <c r="A14" s="186"/>
      <c r="B14" s="186"/>
      <c r="C14" s="186"/>
      <c r="D14" s="186"/>
      <c r="E14" s="186"/>
      <c r="F14" s="186"/>
      <c r="G14" s="186"/>
      <c r="H14" s="186"/>
      <c r="I14" s="186"/>
      <c r="J14" s="186"/>
      <c r="K14" s="186"/>
      <c r="L14" s="186"/>
      <c r="M14" s="186"/>
    </row>
    <row r="15" spans="1:13" x14ac:dyDescent="0.35">
      <c r="A15" s="186"/>
      <c r="B15" s="190" t="s">
        <v>518</v>
      </c>
      <c r="C15" s="186"/>
      <c r="D15" s="186"/>
      <c r="E15" s="186"/>
      <c r="F15" s="186"/>
      <c r="G15" s="186"/>
      <c r="H15" s="186"/>
      <c r="I15" s="186"/>
      <c r="J15" s="186"/>
      <c r="K15" s="186"/>
      <c r="L15" s="186"/>
      <c r="M15" s="186"/>
    </row>
    <row r="16" spans="1:13" x14ac:dyDescent="0.35">
      <c r="A16" s="186"/>
      <c r="B16" s="186"/>
      <c r="C16" s="186"/>
      <c r="D16" s="186"/>
      <c r="E16" s="186"/>
      <c r="F16" s="186"/>
      <c r="G16" s="186"/>
      <c r="H16" s="186"/>
      <c r="I16" s="186"/>
      <c r="J16" s="186"/>
      <c r="K16" s="186"/>
      <c r="L16" s="186"/>
      <c r="M16" s="186"/>
    </row>
    <row r="17" spans="1:13" x14ac:dyDescent="0.35">
      <c r="A17" s="186"/>
      <c r="B17" s="186"/>
      <c r="C17" s="186"/>
      <c r="D17" s="186"/>
      <c r="E17" s="186"/>
      <c r="F17" s="186"/>
      <c r="G17" s="186"/>
      <c r="H17" s="186"/>
      <c r="I17" s="186"/>
      <c r="J17" s="186"/>
      <c r="K17" s="186"/>
      <c r="L17" s="186"/>
      <c r="M17" s="186"/>
    </row>
    <row r="18" spans="1:13" x14ac:dyDescent="0.35">
      <c r="A18" s="186"/>
      <c r="B18" s="186"/>
      <c r="C18" s="186"/>
      <c r="D18" s="186"/>
      <c r="E18" s="186"/>
      <c r="F18" s="186"/>
      <c r="G18" s="186"/>
      <c r="H18" s="186"/>
      <c r="I18" s="186"/>
      <c r="J18" s="186"/>
      <c r="K18" s="186"/>
      <c r="L18" s="186"/>
      <c r="M18" s="186"/>
    </row>
    <row r="19" spans="1:13" x14ac:dyDescent="0.35">
      <c r="A19" s="186"/>
      <c r="B19" s="186"/>
      <c r="C19" s="186"/>
      <c r="D19" s="186"/>
      <c r="E19" s="186"/>
      <c r="F19" s="186"/>
      <c r="G19" s="186"/>
      <c r="H19" s="186"/>
      <c r="I19" s="186"/>
      <c r="J19" s="186"/>
      <c r="K19" s="186"/>
      <c r="L19" s="186"/>
      <c r="M19" s="186"/>
    </row>
    <row r="20" spans="1:13" ht="15" thickBot="1" x14ac:dyDescent="0.4">
      <c r="A20" s="420" t="s">
        <v>66</v>
      </c>
      <c r="B20" s="420"/>
      <c r="C20" s="186"/>
      <c r="D20" s="186"/>
      <c r="E20" s="407" t="s">
        <v>67</v>
      </c>
      <c r="F20" s="407"/>
      <c r="G20" s="49"/>
      <c r="H20" s="49"/>
      <c r="I20" s="408"/>
      <c r="J20" s="408"/>
      <c r="K20" s="184"/>
      <c r="L20" s="185"/>
      <c r="M20" s="185"/>
    </row>
    <row r="21" spans="1:13" ht="15" thickTop="1" x14ac:dyDescent="0.35">
      <c r="A21" s="421" t="s">
        <v>69</v>
      </c>
      <c r="B21" s="421"/>
      <c r="D21" s="30"/>
      <c r="E21" s="410" t="s">
        <v>70</v>
      </c>
      <c r="F21" s="410"/>
      <c r="G21" s="410" t="s">
        <v>71</v>
      </c>
      <c r="H21" s="410"/>
      <c r="I21" s="185"/>
      <c r="J21" s="185"/>
      <c r="K21" s="185" t="s">
        <v>72</v>
      </c>
      <c r="L21" s="183"/>
      <c r="M21" s="183"/>
    </row>
    <row r="22" spans="1:13" x14ac:dyDescent="0.35">
      <c r="A22" s="414" t="s">
        <v>92</v>
      </c>
      <c r="B22" s="414"/>
      <c r="D22" s="187"/>
      <c r="E22" s="414" t="s">
        <v>73</v>
      </c>
      <c r="F22" s="414"/>
      <c r="G22" s="414" t="s">
        <v>74</v>
      </c>
      <c r="H22" s="414"/>
      <c r="I22" s="183"/>
      <c r="J22" s="183"/>
      <c r="K22" s="183" t="s">
        <v>75</v>
      </c>
      <c r="L22" s="182"/>
      <c r="M22" s="182"/>
    </row>
    <row r="23" spans="1:13" x14ac:dyDescent="0.35">
      <c r="A23" s="412" t="s">
        <v>94</v>
      </c>
      <c r="B23" s="412"/>
      <c r="D23" s="188"/>
      <c r="E23" s="414" t="s">
        <v>78</v>
      </c>
      <c r="F23" s="414"/>
      <c r="G23" s="414" t="s">
        <v>414</v>
      </c>
      <c r="H23" s="414"/>
      <c r="I23" s="182"/>
      <c r="J23" s="182"/>
      <c r="K23" s="182" t="s">
        <v>80</v>
      </c>
      <c r="L23" s="188"/>
      <c r="M23" s="188"/>
    </row>
    <row r="24" spans="1:13" x14ac:dyDescent="0.35">
      <c r="A24" s="412" t="s">
        <v>76</v>
      </c>
      <c r="B24" s="412"/>
      <c r="D24" s="188"/>
      <c r="E24" s="412" t="s">
        <v>76</v>
      </c>
      <c r="F24" s="412"/>
      <c r="G24" s="412" t="s">
        <v>76</v>
      </c>
      <c r="H24" s="412"/>
      <c r="I24" s="182"/>
      <c r="J24" s="182"/>
      <c r="K24" s="182"/>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32:B32"/>
    <mergeCell ref="C32:E32"/>
    <mergeCell ref="A33:B33"/>
    <mergeCell ref="C33:E33"/>
    <mergeCell ref="A24:B24"/>
    <mergeCell ref="E24:F24"/>
    <mergeCell ref="G24:H24"/>
    <mergeCell ref="A30:B30"/>
    <mergeCell ref="C30:E30"/>
    <mergeCell ref="A31:B31"/>
    <mergeCell ref="C31:E31"/>
    <mergeCell ref="A22:B22"/>
    <mergeCell ref="E22:F22"/>
    <mergeCell ref="G22:H22"/>
    <mergeCell ref="A23:B23"/>
    <mergeCell ref="E23:F23"/>
    <mergeCell ref="G23:H23"/>
    <mergeCell ref="A20:B20"/>
    <mergeCell ref="E20:F20"/>
    <mergeCell ref="I20:J20"/>
    <mergeCell ref="A21:B21"/>
    <mergeCell ref="E21:F21"/>
    <mergeCell ref="G21:H2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A3D1-A82A-4EB9-838B-E1902E778869}">
  <sheetPr>
    <pageSetUpPr fitToPage="1"/>
  </sheetPr>
  <dimension ref="A1:M46"/>
  <sheetViews>
    <sheetView topLeftCell="A10" workbookViewId="0">
      <selection sqref="A1:M46"/>
    </sheetView>
  </sheetViews>
  <sheetFormatPr defaultRowHeight="14.5" x14ac:dyDescent="0.35"/>
  <cols>
    <col min="1" max="1" width="5.7265625" bestFit="1" customWidth="1"/>
    <col min="2" max="2" width="33.7265625" customWidth="1"/>
    <col min="3" max="3" width="17.453125" bestFit="1" customWidth="1"/>
    <col min="4" max="4" width="5.08984375" bestFit="1" customWidth="1"/>
    <col min="5" max="5" width="8.26953125" customWidth="1"/>
    <col min="6" max="6" width="16.54296875" customWidth="1"/>
    <col min="7" max="7" width="13.5429687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 customHeight="1" x14ac:dyDescent="0.35">
      <c r="A1" s="402" t="s">
        <v>519</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501</v>
      </c>
      <c r="D4" s="394"/>
      <c r="E4" s="394"/>
      <c r="F4" s="394"/>
      <c r="G4" s="394"/>
      <c r="H4" s="394"/>
      <c r="I4" s="394"/>
      <c r="J4" s="394"/>
      <c r="K4" s="394"/>
      <c r="L4" s="394"/>
      <c r="M4" s="395"/>
    </row>
    <row r="5" spans="1:13" x14ac:dyDescent="0.35">
      <c r="A5" s="384" t="s">
        <v>5</v>
      </c>
      <c r="B5" s="385"/>
      <c r="C5" s="387">
        <v>46020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515</v>
      </c>
      <c r="H11" s="3" t="s">
        <v>17</v>
      </c>
      <c r="I11" s="3" t="s">
        <v>517</v>
      </c>
      <c r="J11" s="3" t="s">
        <v>18</v>
      </c>
      <c r="K11" s="3" t="s">
        <v>19</v>
      </c>
      <c r="L11" s="3" t="s">
        <v>20</v>
      </c>
      <c r="M11" s="4" t="s">
        <v>21</v>
      </c>
    </row>
    <row r="12" spans="1:13" x14ac:dyDescent="0.35">
      <c r="A12" s="5">
        <v>1</v>
      </c>
      <c r="B12" s="71" t="s">
        <v>513</v>
      </c>
      <c r="C12" s="72" t="s">
        <v>144</v>
      </c>
      <c r="D12" s="73" t="s">
        <v>514</v>
      </c>
      <c r="E12" s="44" t="s">
        <v>14</v>
      </c>
      <c r="F12" s="44" t="s">
        <v>44</v>
      </c>
      <c r="G12" s="73" t="s">
        <v>516</v>
      </c>
      <c r="H12" s="80">
        <v>10000</v>
      </c>
      <c r="I12" s="10" t="s">
        <v>97</v>
      </c>
      <c r="J12" s="10" t="s">
        <v>97</v>
      </c>
      <c r="K12" s="11" t="s">
        <v>97</v>
      </c>
      <c r="L12" s="80" t="s">
        <v>97</v>
      </c>
      <c r="M12" s="17"/>
    </row>
    <row r="13" spans="1:13" x14ac:dyDescent="0.35">
      <c r="A13" s="415" t="s">
        <v>8</v>
      </c>
      <c r="B13" s="415"/>
      <c r="C13" s="415"/>
      <c r="D13" s="415"/>
      <c r="E13" s="415"/>
      <c r="F13" s="415"/>
      <c r="G13" s="415"/>
      <c r="H13" s="81">
        <f>SUM(H12:H12)</f>
        <v>10000</v>
      </c>
      <c r="I13" s="24"/>
      <c r="J13" s="25"/>
      <c r="K13" s="43"/>
      <c r="L13" s="186"/>
      <c r="M13" s="186"/>
    </row>
    <row r="14" spans="1:13" x14ac:dyDescent="0.35">
      <c r="A14" s="186"/>
      <c r="B14" s="186"/>
      <c r="C14" s="186"/>
      <c r="D14" s="186"/>
      <c r="E14" s="186"/>
      <c r="F14" s="186"/>
      <c r="G14" s="186"/>
      <c r="H14" s="186"/>
      <c r="I14" s="186"/>
      <c r="J14" s="186"/>
      <c r="K14" s="186"/>
      <c r="L14" s="186"/>
      <c r="M14" s="186"/>
    </row>
    <row r="15" spans="1:13" x14ac:dyDescent="0.35">
      <c r="A15" s="186"/>
      <c r="B15" s="190" t="s">
        <v>280</v>
      </c>
      <c r="C15" s="186"/>
      <c r="D15" s="186"/>
      <c r="E15" s="186"/>
      <c r="F15" s="186"/>
      <c r="G15" s="186"/>
      <c r="H15" s="186"/>
      <c r="I15" s="186"/>
      <c r="J15" s="186"/>
      <c r="K15" s="186"/>
      <c r="L15" s="186"/>
      <c r="M15" s="186"/>
    </row>
    <row r="16" spans="1:13" x14ac:dyDescent="0.35">
      <c r="A16" s="186"/>
      <c r="B16" s="186"/>
      <c r="C16" s="186"/>
      <c r="D16" s="186"/>
      <c r="E16" s="186"/>
      <c r="F16" s="186"/>
      <c r="G16" s="186"/>
      <c r="H16" s="186"/>
      <c r="I16" s="186"/>
      <c r="J16" s="186"/>
      <c r="K16" s="186"/>
      <c r="L16" s="186"/>
      <c r="M16" s="186"/>
    </row>
    <row r="17" spans="1:13" x14ac:dyDescent="0.35">
      <c r="A17" s="186"/>
      <c r="B17" s="186"/>
      <c r="C17" s="186"/>
      <c r="D17" s="186"/>
      <c r="E17" s="186"/>
      <c r="F17" s="186"/>
      <c r="G17" s="186"/>
      <c r="H17" s="186"/>
      <c r="I17" s="186"/>
      <c r="J17" s="186"/>
      <c r="K17" s="186"/>
      <c r="L17" s="186"/>
      <c r="M17" s="186"/>
    </row>
    <row r="18" spans="1:13" x14ac:dyDescent="0.35">
      <c r="A18" s="186"/>
      <c r="B18" s="186"/>
      <c r="C18" s="186"/>
      <c r="D18" s="186"/>
      <c r="E18" s="186"/>
      <c r="F18" s="186"/>
      <c r="G18" s="186"/>
      <c r="H18" s="186"/>
      <c r="I18" s="186"/>
      <c r="J18" s="186"/>
      <c r="K18" s="186"/>
      <c r="L18" s="186"/>
      <c r="M18" s="186"/>
    </row>
    <row r="19" spans="1:13" x14ac:dyDescent="0.35">
      <c r="A19" s="186"/>
      <c r="B19" s="186"/>
      <c r="C19" s="186"/>
      <c r="D19" s="186"/>
      <c r="E19" s="186"/>
      <c r="F19" s="186"/>
      <c r="G19" s="186"/>
      <c r="H19" s="186"/>
      <c r="I19" s="186"/>
      <c r="J19" s="186"/>
      <c r="K19" s="186"/>
      <c r="L19" s="186"/>
      <c r="M19" s="186"/>
    </row>
    <row r="20" spans="1:13" x14ac:dyDescent="0.35">
      <c r="A20" s="186"/>
      <c r="B20" s="186"/>
      <c r="C20" s="186"/>
      <c r="D20" s="186"/>
      <c r="E20" s="186"/>
      <c r="F20" s="186"/>
      <c r="G20" s="186"/>
      <c r="H20" s="186"/>
      <c r="I20" s="186"/>
      <c r="J20" s="186"/>
      <c r="K20" s="186"/>
      <c r="L20" s="186"/>
      <c r="M20" s="186"/>
    </row>
    <row r="21" spans="1:13" x14ac:dyDescent="0.35">
      <c r="A21" s="186"/>
      <c r="B21" s="457" t="s">
        <v>167</v>
      </c>
      <c r="C21" s="457"/>
      <c r="D21" s="457"/>
      <c r="E21" s="457"/>
      <c r="F21" s="186"/>
      <c r="G21" s="186"/>
      <c r="H21" s="186"/>
      <c r="I21" s="186"/>
      <c r="J21" s="186"/>
      <c r="K21" s="186"/>
      <c r="L21" s="186"/>
      <c r="M21" s="186"/>
    </row>
    <row r="22" spans="1:13" x14ac:dyDescent="0.35">
      <c r="A22" s="186"/>
      <c r="B22" s="48" t="s">
        <v>7</v>
      </c>
      <c r="C22" s="433" t="s">
        <v>304</v>
      </c>
      <c r="D22" s="433"/>
      <c r="E22" s="433"/>
      <c r="F22" s="186"/>
      <c r="G22" s="186"/>
      <c r="H22" s="186"/>
      <c r="I22" s="186"/>
      <c r="J22" s="186"/>
      <c r="K22" s="186"/>
      <c r="L22" s="186"/>
      <c r="M22" s="186"/>
    </row>
    <row r="23" spans="1:13" x14ac:dyDescent="0.35">
      <c r="A23" s="186"/>
      <c r="B23" s="48" t="s">
        <v>305</v>
      </c>
      <c r="C23" s="456" t="s">
        <v>306</v>
      </c>
      <c r="D23" s="456"/>
      <c r="E23" s="456"/>
      <c r="F23" s="186"/>
      <c r="G23" s="186"/>
      <c r="H23" s="186"/>
      <c r="I23" s="186"/>
      <c r="J23" s="186"/>
      <c r="K23" s="186"/>
      <c r="L23" s="186"/>
      <c r="M23" s="186"/>
    </row>
    <row r="24" spans="1:13" x14ac:dyDescent="0.35">
      <c r="A24" s="186"/>
      <c r="B24" s="48" t="s">
        <v>307</v>
      </c>
      <c r="C24" s="433" t="s">
        <v>308</v>
      </c>
      <c r="D24" s="433"/>
      <c r="E24" s="433"/>
      <c r="F24" s="186"/>
      <c r="G24" s="186"/>
      <c r="H24" s="186"/>
      <c r="I24" s="186"/>
      <c r="J24" s="186"/>
      <c r="K24" s="186"/>
      <c r="L24" s="186"/>
      <c r="M24" s="186"/>
    </row>
    <row r="25" spans="1:13" x14ac:dyDescent="0.35">
      <c r="A25" s="186"/>
      <c r="B25" s="189" t="s">
        <v>309</v>
      </c>
      <c r="C25" s="438" t="s">
        <v>310</v>
      </c>
      <c r="D25" s="438"/>
      <c r="E25" s="438"/>
      <c r="F25" s="186"/>
      <c r="G25" s="186"/>
      <c r="H25" s="186"/>
      <c r="I25" s="186"/>
      <c r="J25" s="186"/>
      <c r="K25" s="186"/>
      <c r="L25" s="186"/>
      <c r="M25" s="186"/>
    </row>
    <row r="26" spans="1:13" x14ac:dyDescent="0.35">
      <c r="A26" s="186"/>
      <c r="B26" s="186"/>
      <c r="C26" s="186"/>
      <c r="D26" s="186"/>
      <c r="E26" s="186"/>
      <c r="F26" s="186"/>
      <c r="G26" s="186"/>
      <c r="H26" s="186"/>
      <c r="I26" s="186"/>
      <c r="J26" s="186"/>
      <c r="K26" s="186"/>
      <c r="L26" s="186"/>
      <c r="M26" s="186"/>
    </row>
    <row r="27" spans="1:13" x14ac:dyDescent="0.35">
      <c r="A27" s="186"/>
      <c r="B27" s="186"/>
      <c r="C27" s="186"/>
      <c r="D27" s="186"/>
      <c r="E27" s="186"/>
      <c r="F27" s="186"/>
      <c r="G27" s="186"/>
      <c r="H27" s="186"/>
      <c r="I27" s="186"/>
      <c r="J27" s="186"/>
      <c r="K27" s="186"/>
      <c r="L27" s="186"/>
      <c r="M27" s="186"/>
    </row>
    <row r="28" spans="1:13" x14ac:dyDescent="0.35">
      <c r="A28" s="186"/>
      <c r="B28" s="186"/>
      <c r="C28" s="186"/>
      <c r="D28" s="186"/>
      <c r="E28" s="186"/>
      <c r="F28" s="186"/>
      <c r="G28" s="186"/>
      <c r="H28" s="186"/>
      <c r="I28" s="186"/>
      <c r="J28" s="186"/>
      <c r="K28" s="186"/>
      <c r="L28" s="186"/>
      <c r="M28" s="186"/>
    </row>
    <row r="29" spans="1:13" x14ac:dyDescent="0.35">
      <c r="A29" s="186"/>
      <c r="B29" s="186"/>
      <c r="C29" s="186"/>
      <c r="D29" s="186"/>
      <c r="E29" s="186"/>
      <c r="F29" s="186"/>
      <c r="G29" s="186"/>
      <c r="H29" s="186"/>
      <c r="I29" s="186"/>
      <c r="J29" s="186"/>
      <c r="K29" s="186"/>
      <c r="L29" s="186"/>
      <c r="M29" s="186"/>
    </row>
    <row r="30" spans="1:13" x14ac:dyDescent="0.35">
      <c r="A30" s="186"/>
      <c r="B30" s="186"/>
      <c r="C30" s="186"/>
      <c r="D30" s="186"/>
      <c r="E30" s="186"/>
      <c r="F30" s="186"/>
      <c r="G30" s="186"/>
      <c r="H30" s="186"/>
      <c r="I30" s="186"/>
      <c r="J30" s="186"/>
      <c r="K30" s="186"/>
      <c r="L30" s="186"/>
      <c r="M30" s="186"/>
    </row>
    <row r="31" spans="1:13" x14ac:dyDescent="0.35">
      <c r="A31" s="186"/>
      <c r="B31" s="186"/>
      <c r="C31" s="186"/>
      <c r="D31" s="186"/>
      <c r="E31" s="186"/>
      <c r="F31" s="186"/>
      <c r="G31" s="186"/>
      <c r="H31" s="186"/>
      <c r="I31" s="186"/>
      <c r="J31" s="186"/>
      <c r="K31" s="186"/>
      <c r="L31" s="186"/>
      <c r="M31" s="186"/>
    </row>
    <row r="32" spans="1:13" x14ac:dyDescent="0.35">
      <c r="A32" s="186"/>
      <c r="B32" s="186"/>
      <c r="C32" s="186"/>
      <c r="D32" s="186"/>
      <c r="E32" s="186"/>
      <c r="F32" s="186"/>
      <c r="G32" s="186"/>
      <c r="H32" s="186"/>
      <c r="I32" s="186"/>
      <c r="J32" s="186"/>
      <c r="K32" s="186"/>
      <c r="L32" s="186"/>
      <c r="M32" s="186"/>
    </row>
    <row r="33" spans="1:13" ht="15" thickBot="1" x14ac:dyDescent="0.4">
      <c r="A33" s="420" t="s">
        <v>66</v>
      </c>
      <c r="B33" s="420"/>
      <c r="C33" s="186"/>
      <c r="D33" s="186"/>
      <c r="E33" s="407" t="s">
        <v>67</v>
      </c>
      <c r="F33" s="407"/>
      <c r="G33" s="49"/>
      <c r="H33" s="49"/>
      <c r="I33" s="408"/>
      <c r="J33" s="408"/>
      <c r="K33" s="184"/>
      <c r="L33" s="185"/>
      <c r="M33" s="185"/>
    </row>
    <row r="34" spans="1:13" ht="15" thickTop="1" x14ac:dyDescent="0.35">
      <c r="A34" s="421" t="s">
        <v>69</v>
      </c>
      <c r="B34" s="421"/>
      <c r="D34" s="30"/>
      <c r="E34" s="410" t="s">
        <v>70</v>
      </c>
      <c r="F34" s="410"/>
      <c r="G34" s="410" t="s">
        <v>71</v>
      </c>
      <c r="H34" s="410"/>
      <c r="I34" s="185"/>
      <c r="J34" s="185"/>
      <c r="K34" s="185" t="s">
        <v>72</v>
      </c>
      <c r="L34" s="183"/>
      <c r="M34" s="183"/>
    </row>
    <row r="35" spans="1:13" x14ac:dyDescent="0.35">
      <c r="A35" s="414" t="s">
        <v>92</v>
      </c>
      <c r="B35" s="414"/>
      <c r="D35" s="187"/>
      <c r="E35" s="414" t="s">
        <v>73</v>
      </c>
      <c r="F35" s="414"/>
      <c r="G35" s="414" t="s">
        <v>74</v>
      </c>
      <c r="H35" s="414"/>
      <c r="I35" s="183"/>
      <c r="J35" s="183"/>
      <c r="K35" s="183" t="s">
        <v>75</v>
      </c>
      <c r="L35" s="182"/>
      <c r="M35" s="182"/>
    </row>
    <row r="36" spans="1:13" x14ac:dyDescent="0.35">
      <c r="A36" s="412" t="s">
        <v>94</v>
      </c>
      <c r="B36" s="412"/>
      <c r="D36" s="188"/>
      <c r="E36" s="414" t="s">
        <v>78</v>
      </c>
      <c r="F36" s="414"/>
      <c r="G36" s="414" t="s">
        <v>414</v>
      </c>
      <c r="H36" s="414"/>
      <c r="I36" s="182"/>
      <c r="J36" s="182"/>
      <c r="K36" s="182" t="s">
        <v>80</v>
      </c>
      <c r="L36" s="188"/>
      <c r="M36" s="188"/>
    </row>
    <row r="37" spans="1:13" x14ac:dyDescent="0.35">
      <c r="A37" s="412" t="s">
        <v>76</v>
      </c>
      <c r="B37" s="412"/>
      <c r="D37" s="188"/>
      <c r="E37" s="412" t="s">
        <v>76</v>
      </c>
      <c r="F37" s="412"/>
      <c r="G37" s="412" t="s">
        <v>76</v>
      </c>
      <c r="H37" s="412"/>
      <c r="I37" s="182"/>
      <c r="J37" s="182"/>
      <c r="K37" s="182"/>
    </row>
    <row r="42" spans="1:13" ht="15" thickBot="1" x14ac:dyDescent="0.4"/>
    <row r="43" spans="1:13" ht="15" thickTop="1" x14ac:dyDescent="0.35">
      <c r="A43" s="417" t="s">
        <v>114</v>
      </c>
      <c r="B43" s="417"/>
      <c r="C43" s="429" t="s">
        <v>282</v>
      </c>
      <c r="D43" s="429"/>
      <c r="E43" s="429"/>
    </row>
    <row r="44" spans="1:13" x14ac:dyDescent="0.35">
      <c r="A44" s="418" t="s">
        <v>115</v>
      </c>
      <c r="B44" s="418"/>
      <c r="C44" s="430" t="s">
        <v>7</v>
      </c>
      <c r="D44" s="430"/>
      <c r="E44" s="430"/>
    </row>
    <row r="45" spans="1:13" x14ac:dyDescent="0.35">
      <c r="A45" s="422" t="s">
        <v>116</v>
      </c>
      <c r="B45" s="418"/>
      <c r="C45" s="431" t="s">
        <v>77</v>
      </c>
      <c r="D45" s="431"/>
      <c r="E45" s="431"/>
    </row>
    <row r="46" spans="1:13" x14ac:dyDescent="0.35">
      <c r="A46" s="416" t="s">
        <v>117</v>
      </c>
      <c r="B46" s="416"/>
      <c r="C46" s="412" t="s">
        <v>81</v>
      </c>
      <c r="D46" s="412"/>
      <c r="E46" s="412"/>
    </row>
  </sheetData>
  <mergeCells count="47">
    <mergeCell ref="A45:B45"/>
    <mergeCell ref="C45:E45"/>
    <mergeCell ref="A46:B46"/>
    <mergeCell ref="C46:E46"/>
    <mergeCell ref="B21:E21"/>
    <mergeCell ref="C22:E22"/>
    <mergeCell ref="C23:E23"/>
    <mergeCell ref="C24:E24"/>
    <mergeCell ref="C25:E25"/>
    <mergeCell ref="A37:B37"/>
    <mergeCell ref="E37:F37"/>
    <mergeCell ref="A35:B35"/>
    <mergeCell ref="E35:F35"/>
    <mergeCell ref="G37:H37"/>
    <mergeCell ref="A43:B43"/>
    <mergeCell ref="C43:E43"/>
    <mergeCell ref="A44:B44"/>
    <mergeCell ref="C44:E44"/>
    <mergeCell ref="G35:H35"/>
    <mergeCell ref="A36:B36"/>
    <mergeCell ref="E36:F36"/>
    <mergeCell ref="G36:H36"/>
    <mergeCell ref="A33:B33"/>
    <mergeCell ref="E33:F33"/>
    <mergeCell ref="I33:J33"/>
    <mergeCell ref="A34:B34"/>
    <mergeCell ref="E34:F34"/>
    <mergeCell ref="G34:H34"/>
    <mergeCell ref="A8:B8"/>
    <mergeCell ref="C8:M8"/>
    <mergeCell ref="A9:B9"/>
    <mergeCell ref="C9:M9"/>
    <mergeCell ref="A10:M10"/>
    <mergeCell ref="A13:G13"/>
    <mergeCell ref="A5:B5"/>
    <mergeCell ref="C5:M5"/>
    <mergeCell ref="A6:B6"/>
    <mergeCell ref="C6:M6"/>
    <mergeCell ref="A7:B7"/>
    <mergeCell ref="C7:M7"/>
    <mergeCell ref="A4:B4"/>
    <mergeCell ref="C4:M4"/>
    <mergeCell ref="A1:M1"/>
    <mergeCell ref="A2:B2"/>
    <mergeCell ref="C2:M2"/>
    <mergeCell ref="A3:B3"/>
    <mergeCell ref="C3:M3"/>
  </mergeCells>
  <printOptions horizontalCentered="1"/>
  <pageMargins left="0.25" right="0.25" top="0.75" bottom="0.75" header="0.3" footer="0.3"/>
  <pageSetup paperSize="9" scale="66" orientation="landscape"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5B1D-C330-4498-B2F8-A9B5ED4925D2}">
  <sheetPr>
    <pageSetUpPr fitToPage="1"/>
  </sheetPr>
  <dimension ref="A1:M48"/>
  <sheetViews>
    <sheetView workbookViewId="0">
      <selection activeCell="B26" sqref="B26:E30"/>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6" customHeight="1" x14ac:dyDescent="0.35">
      <c r="A1" s="402" t="s">
        <v>520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46040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508</v>
      </c>
      <c r="J11" s="3" t="s">
        <v>18</v>
      </c>
      <c r="K11" s="3" t="s">
        <v>19</v>
      </c>
      <c r="L11" s="3" t="s">
        <v>20</v>
      </c>
      <c r="M11" s="4" t="s">
        <v>21</v>
      </c>
    </row>
    <row r="12" spans="1:13" x14ac:dyDescent="0.35">
      <c r="A12" s="5">
        <v>18</v>
      </c>
      <c r="B12" s="71" t="s">
        <v>450</v>
      </c>
      <c r="C12" s="72" t="s">
        <v>23</v>
      </c>
      <c r="D12" s="73" t="s">
        <v>451</v>
      </c>
      <c r="E12" s="44" t="s">
        <v>24</v>
      </c>
      <c r="F12" s="44" t="s">
        <v>130</v>
      </c>
      <c r="G12" s="73" t="s">
        <v>452</v>
      </c>
      <c r="H12" s="80">
        <v>10000</v>
      </c>
      <c r="I12" s="10">
        <v>24107</v>
      </c>
      <c r="J12" s="10">
        <v>37635</v>
      </c>
      <c r="K12" s="11">
        <v>45988</v>
      </c>
      <c r="L12" s="80">
        <v>5000</v>
      </c>
      <c r="M12" s="17" t="s">
        <v>364</v>
      </c>
    </row>
    <row r="13" spans="1:13" x14ac:dyDescent="0.35">
      <c r="A13" s="415" t="s">
        <v>8</v>
      </c>
      <c r="B13" s="415"/>
      <c r="C13" s="415"/>
      <c r="D13" s="415"/>
      <c r="E13" s="415"/>
      <c r="F13" s="415"/>
      <c r="G13" s="415"/>
      <c r="H13" s="81">
        <f>SUM(H12:H12)</f>
        <v>10000</v>
      </c>
      <c r="I13" s="24"/>
      <c r="J13" s="25"/>
      <c r="K13" s="43"/>
      <c r="L13" s="195"/>
      <c r="M13" s="195"/>
    </row>
    <row r="14" spans="1:13" x14ac:dyDescent="0.35">
      <c r="A14" s="195"/>
      <c r="B14" s="195"/>
      <c r="C14" s="195"/>
      <c r="D14" s="195"/>
      <c r="E14" s="195"/>
      <c r="F14" s="195"/>
      <c r="G14" s="195"/>
      <c r="H14" s="195"/>
      <c r="I14" s="195"/>
      <c r="J14" s="195"/>
      <c r="K14" s="195"/>
      <c r="L14" s="195"/>
      <c r="M14" s="195"/>
    </row>
    <row r="15" spans="1:13" x14ac:dyDescent="0.35">
      <c r="A15" s="195"/>
      <c r="B15" s="195" t="s">
        <v>455</v>
      </c>
      <c r="C15" s="195"/>
      <c r="D15" s="195"/>
      <c r="E15" s="195"/>
      <c r="F15" s="195"/>
      <c r="G15" s="195"/>
      <c r="H15" s="195"/>
      <c r="I15" s="195"/>
      <c r="J15" s="195"/>
      <c r="K15" s="195"/>
      <c r="L15" s="195"/>
      <c r="M15" s="195"/>
    </row>
    <row r="16" spans="1:13" x14ac:dyDescent="0.35">
      <c r="A16" s="195"/>
      <c r="B16" s="195"/>
      <c r="C16" s="195"/>
      <c r="D16" s="195"/>
      <c r="E16" s="195"/>
      <c r="F16" s="195"/>
      <c r="G16" s="195"/>
      <c r="H16" s="195"/>
      <c r="I16" s="195"/>
      <c r="J16" s="195"/>
      <c r="K16" s="195"/>
      <c r="L16" s="195"/>
      <c r="M16" s="195"/>
    </row>
    <row r="17" spans="1:13" x14ac:dyDescent="0.35">
      <c r="A17" s="195"/>
      <c r="B17" s="195"/>
      <c r="C17" s="195"/>
      <c r="D17" s="195"/>
      <c r="E17" s="195"/>
      <c r="F17" s="195"/>
      <c r="G17" s="195"/>
      <c r="H17" s="195"/>
      <c r="I17" s="195"/>
      <c r="J17" s="195"/>
      <c r="K17" s="195"/>
      <c r="L17" s="195"/>
      <c r="M17" s="195"/>
    </row>
    <row r="18" spans="1:13" x14ac:dyDescent="0.35">
      <c r="A18" s="195"/>
      <c r="B18" s="195"/>
      <c r="C18" s="195"/>
      <c r="D18" s="195"/>
      <c r="E18" s="195"/>
      <c r="F18" s="195"/>
      <c r="G18" s="195"/>
      <c r="H18" s="195"/>
      <c r="I18" s="195"/>
      <c r="J18" s="195"/>
      <c r="K18" s="195"/>
      <c r="L18" s="195"/>
      <c r="M18" s="195"/>
    </row>
    <row r="19" spans="1:13" x14ac:dyDescent="0.35">
      <c r="A19" s="195"/>
      <c r="B19" s="195"/>
      <c r="C19" s="195"/>
      <c r="D19" s="195"/>
      <c r="E19" s="195"/>
      <c r="F19" s="195"/>
      <c r="G19" s="195"/>
      <c r="H19" s="195"/>
      <c r="I19" s="195"/>
      <c r="J19" s="195"/>
      <c r="K19" s="195"/>
      <c r="L19" s="195"/>
      <c r="M19" s="195"/>
    </row>
    <row r="20" spans="1:13" x14ac:dyDescent="0.35">
      <c r="A20" s="195"/>
      <c r="B20" s="471" t="s">
        <v>521</v>
      </c>
      <c r="C20" s="471"/>
      <c r="D20" s="471"/>
      <c r="E20" s="471"/>
      <c r="F20" s="471"/>
      <c r="G20" s="471"/>
      <c r="H20" s="195"/>
      <c r="I20" s="195"/>
      <c r="J20" s="195"/>
      <c r="K20" s="195"/>
      <c r="L20" s="195"/>
      <c r="M20" s="195"/>
    </row>
    <row r="21" spans="1:13" x14ac:dyDescent="0.35">
      <c r="A21" s="195"/>
      <c r="B21" s="471"/>
      <c r="C21" s="471"/>
      <c r="D21" s="471"/>
      <c r="E21" s="471"/>
      <c r="F21" s="471"/>
      <c r="G21" s="471"/>
      <c r="H21" s="195"/>
      <c r="I21" s="195"/>
      <c r="J21" s="195"/>
      <c r="K21" s="195"/>
      <c r="L21" s="195"/>
      <c r="M21" s="195"/>
    </row>
    <row r="22" spans="1:13" x14ac:dyDescent="0.35">
      <c r="A22" s="195"/>
      <c r="B22" s="195"/>
      <c r="C22" s="195"/>
      <c r="D22" s="195"/>
      <c r="E22" s="195"/>
      <c r="F22" s="195"/>
      <c r="G22" s="195"/>
      <c r="H22" s="195"/>
      <c r="I22" s="195"/>
      <c r="J22" s="195"/>
      <c r="K22" s="195"/>
      <c r="L22" s="195"/>
      <c r="M22" s="195"/>
    </row>
    <row r="23" spans="1:13" x14ac:dyDescent="0.35">
      <c r="A23" s="195"/>
      <c r="B23" s="195"/>
      <c r="C23" s="195"/>
      <c r="D23" s="195"/>
      <c r="E23" s="195"/>
      <c r="F23" s="195"/>
      <c r="G23" s="195"/>
      <c r="H23" s="195"/>
      <c r="I23" s="195"/>
      <c r="J23" s="195"/>
      <c r="K23" s="195"/>
      <c r="L23" s="195"/>
      <c r="M23" s="195"/>
    </row>
    <row r="24" spans="1:13" x14ac:dyDescent="0.35">
      <c r="A24" s="195"/>
      <c r="B24" s="195"/>
      <c r="C24" s="195"/>
      <c r="D24" s="195"/>
      <c r="E24" s="195"/>
      <c r="F24" s="195"/>
      <c r="G24" s="195"/>
      <c r="H24" s="195"/>
      <c r="I24" s="195"/>
      <c r="J24" s="195"/>
      <c r="K24" s="195"/>
      <c r="L24" s="195"/>
      <c r="M24" s="195"/>
    </row>
    <row r="25" spans="1:13" x14ac:dyDescent="0.35">
      <c r="A25" s="195"/>
      <c r="B25" s="195"/>
      <c r="C25" s="195"/>
      <c r="D25" s="195"/>
      <c r="E25" s="195"/>
      <c r="F25" s="195"/>
      <c r="G25" s="195"/>
      <c r="H25" s="195"/>
      <c r="I25" s="195"/>
      <c r="J25" s="195"/>
      <c r="K25" s="195"/>
      <c r="L25" s="195"/>
      <c r="M25" s="195"/>
    </row>
    <row r="26" spans="1:13" x14ac:dyDescent="0.35">
      <c r="A26" s="195"/>
      <c r="B26" s="457" t="s">
        <v>167</v>
      </c>
      <c r="C26" s="457"/>
      <c r="D26" s="457"/>
      <c r="E26" s="457"/>
      <c r="F26" s="195"/>
      <c r="G26" s="195"/>
      <c r="H26" s="195"/>
      <c r="I26" s="195"/>
      <c r="J26" s="195"/>
      <c r="K26" s="195"/>
      <c r="L26" s="195"/>
      <c r="M26" s="195"/>
    </row>
    <row r="27" spans="1:13" x14ac:dyDescent="0.35">
      <c r="A27" s="195"/>
      <c r="B27" s="48" t="s">
        <v>7</v>
      </c>
      <c r="C27" s="433" t="s">
        <v>92</v>
      </c>
      <c r="D27" s="433"/>
      <c r="E27" s="433"/>
      <c r="F27" s="195"/>
      <c r="G27" s="195"/>
      <c r="H27" s="195"/>
      <c r="I27" s="195"/>
      <c r="J27" s="195"/>
      <c r="K27" s="195"/>
      <c r="L27" s="195"/>
      <c r="M27" s="195"/>
    </row>
    <row r="28" spans="1:13" x14ac:dyDescent="0.35">
      <c r="A28" s="195"/>
      <c r="B28" s="48" t="s">
        <v>305</v>
      </c>
      <c r="C28" s="456" t="s">
        <v>483</v>
      </c>
      <c r="D28" s="456"/>
      <c r="E28" s="456"/>
      <c r="F28" s="195"/>
      <c r="G28" s="195"/>
      <c r="H28" s="195"/>
      <c r="I28" s="195"/>
      <c r="J28" s="195"/>
      <c r="K28" s="195"/>
      <c r="L28" s="195"/>
      <c r="M28" s="195"/>
    </row>
    <row r="29" spans="1:13" x14ac:dyDescent="0.35">
      <c r="A29" s="195"/>
      <c r="B29" s="48" t="s">
        <v>307</v>
      </c>
      <c r="C29" s="433" t="s">
        <v>308</v>
      </c>
      <c r="D29" s="433"/>
      <c r="E29" s="433"/>
      <c r="F29" s="195"/>
      <c r="G29" s="195"/>
      <c r="H29" s="195"/>
      <c r="I29" s="195"/>
      <c r="J29" s="195"/>
      <c r="K29" s="195"/>
      <c r="L29" s="195"/>
      <c r="M29" s="195"/>
    </row>
    <row r="30" spans="1:13" x14ac:dyDescent="0.35">
      <c r="A30" s="195"/>
      <c r="B30" s="198" t="s">
        <v>309</v>
      </c>
      <c r="C30" s="438" t="s">
        <v>484</v>
      </c>
      <c r="D30" s="438"/>
      <c r="E30" s="438"/>
      <c r="F30" s="195"/>
      <c r="G30" s="195"/>
      <c r="H30" s="195"/>
      <c r="I30" s="195"/>
      <c r="J30" s="195"/>
      <c r="K30" s="195"/>
      <c r="L30" s="195"/>
      <c r="M30" s="195"/>
    </row>
    <row r="31" spans="1:13" x14ac:dyDescent="0.35">
      <c r="A31" s="195"/>
      <c r="B31" s="195"/>
      <c r="C31" s="195"/>
      <c r="D31" s="195"/>
      <c r="E31" s="195"/>
      <c r="F31" s="195"/>
      <c r="G31" s="195"/>
      <c r="H31" s="195"/>
      <c r="I31" s="195"/>
      <c r="J31" s="195"/>
      <c r="K31" s="195"/>
      <c r="L31" s="195"/>
      <c r="M31" s="195"/>
    </row>
    <row r="32" spans="1:13" x14ac:dyDescent="0.35">
      <c r="A32" s="195"/>
      <c r="B32" s="195"/>
      <c r="C32" s="195"/>
      <c r="D32" s="195"/>
      <c r="E32" s="195"/>
      <c r="F32" s="195"/>
      <c r="G32" s="195"/>
      <c r="H32" s="195"/>
      <c r="I32" s="195"/>
      <c r="J32" s="195"/>
      <c r="K32" s="195"/>
      <c r="L32" s="195"/>
      <c r="M32" s="195"/>
    </row>
    <row r="33" spans="1:13" x14ac:dyDescent="0.35">
      <c r="A33" s="195"/>
      <c r="B33" s="195"/>
      <c r="C33" s="195"/>
      <c r="D33" s="195"/>
      <c r="E33" s="195"/>
      <c r="F33" s="195"/>
      <c r="G33" s="195"/>
      <c r="H33" s="195"/>
      <c r="I33" s="195"/>
      <c r="J33" s="195"/>
      <c r="K33" s="195"/>
      <c r="L33" s="195"/>
      <c r="M33" s="195"/>
    </row>
    <row r="34" spans="1:13" x14ac:dyDescent="0.35">
      <c r="A34" s="195"/>
      <c r="B34" s="195"/>
      <c r="C34" s="195"/>
      <c r="D34" s="195"/>
      <c r="E34" s="195"/>
      <c r="F34" s="195"/>
      <c r="G34" s="195"/>
      <c r="H34" s="195"/>
      <c r="I34" s="195"/>
      <c r="J34" s="195"/>
      <c r="K34" s="195"/>
      <c r="L34" s="195"/>
      <c r="M34" s="195"/>
    </row>
    <row r="35" spans="1:13" ht="15" thickBot="1" x14ac:dyDescent="0.4">
      <c r="A35" s="420" t="s">
        <v>66</v>
      </c>
      <c r="B35" s="420"/>
      <c r="C35" s="195"/>
      <c r="D35" s="195"/>
      <c r="E35" s="407" t="s">
        <v>67</v>
      </c>
      <c r="F35" s="407"/>
      <c r="G35" s="49"/>
      <c r="H35" s="49"/>
      <c r="I35" s="408"/>
      <c r="J35" s="408"/>
      <c r="K35" s="193"/>
      <c r="L35" s="194"/>
      <c r="M35" s="194"/>
    </row>
    <row r="36" spans="1:13" ht="15" thickTop="1" x14ac:dyDescent="0.35">
      <c r="A36" s="421" t="s">
        <v>69</v>
      </c>
      <c r="B36" s="421"/>
      <c r="D36" s="30"/>
      <c r="E36" s="410" t="s">
        <v>70</v>
      </c>
      <c r="F36" s="410"/>
      <c r="G36" s="410" t="s">
        <v>71</v>
      </c>
      <c r="H36" s="410"/>
      <c r="I36" s="194"/>
      <c r="J36" s="194"/>
      <c r="K36" s="194" t="s">
        <v>72</v>
      </c>
      <c r="L36" s="192"/>
      <c r="M36" s="192"/>
    </row>
    <row r="37" spans="1:13" x14ac:dyDescent="0.35">
      <c r="A37" s="414" t="s">
        <v>92</v>
      </c>
      <c r="B37" s="414"/>
      <c r="D37" s="196"/>
      <c r="E37" s="414" t="s">
        <v>73</v>
      </c>
      <c r="F37" s="414"/>
      <c r="G37" s="414" t="s">
        <v>74</v>
      </c>
      <c r="H37" s="414"/>
      <c r="I37" s="192"/>
      <c r="J37" s="192"/>
      <c r="K37" s="192" t="s">
        <v>75</v>
      </c>
      <c r="L37" s="191"/>
      <c r="M37" s="191"/>
    </row>
    <row r="38" spans="1:13" x14ac:dyDescent="0.35">
      <c r="A38" s="412" t="s">
        <v>94</v>
      </c>
      <c r="B38" s="412"/>
      <c r="D38" s="197"/>
      <c r="E38" s="414" t="s">
        <v>78</v>
      </c>
      <c r="F38" s="414"/>
      <c r="G38" s="414" t="s">
        <v>414</v>
      </c>
      <c r="H38" s="414"/>
      <c r="I38" s="191"/>
      <c r="J38" s="191"/>
      <c r="K38" s="191" t="s">
        <v>80</v>
      </c>
      <c r="L38" s="197"/>
      <c r="M38" s="197"/>
    </row>
    <row r="39" spans="1:13" x14ac:dyDescent="0.35">
      <c r="A39" s="412" t="s">
        <v>76</v>
      </c>
      <c r="B39" s="412"/>
      <c r="D39" s="197"/>
      <c r="E39" s="412" t="s">
        <v>76</v>
      </c>
      <c r="F39" s="412"/>
      <c r="G39" s="412" t="s">
        <v>76</v>
      </c>
      <c r="H39" s="412"/>
      <c r="I39" s="191"/>
      <c r="J39" s="191"/>
      <c r="K39" s="191"/>
    </row>
    <row r="44" spans="1:13" ht="15" thickBot="1" x14ac:dyDescent="0.4"/>
    <row r="45" spans="1:13" ht="15" thickTop="1" x14ac:dyDescent="0.35">
      <c r="A45" s="417" t="s">
        <v>114</v>
      </c>
      <c r="B45" s="417"/>
      <c r="C45" s="429" t="s">
        <v>282</v>
      </c>
      <c r="D45" s="429"/>
      <c r="E45" s="429"/>
    </row>
    <row r="46" spans="1:13" x14ac:dyDescent="0.35">
      <c r="A46" s="418" t="s">
        <v>115</v>
      </c>
      <c r="B46" s="418"/>
      <c r="C46" s="430" t="s">
        <v>7</v>
      </c>
      <c r="D46" s="430"/>
      <c r="E46" s="430"/>
    </row>
    <row r="47" spans="1:13" x14ac:dyDescent="0.35">
      <c r="A47" s="422" t="s">
        <v>116</v>
      </c>
      <c r="B47" s="418"/>
      <c r="C47" s="431" t="s">
        <v>77</v>
      </c>
      <c r="D47" s="431"/>
      <c r="E47" s="431"/>
    </row>
    <row r="48" spans="1:13" x14ac:dyDescent="0.35">
      <c r="A48" s="416" t="s">
        <v>117</v>
      </c>
      <c r="B48" s="416"/>
      <c r="C48" s="412" t="s">
        <v>81</v>
      </c>
      <c r="D48" s="412"/>
      <c r="E48" s="412"/>
    </row>
  </sheetData>
  <mergeCells count="48">
    <mergeCell ref="A47:B47"/>
    <mergeCell ref="C47:E47"/>
    <mergeCell ref="A48:B48"/>
    <mergeCell ref="C48:E48"/>
    <mergeCell ref="B20:G21"/>
    <mergeCell ref="B26:E26"/>
    <mergeCell ref="C27:E27"/>
    <mergeCell ref="C28:E28"/>
    <mergeCell ref="C29:E29"/>
    <mergeCell ref="C30:E30"/>
    <mergeCell ref="A39:B39"/>
    <mergeCell ref="E39:F39"/>
    <mergeCell ref="G39:H39"/>
    <mergeCell ref="A45:B45"/>
    <mergeCell ref="C45:E45"/>
    <mergeCell ref="A46:B46"/>
    <mergeCell ref="C46:E46"/>
    <mergeCell ref="A37:B37"/>
    <mergeCell ref="E37:F37"/>
    <mergeCell ref="G37:H37"/>
    <mergeCell ref="A38:B38"/>
    <mergeCell ref="E38:F38"/>
    <mergeCell ref="G38:H38"/>
    <mergeCell ref="A35:B35"/>
    <mergeCell ref="E35:F35"/>
    <mergeCell ref="I35:J35"/>
    <mergeCell ref="A36:B36"/>
    <mergeCell ref="E36:F36"/>
    <mergeCell ref="G36:H36"/>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64" orientation="landscape"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3337-DDE7-4ECE-AE6C-704F1C37482A}">
  <sheetPr>
    <pageSetUpPr fitToPage="1"/>
  </sheetPr>
  <dimension ref="A1:M46"/>
  <sheetViews>
    <sheetView topLeftCell="A8" workbookViewId="0">
      <selection activeCell="B12" sqref="B12:G12"/>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2.36328125" bestFit="1"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5" customHeight="1" x14ac:dyDescent="0.35">
      <c r="A1" s="402" t="s">
        <v>520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500</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46042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508</v>
      </c>
      <c r="J11" s="3" t="s">
        <v>18</v>
      </c>
      <c r="K11" s="3" t="s">
        <v>19</v>
      </c>
      <c r="L11" s="3" t="s">
        <v>20</v>
      </c>
      <c r="M11" s="4" t="s">
        <v>21</v>
      </c>
    </row>
    <row r="12" spans="1:13" x14ac:dyDescent="0.35">
      <c r="A12" s="5">
        <v>1</v>
      </c>
      <c r="B12" s="71" t="s">
        <v>522</v>
      </c>
      <c r="C12" s="72" t="s">
        <v>23</v>
      </c>
      <c r="D12" s="73" t="s">
        <v>523</v>
      </c>
      <c r="E12" s="44" t="s">
        <v>24</v>
      </c>
      <c r="F12" s="44" t="s">
        <v>130</v>
      </c>
      <c r="G12" s="73" t="s">
        <v>524</v>
      </c>
      <c r="H12" s="80">
        <v>6000</v>
      </c>
      <c r="I12" s="10" t="s">
        <v>97</v>
      </c>
      <c r="J12" s="10" t="s">
        <v>97</v>
      </c>
      <c r="K12" s="11" t="s">
        <v>97</v>
      </c>
      <c r="L12" s="80" t="s">
        <v>97</v>
      </c>
      <c r="M12" s="17" t="s">
        <v>97</v>
      </c>
    </row>
    <row r="13" spans="1:13" x14ac:dyDescent="0.35">
      <c r="A13" s="415" t="s">
        <v>8</v>
      </c>
      <c r="B13" s="415"/>
      <c r="C13" s="415"/>
      <c r="D13" s="415"/>
      <c r="E13" s="415"/>
      <c r="F13" s="415"/>
      <c r="G13" s="415"/>
      <c r="H13" s="81">
        <f>SUM(H12:H12)</f>
        <v>6000</v>
      </c>
      <c r="I13" s="24"/>
      <c r="J13" s="25"/>
      <c r="K13" s="43"/>
      <c r="L13" s="203"/>
      <c r="M13" s="203"/>
    </row>
    <row r="14" spans="1:13" x14ac:dyDescent="0.35">
      <c r="A14" s="203"/>
      <c r="B14" s="203"/>
      <c r="C14" s="203"/>
      <c r="D14" s="203"/>
      <c r="E14" s="203"/>
      <c r="F14" s="203"/>
      <c r="G14" s="203"/>
      <c r="H14" s="203"/>
      <c r="I14" s="203"/>
      <c r="J14" s="203"/>
      <c r="K14" s="203"/>
      <c r="L14" s="203"/>
      <c r="M14" s="203"/>
    </row>
    <row r="15" spans="1:13" x14ac:dyDescent="0.35">
      <c r="A15" s="203"/>
      <c r="B15" s="203" t="s">
        <v>380</v>
      </c>
      <c r="C15" s="203"/>
      <c r="D15" s="203"/>
      <c r="E15" s="203"/>
      <c r="F15" s="203"/>
      <c r="G15" s="203"/>
      <c r="H15" s="203"/>
      <c r="I15" s="203"/>
      <c r="J15" s="203"/>
      <c r="K15" s="203"/>
      <c r="L15" s="203"/>
      <c r="M15" s="203"/>
    </row>
    <row r="16" spans="1:13" x14ac:dyDescent="0.35">
      <c r="A16" s="203"/>
      <c r="B16" s="203"/>
      <c r="C16" s="203"/>
      <c r="D16" s="203"/>
      <c r="E16" s="203"/>
      <c r="F16" s="203"/>
      <c r="G16" s="203"/>
      <c r="H16" s="203"/>
      <c r="I16" s="203"/>
      <c r="J16" s="203"/>
      <c r="K16" s="203"/>
      <c r="L16" s="203"/>
      <c r="M16" s="203"/>
    </row>
    <row r="17" spans="1:13" x14ac:dyDescent="0.35">
      <c r="A17" s="203"/>
      <c r="B17" s="203"/>
      <c r="C17" s="203"/>
      <c r="D17" s="203"/>
      <c r="E17" s="203"/>
      <c r="F17" s="203"/>
      <c r="G17" s="203"/>
      <c r="H17" s="203"/>
      <c r="I17" s="203"/>
      <c r="J17" s="203"/>
      <c r="K17" s="203"/>
      <c r="L17" s="203"/>
      <c r="M17" s="203"/>
    </row>
    <row r="18" spans="1:13" x14ac:dyDescent="0.35">
      <c r="A18" s="203"/>
      <c r="B18" s="203"/>
      <c r="C18" s="203"/>
      <c r="D18" s="203"/>
      <c r="E18" s="203"/>
      <c r="F18" s="203"/>
      <c r="G18" s="203"/>
      <c r="H18" s="203"/>
      <c r="I18" s="203"/>
      <c r="J18" s="203"/>
      <c r="K18" s="203"/>
      <c r="L18" s="203"/>
      <c r="M18" s="203"/>
    </row>
    <row r="19" spans="1:13" x14ac:dyDescent="0.35">
      <c r="A19" s="203"/>
      <c r="B19" s="203"/>
      <c r="C19" s="203"/>
      <c r="D19" s="203"/>
      <c r="E19" s="203"/>
      <c r="F19" s="203"/>
      <c r="G19" s="203"/>
      <c r="H19" s="203"/>
      <c r="I19" s="203"/>
      <c r="J19" s="203"/>
      <c r="K19" s="203"/>
      <c r="L19" s="203"/>
      <c r="M19" s="203"/>
    </row>
    <row r="20" spans="1:13" x14ac:dyDescent="0.35">
      <c r="A20" s="203"/>
      <c r="B20" s="472"/>
      <c r="C20" s="472"/>
      <c r="D20" s="472"/>
      <c r="E20" s="472"/>
      <c r="F20" s="472"/>
      <c r="G20" s="472"/>
      <c r="H20" s="203"/>
      <c r="I20" s="203"/>
      <c r="J20" s="203"/>
      <c r="K20" s="203"/>
      <c r="L20" s="203"/>
      <c r="M20" s="203"/>
    </row>
    <row r="21" spans="1:13" x14ac:dyDescent="0.35">
      <c r="A21" s="203"/>
      <c r="B21" s="472"/>
      <c r="C21" s="472"/>
      <c r="D21" s="472"/>
      <c r="E21" s="472"/>
      <c r="F21" s="472"/>
      <c r="G21" s="472"/>
      <c r="H21" s="203"/>
      <c r="I21" s="203"/>
      <c r="J21" s="203"/>
      <c r="K21" s="203"/>
      <c r="L21" s="203"/>
      <c r="M21" s="203"/>
    </row>
    <row r="22" spans="1:13" x14ac:dyDescent="0.35">
      <c r="A22" s="203"/>
      <c r="B22" s="203"/>
      <c r="C22" s="203"/>
      <c r="D22" s="203"/>
      <c r="E22" s="203"/>
      <c r="F22" s="203"/>
      <c r="G22" s="203"/>
      <c r="H22" s="203"/>
      <c r="I22" s="203"/>
      <c r="J22" s="203"/>
      <c r="K22" s="203"/>
      <c r="L22" s="203"/>
      <c r="M22" s="203"/>
    </row>
    <row r="23" spans="1:13" x14ac:dyDescent="0.35">
      <c r="A23" s="203"/>
      <c r="B23" s="203"/>
      <c r="C23" s="203"/>
      <c r="D23" s="203"/>
      <c r="E23" s="203"/>
      <c r="F23" s="203"/>
      <c r="G23" s="203"/>
      <c r="H23" s="203"/>
      <c r="I23" s="203"/>
      <c r="J23" s="203"/>
      <c r="K23" s="203"/>
      <c r="L23" s="203"/>
      <c r="M23" s="203"/>
    </row>
    <row r="24" spans="1:13" x14ac:dyDescent="0.35">
      <c r="A24" s="203"/>
      <c r="B24" s="203"/>
      <c r="C24" s="203"/>
      <c r="D24" s="203"/>
      <c r="E24" s="203"/>
      <c r="F24" s="203"/>
      <c r="G24" s="203"/>
      <c r="H24" s="203"/>
      <c r="I24" s="203"/>
      <c r="J24" s="203"/>
      <c r="K24" s="203"/>
      <c r="L24" s="203"/>
      <c r="M24" s="203"/>
    </row>
    <row r="25" spans="1:13" ht="15" thickBot="1" x14ac:dyDescent="0.4">
      <c r="A25" s="203"/>
      <c r="B25" s="203"/>
      <c r="C25" s="203"/>
      <c r="D25" s="203"/>
      <c r="E25" s="203"/>
      <c r="F25" s="203"/>
      <c r="G25" s="203"/>
      <c r="H25" s="203"/>
      <c r="I25" s="203"/>
      <c r="J25" s="203"/>
      <c r="K25" s="203"/>
      <c r="L25" s="203"/>
      <c r="M25" s="203"/>
    </row>
    <row r="26" spans="1:13" ht="15.5" thickTop="1" thickBot="1" x14ac:dyDescent="0.4">
      <c r="A26" s="203"/>
      <c r="B26" s="447" t="s">
        <v>290</v>
      </c>
      <c r="C26" s="448"/>
      <c r="D26" s="448"/>
      <c r="E26" s="448"/>
      <c r="F26" s="203"/>
      <c r="G26" s="203"/>
      <c r="H26" s="203"/>
      <c r="I26" s="203"/>
      <c r="J26" s="203"/>
      <c r="K26" s="203"/>
      <c r="L26" s="203"/>
      <c r="M26" s="203"/>
    </row>
    <row r="27" spans="1:13" ht="15.5" thickTop="1" thickBot="1" x14ac:dyDescent="0.4">
      <c r="A27" s="203"/>
      <c r="B27" s="448"/>
      <c r="C27" s="448"/>
      <c r="D27" s="448"/>
      <c r="E27" s="448"/>
      <c r="F27" s="203"/>
      <c r="G27" s="203"/>
      <c r="H27" s="203"/>
      <c r="I27" s="203"/>
      <c r="J27" s="203"/>
      <c r="K27" s="203"/>
      <c r="L27" s="203"/>
      <c r="M27" s="203"/>
    </row>
    <row r="28" spans="1:13" ht="23" customHeight="1" thickTop="1" thickBot="1" x14ac:dyDescent="0.4">
      <c r="A28" s="203"/>
      <c r="B28" s="448"/>
      <c r="C28" s="448"/>
      <c r="D28" s="448"/>
      <c r="E28" s="448"/>
      <c r="F28" s="203"/>
      <c r="G28" s="203"/>
      <c r="H28" s="203"/>
      <c r="I28" s="203"/>
      <c r="J28" s="203"/>
      <c r="K28" s="203"/>
      <c r="L28" s="203"/>
      <c r="M28" s="203"/>
    </row>
    <row r="29" spans="1:13" ht="15" thickTop="1" x14ac:dyDescent="0.35">
      <c r="A29" s="203"/>
      <c r="B29" s="203"/>
      <c r="C29" s="203"/>
      <c r="D29" s="203"/>
      <c r="E29" s="203"/>
      <c r="F29" s="203"/>
      <c r="G29" s="203"/>
      <c r="H29" s="203"/>
      <c r="I29" s="203"/>
      <c r="J29" s="203"/>
      <c r="K29" s="203"/>
      <c r="L29" s="203"/>
      <c r="M29" s="203"/>
    </row>
    <row r="30" spans="1:13" x14ac:dyDescent="0.35">
      <c r="A30" s="203"/>
      <c r="B30" s="203"/>
      <c r="C30" s="203"/>
      <c r="D30" s="203"/>
      <c r="E30" s="203"/>
      <c r="F30" s="203"/>
      <c r="G30" s="203"/>
      <c r="H30" s="203"/>
      <c r="I30" s="203"/>
      <c r="J30" s="203"/>
      <c r="K30" s="203"/>
      <c r="L30" s="203"/>
      <c r="M30" s="203"/>
    </row>
    <row r="31" spans="1:13" x14ac:dyDescent="0.35">
      <c r="A31" s="203"/>
      <c r="B31" s="203"/>
      <c r="C31" s="203"/>
      <c r="D31" s="203"/>
      <c r="E31" s="203"/>
      <c r="F31" s="203"/>
      <c r="G31" s="203"/>
      <c r="H31" s="203"/>
      <c r="I31" s="203"/>
      <c r="J31" s="203"/>
      <c r="K31" s="203"/>
      <c r="L31" s="203"/>
      <c r="M31" s="203"/>
    </row>
    <row r="32" spans="1:13" x14ac:dyDescent="0.35">
      <c r="A32" s="203"/>
      <c r="B32" s="203"/>
      <c r="C32" s="203"/>
      <c r="D32" s="203"/>
      <c r="E32" s="203"/>
      <c r="F32" s="203"/>
      <c r="G32" s="203"/>
      <c r="H32" s="203"/>
      <c r="I32" s="203"/>
      <c r="J32" s="203"/>
      <c r="K32" s="203"/>
      <c r="L32" s="203"/>
      <c r="M32" s="203"/>
    </row>
    <row r="33" spans="1:13" ht="15" thickBot="1" x14ac:dyDescent="0.4">
      <c r="A33" s="420" t="s">
        <v>66</v>
      </c>
      <c r="B33" s="420"/>
      <c r="C33" s="203"/>
      <c r="D33" s="203"/>
      <c r="E33" s="407" t="s">
        <v>67</v>
      </c>
      <c r="F33" s="407"/>
      <c r="G33" s="49"/>
      <c r="H33" s="49"/>
      <c r="I33" s="408"/>
      <c r="J33" s="408"/>
      <c r="K33" s="199"/>
      <c r="L33" s="200"/>
      <c r="M33" s="200"/>
    </row>
    <row r="34" spans="1:13" ht="15" thickTop="1" x14ac:dyDescent="0.35">
      <c r="A34" s="421" t="s">
        <v>69</v>
      </c>
      <c r="B34" s="421"/>
      <c r="D34" s="30"/>
      <c r="E34" s="410" t="s">
        <v>70</v>
      </c>
      <c r="F34" s="410"/>
      <c r="G34" s="410" t="s">
        <v>71</v>
      </c>
      <c r="H34" s="410"/>
      <c r="I34" s="200"/>
      <c r="J34" s="200"/>
      <c r="K34" s="200" t="s">
        <v>72</v>
      </c>
      <c r="L34" s="202"/>
      <c r="M34" s="202"/>
    </row>
    <row r="35" spans="1:13" x14ac:dyDescent="0.35">
      <c r="A35" s="414" t="s">
        <v>92</v>
      </c>
      <c r="B35" s="414"/>
      <c r="D35" s="204"/>
      <c r="E35" s="414" t="s">
        <v>73</v>
      </c>
      <c r="F35" s="414"/>
      <c r="G35" s="414" t="s">
        <v>74</v>
      </c>
      <c r="H35" s="414"/>
      <c r="I35" s="202"/>
      <c r="J35" s="202"/>
      <c r="K35" s="202" t="s">
        <v>75</v>
      </c>
      <c r="L35" s="201"/>
      <c r="M35" s="201"/>
    </row>
    <row r="36" spans="1:13" x14ac:dyDescent="0.35">
      <c r="A36" s="412" t="s">
        <v>94</v>
      </c>
      <c r="B36" s="412"/>
      <c r="D36" s="205"/>
      <c r="E36" s="414" t="s">
        <v>78</v>
      </c>
      <c r="F36" s="414"/>
      <c r="G36" s="414" t="s">
        <v>414</v>
      </c>
      <c r="H36" s="414"/>
      <c r="I36" s="201"/>
      <c r="J36" s="201"/>
      <c r="K36" s="201" t="s">
        <v>80</v>
      </c>
      <c r="L36" s="205"/>
      <c r="M36" s="205"/>
    </row>
    <row r="37" spans="1:13" x14ac:dyDescent="0.35">
      <c r="A37" s="412" t="s">
        <v>76</v>
      </c>
      <c r="B37" s="412"/>
      <c r="D37" s="205"/>
      <c r="E37" s="412" t="s">
        <v>76</v>
      </c>
      <c r="F37" s="412"/>
      <c r="G37" s="412" t="s">
        <v>76</v>
      </c>
      <c r="H37" s="412"/>
      <c r="I37" s="201"/>
      <c r="J37" s="201"/>
      <c r="K37" s="201"/>
    </row>
    <row r="42" spans="1:13" ht="15" thickBot="1" x14ac:dyDescent="0.4"/>
    <row r="43" spans="1:13" ht="15" thickTop="1" x14ac:dyDescent="0.35">
      <c r="A43" s="417" t="s">
        <v>114</v>
      </c>
      <c r="B43" s="417"/>
      <c r="C43" s="429" t="s">
        <v>282</v>
      </c>
      <c r="D43" s="429"/>
      <c r="E43" s="429"/>
    </row>
    <row r="44" spans="1:13" x14ac:dyDescent="0.35">
      <c r="A44" s="418" t="s">
        <v>115</v>
      </c>
      <c r="B44" s="418"/>
      <c r="C44" s="430" t="s">
        <v>7</v>
      </c>
      <c r="D44" s="430"/>
      <c r="E44" s="430"/>
    </row>
    <row r="45" spans="1:13" x14ac:dyDescent="0.35">
      <c r="A45" s="422" t="s">
        <v>116</v>
      </c>
      <c r="B45" s="418"/>
      <c r="C45" s="431" t="s">
        <v>77</v>
      </c>
      <c r="D45" s="431"/>
      <c r="E45" s="431"/>
    </row>
    <row r="46" spans="1:13" x14ac:dyDescent="0.35">
      <c r="A46" s="416" t="s">
        <v>117</v>
      </c>
      <c r="B46" s="416"/>
      <c r="C46" s="412" t="s">
        <v>81</v>
      </c>
      <c r="D46" s="412"/>
      <c r="E46" s="412"/>
    </row>
  </sheetData>
  <mergeCells count="44">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I33:J33"/>
    <mergeCell ref="A34:B34"/>
    <mergeCell ref="E34:F34"/>
    <mergeCell ref="G34:H34"/>
    <mergeCell ref="B20:G21"/>
    <mergeCell ref="G35:H35"/>
    <mergeCell ref="A36:B36"/>
    <mergeCell ref="E36:F36"/>
    <mergeCell ref="G36:H36"/>
    <mergeCell ref="A33:B33"/>
    <mergeCell ref="E33:F33"/>
    <mergeCell ref="G37:H37"/>
    <mergeCell ref="A43:B43"/>
    <mergeCell ref="C43:E43"/>
    <mergeCell ref="A44:B44"/>
    <mergeCell ref="C44:E44"/>
    <mergeCell ref="A45:B45"/>
    <mergeCell ref="C45:E45"/>
    <mergeCell ref="A46:B46"/>
    <mergeCell ref="C46:E46"/>
    <mergeCell ref="B26:E28"/>
    <mergeCell ref="A37:B37"/>
    <mergeCell ref="E37:F37"/>
    <mergeCell ref="A35:B35"/>
    <mergeCell ref="E35:F35"/>
  </mergeCells>
  <printOptions horizontalCentered="1" verticalCentered="1"/>
  <pageMargins left="0.25" right="0.25" top="0.75" bottom="0.75" header="0.3" footer="0.3"/>
  <pageSetup paperSize="9" scale="65" orientation="landscape"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6794-C053-4FDF-9973-6746C8021921}">
  <sheetPr>
    <pageSetUpPr fitToPage="1"/>
  </sheetPr>
  <dimension ref="A1:M56"/>
  <sheetViews>
    <sheetView topLeftCell="A17" zoomScaleNormal="100" workbookViewId="0">
      <selection activeCell="B34" sqref="B3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5"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525</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46047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H36</f>
        <v>556000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526</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76250</v>
      </c>
      <c r="J12" s="82">
        <v>81500</v>
      </c>
      <c r="K12" s="11">
        <v>46036</v>
      </c>
      <c r="L12" s="79">
        <v>60000</v>
      </c>
      <c r="M12" s="84" t="s">
        <v>176</v>
      </c>
    </row>
    <row r="13" spans="1:13" x14ac:dyDescent="0.35">
      <c r="A13" s="5">
        <v>2</v>
      </c>
      <c r="B13" s="71" t="s">
        <v>227</v>
      </c>
      <c r="C13" s="72" t="s">
        <v>49</v>
      </c>
      <c r="D13" s="73" t="s">
        <v>54</v>
      </c>
      <c r="E13" s="44" t="s">
        <v>24</v>
      </c>
      <c r="F13" s="44" t="s">
        <v>25</v>
      </c>
      <c r="G13" s="73" t="s">
        <v>55</v>
      </c>
      <c r="H13" s="80">
        <v>5000</v>
      </c>
      <c r="I13" s="10">
        <v>42527</v>
      </c>
      <c r="J13" s="10">
        <v>45527</v>
      </c>
      <c r="K13" s="11">
        <v>46033</v>
      </c>
      <c r="L13" s="80">
        <v>15000</v>
      </c>
      <c r="M13" s="17" t="s">
        <v>204</v>
      </c>
    </row>
    <row r="14" spans="1:13" x14ac:dyDescent="0.35">
      <c r="A14" s="5">
        <v>3</v>
      </c>
      <c r="B14" s="16" t="s">
        <v>228</v>
      </c>
      <c r="C14" s="7" t="s">
        <v>49</v>
      </c>
      <c r="D14" s="8" t="s">
        <v>57</v>
      </c>
      <c r="E14" s="5" t="s">
        <v>24</v>
      </c>
      <c r="F14" s="5" t="s">
        <v>25</v>
      </c>
      <c r="G14" s="73" t="s">
        <v>359</v>
      </c>
      <c r="H14" s="80">
        <v>5000</v>
      </c>
      <c r="I14" s="10">
        <v>45302</v>
      </c>
      <c r="J14" s="10">
        <v>49702</v>
      </c>
      <c r="K14" s="11">
        <v>46039</v>
      </c>
      <c r="L14" s="80">
        <v>20000</v>
      </c>
      <c r="M14" s="17" t="s">
        <v>204</v>
      </c>
    </row>
    <row r="15" spans="1:13" x14ac:dyDescent="0.35">
      <c r="A15" s="5">
        <v>4</v>
      </c>
      <c r="B15" s="16" t="s">
        <v>231</v>
      </c>
      <c r="C15" s="7" t="s">
        <v>49</v>
      </c>
      <c r="D15" s="8" t="s">
        <v>60</v>
      </c>
      <c r="E15" s="5" t="s">
        <v>24</v>
      </c>
      <c r="F15" s="5" t="s">
        <v>25</v>
      </c>
      <c r="G15" s="8" t="s">
        <v>61</v>
      </c>
      <c r="H15" s="80">
        <v>5000</v>
      </c>
      <c r="I15" s="10">
        <v>34314</v>
      </c>
      <c r="J15" s="10">
        <v>39814</v>
      </c>
      <c r="K15" s="11">
        <v>46028</v>
      </c>
      <c r="L15" s="80">
        <v>10000</v>
      </c>
      <c r="M15" s="17" t="s">
        <v>132</v>
      </c>
    </row>
    <row r="16" spans="1:13" x14ac:dyDescent="0.35">
      <c r="A16" s="5">
        <v>5</v>
      </c>
      <c r="B16" s="71" t="s">
        <v>229</v>
      </c>
      <c r="C16" s="72" t="s">
        <v>49</v>
      </c>
      <c r="D16" s="44" t="s">
        <v>47</v>
      </c>
      <c r="E16" s="44" t="s">
        <v>24</v>
      </c>
      <c r="F16" s="44" t="s">
        <v>25</v>
      </c>
      <c r="G16" s="44" t="s">
        <v>102</v>
      </c>
      <c r="H16" s="80">
        <v>5000</v>
      </c>
      <c r="I16" s="10">
        <v>50960</v>
      </c>
      <c r="J16" s="10">
        <v>52960</v>
      </c>
      <c r="K16" s="11">
        <v>46028</v>
      </c>
      <c r="L16" s="80">
        <v>10000</v>
      </c>
      <c r="M16" s="17" t="s">
        <v>204</v>
      </c>
    </row>
    <row r="17" spans="1:13" x14ac:dyDescent="0.35">
      <c r="A17" s="5">
        <v>6</v>
      </c>
      <c r="B17" s="16" t="s">
        <v>230</v>
      </c>
      <c r="C17" s="7" t="s">
        <v>49</v>
      </c>
      <c r="D17" s="8" t="s">
        <v>50</v>
      </c>
      <c r="E17" s="5" t="s">
        <v>24</v>
      </c>
      <c r="F17" s="5" t="s">
        <v>25</v>
      </c>
      <c r="G17" s="8" t="s">
        <v>51</v>
      </c>
      <c r="H17" s="80">
        <v>20000</v>
      </c>
      <c r="I17" s="10">
        <v>22727</v>
      </c>
      <c r="J17" s="10">
        <v>26271</v>
      </c>
      <c r="K17" s="11">
        <v>46028</v>
      </c>
      <c r="L17" s="80">
        <v>20000</v>
      </c>
      <c r="M17" s="17" t="s">
        <v>132</v>
      </c>
    </row>
    <row r="18" spans="1:13" x14ac:dyDescent="0.35">
      <c r="A18" s="5">
        <v>7</v>
      </c>
      <c r="B18" s="71" t="s">
        <v>232</v>
      </c>
      <c r="C18" s="72" t="s">
        <v>233</v>
      </c>
      <c r="D18" s="44" t="s">
        <v>234</v>
      </c>
      <c r="E18" s="5" t="s">
        <v>24</v>
      </c>
      <c r="F18" s="5" t="s">
        <v>25</v>
      </c>
      <c r="G18" s="44" t="s">
        <v>235</v>
      </c>
      <c r="H18" s="80">
        <v>50000</v>
      </c>
      <c r="I18" s="10">
        <v>116660</v>
      </c>
      <c r="J18" s="10">
        <v>144160</v>
      </c>
      <c r="K18" s="11">
        <v>46028</v>
      </c>
      <c r="L18" s="80">
        <v>60000</v>
      </c>
      <c r="M18" s="17" t="s">
        <v>236</v>
      </c>
    </row>
    <row r="19" spans="1:13" x14ac:dyDescent="0.35">
      <c r="A19" s="5">
        <v>8</v>
      </c>
      <c r="B19" s="71" t="s">
        <v>30</v>
      </c>
      <c r="C19" s="72" t="s">
        <v>23</v>
      </c>
      <c r="D19" s="44" t="s">
        <v>31</v>
      </c>
      <c r="E19" s="44" t="s">
        <v>32</v>
      </c>
      <c r="F19" s="44" t="s">
        <v>25</v>
      </c>
      <c r="G19" s="44" t="s">
        <v>33</v>
      </c>
      <c r="H19" s="80">
        <v>40000</v>
      </c>
      <c r="I19" s="10">
        <v>60133</v>
      </c>
      <c r="J19" s="10">
        <v>88740</v>
      </c>
      <c r="K19" s="11">
        <v>46026</v>
      </c>
      <c r="L19" s="80">
        <v>45000</v>
      </c>
      <c r="M19" s="17" t="s">
        <v>104</v>
      </c>
    </row>
    <row r="20" spans="1:13" x14ac:dyDescent="0.35">
      <c r="A20" s="5">
        <v>9</v>
      </c>
      <c r="B20" s="71" t="s">
        <v>22</v>
      </c>
      <c r="C20" s="72" t="s">
        <v>23</v>
      </c>
      <c r="D20" s="44" t="s">
        <v>205</v>
      </c>
      <c r="E20" s="44" t="s">
        <v>24</v>
      </c>
      <c r="F20" s="44" t="s">
        <v>25</v>
      </c>
      <c r="G20" s="44" t="s">
        <v>105</v>
      </c>
      <c r="H20" s="80">
        <v>6000</v>
      </c>
      <c r="I20" s="10">
        <v>33100</v>
      </c>
      <c r="J20" s="10">
        <v>39290</v>
      </c>
      <c r="K20" s="11">
        <v>46031</v>
      </c>
      <c r="L20" s="80">
        <v>10000</v>
      </c>
      <c r="M20" s="17" t="s">
        <v>96</v>
      </c>
    </row>
    <row r="21" spans="1:13" x14ac:dyDescent="0.35">
      <c r="A21" s="5">
        <v>10</v>
      </c>
      <c r="B21" s="71" t="s">
        <v>36</v>
      </c>
      <c r="C21" s="72" t="s">
        <v>23</v>
      </c>
      <c r="D21" s="44">
        <v>1311</v>
      </c>
      <c r="E21" s="44" t="s">
        <v>24</v>
      </c>
      <c r="F21" s="44" t="s">
        <v>25</v>
      </c>
      <c r="G21" s="73" t="s">
        <v>37</v>
      </c>
      <c r="H21" s="80">
        <v>8000</v>
      </c>
      <c r="I21" s="10">
        <v>10100</v>
      </c>
      <c r="J21" s="10">
        <v>13964</v>
      </c>
      <c r="K21" s="11">
        <v>46031</v>
      </c>
      <c r="L21" s="80">
        <v>5000</v>
      </c>
      <c r="M21" s="17" t="s">
        <v>204</v>
      </c>
    </row>
    <row r="22" spans="1:13" x14ac:dyDescent="0.35">
      <c r="A22" s="5">
        <v>11</v>
      </c>
      <c r="B22" s="71" t="s">
        <v>38</v>
      </c>
      <c r="C22" s="72" t="s">
        <v>23</v>
      </c>
      <c r="D22" s="73" t="s">
        <v>39</v>
      </c>
      <c r="E22" s="44" t="s">
        <v>24</v>
      </c>
      <c r="F22" s="44" t="s">
        <v>25</v>
      </c>
      <c r="G22" s="73" t="s">
        <v>40</v>
      </c>
      <c r="H22" s="80">
        <v>5000</v>
      </c>
      <c r="I22" s="10">
        <v>11500</v>
      </c>
      <c r="J22" s="10">
        <v>14588</v>
      </c>
      <c r="K22" s="11">
        <v>46031</v>
      </c>
      <c r="L22" s="80">
        <v>5000</v>
      </c>
      <c r="M22" s="17" t="s">
        <v>154</v>
      </c>
    </row>
    <row r="23" spans="1:13" x14ac:dyDescent="0.35">
      <c r="A23" s="5">
        <v>12</v>
      </c>
      <c r="B23" s="97" t="s">
        <v>293</v>
      </c>
      <c r="C23" s="98" t="s">
        <v>23</v>
      </c>
      <c r="D23">
        <v>815</v>
      </c>
      <c r="E23" s="99" t="s">
        <v>24</v>
      </c>
      <c r="F23" s="99" t="s">
        <v>130</v>
      </c>
      <c r="G23" s="100" t="s">
        <v>287</v>
      </c>
      <c r="H23" s="145">
        <v>5000</v>
      </c>
      <c r="I23" s="102">
        <v>28120</v>
      </c>
      <c r="J23" s="102">
        <v>31026</v>
      </c>
      <c r="K23" s="103">
        <v>46033</v>
      </c>
      <c r="L23" s="145">
        <v>6000</v>
      </c>
      <c r="M23" s="64" t="s">
        <v>132</v>
      </c>
    </row>
    <row r="24" spans="1:13" x14ac:dyDescent="0.35">
      <c r="A24" s="5">
        <v>13</v>
      </c>
      <c r="B24" s="14" t="s">
        <v>373</v>
      </c>
      <c r="C24" s="7" t="s">
        <v>23</v>
      </c>
      <c r="D24" s="8">
        <v>1161</v>
      </c>
      <c r="E24" s="5" t="s">
        <v>24</v>
      </c>
      <c r="F24" s="5" t="s">
        <v>25</v>
      </c>
      <c r="G24" s="125" t="s">
        <v>374</v>
      </c>
      <c r="H24" s="145">
        <v>6000</v>
      </c>
      <c r="I24" s="10">
        <v>27510</v>
      </c>
      <c r="J24" s="10">
        <v>29570</v>
      </c>
      <c r="K24" s="124">
        <v>46033</v>
      </c>
      <c r="L24" s="145">
        <v>5000</v>
      </c>
      <c r="M24" s="48" t="s">
        <v>375</v>
      </c>
    </row>
    <row r="25" spans="1:13" x14ac:dyDescent="0.35">
      <c r="A25" s="5">
        <v>14</v>
      </c>
      <c r="B25" s="14" t="s">
        <v>398</v>
      </c>
      <c r="C25" s="7" t="s">
        <v>23</v>
      </c>
      <c r="D25" s="8">
        <v>741</v>
      </c>
      <c r="E25" s="5" t="s">
        <v>24</v>
      </c>
      <c r="F25" s="5" t="s">
        <v>25</v>
      </c>
      <c r="G25" s="125" t="s">
        <v>399</v>
      </c>
      <c r="H25" s="146">
        <v>6000</v>
      </c>
      <c r="I25" s="10">
        <v>19800</v>
      </c>
      <c r="J25" s="10">
        <v>22871</v>
      </c>
      <c r="K25" s="123">
        <v>46033</v>
      </c>
      <c r="L25" s="146">
        <v>3000</v>
      </c>
      <c r="M25" s="17" t="s">
        <v>204</v>
      </c>
    </row>
    <row r="26" spans="1:13" x14ac:dyDescent="0.35">
      <c r="A26" s="5">
        <v>15</v>
      </c>
      <c r="B26" s="71" t="s">
        <v>155</v>
      </c>
      <c r="C26" s="72" t="s">
        <v>23</v>
      </c>
      <c r="D26" s="73">
        <v>731</v>
      </c>
      <c r="E26" s="44" t="s">
        <v>24</v>
      </c>
      <c r="F26" s="44" t="s">
        <v>25</v>
      </c>
      <c r="G26" s="73" t="s">
        <v>131</v>
      </c>
      <c r="H26" s="80">
        <v>3000</v>
      </c>
      <c r="I26" s="10">
        <v>16100</v>
      </c>
      <c r="J26" s="10">
        <v>20331</v>
      </c>
      <c r="K26" s="11">
        <v>46028</v>
      </c>
      <c r="L26" s="80">
        <v>3000</v>
      </c>
      <c r="M26" s="17" t="s">
        <v>154</v>
      </c>
    </row>
    <row r="27" spans="1:13" x14ac:dyDescent="0.35">
      <c r="A27" s="5">
        <v>16</v>
      </c>
      <c r="B27" s="71" t="s">
        <v>450</v>
      </c>
      <c r="C27" s="72" t="s">
        <v>23</v>
      </c>
      <c r="D27" s="73" t="s">
        <v>451</v>
      </c>
      <c r="E27" s="44" t="s">
        <v>24</v>
      </c>
      <c r="F27" s="44" t="s">
        <v>130</v>
      </c>
      <c r="G27" s="73" t="s">
        <v>452</v>
      </c>
      <c r="H27" s="80">
        <v>4000</v>
      </c>
      <c r="I27" s="10">
        <v>24100</v>
      </c>
      <c r="J27" s="10">
        <v>28013</v>
      </c>
      <c r="K27" s="11">
        <v>46028</v>
      </c>
      <c r="L27" s="80">
        <v>12000</v>
      </c>
      <c r="M27" s="17" t="s">
        <v>364</v>
      </c>
    </row>
    <row r="28" spans="1:13" x14ac:dyDescent="0.35">
      <c r="A28" s="5">
        <v>17</v>
      </c>
      <c r="B28" s="71" t="s">
        <v>457</v>
      </c>
      <c r="C28" s="72" t="s">
        <v>23</v>
      </c>
      <c r="D28" s="73" t="s">
        <v>444</v>
      </c>
      <c r="E28" s="44" t="s">
        <v>24</v>
      </c>
      <c r="F28" s="44" t="s">
        <v>130</v>
      </c>
      <c r="G28" s="73" t="s">
        <v>458</v>
      </c>
      <c r="H28" s="80">
        <v>55000</v>
      </c>
      <c r="I28" s="10">
        <v>49020</v>
      </c>
      <c r="J28" s="10">
        <v>68220</v>
      </c>
      <c r="K28" s="11">
        <v>46028</v>
      </c>
      <c r="L28" s="80">
        <v>60000</v>
      </c>
      <c r="M28" s="134" t="s">
        <v>104</v>
      </c>
    </row>
    <row r="29" spans="1:13" x14ac:dyDescent="0.35">
      <c r="A29" s="5">
        <v>18</v>
      </c>
      <c r="B29" s="85" t="s">
        <v>472</v>
      </c>
      <c r="C29" s="86" t="s">
        <v>23</v>
      </c>
      <c r="D29" s="135">
        <v>1170</v>
      </c>
      <c r="E29" s="87" t="s">
        <v>24</v>
      </c>
      <c r="F29" s="87" t="s">
        <v>130</v>
      </c>
      <c r="G29" s="136" t="s">
        <v>473</v>
      </c>
      <c r="H29" s="80">
        <v>3000</v>
      </c>
      <c r="I29" s="10">
        <v>17010</v>
      </c>
      <c r="J29" s="10">
        <v>19646</v>
      </c>
      <c r="K29" s="11">
        <v>46033</v>
      </c>
      <c r="L29" s="80">
        <v>3000</v>
      </c>
      <c r="M29" s="134" t="s">
        <v>204</v>
      </c>
    </row>
    <row r="30" spans="1:13" x14ac:dyDescent="0.35">
      <c r="A30" s="5">
        <v>19</v>
      </c>
      <c r="B30" s="71" t="s">
        <v>522</v>
      </c>
      <c r="C30" s="72" t="s">
        <v>23</v>
      </c>
      <c r="D30" s="73" t="s">
        <v>523</v>
      </c>
      <c r="E30" s="44" t="s">
        <v>24</v>
      </c>
      <c r="F30" s="44" t="s">
        <v>130</v>
      </c>
      <c r="G30" s="73" t="s">
        <v>524</v>
      </c>
      <c r="H30" s="80">
        <v>20000</v>
      </c>
      <c r="I30" s="10">
        <v>5012</v>
      </c>
      <c r="J30" s="10">
        <v>5742</v>
      </c>
      <c r="K30" s="11">
        <v>46036</v>
      </c>
      <c r="L30" s="80">
        <v>6000</v>
      </c>
      <c r="M30" s="134" t="s">
        <v>132</v>
      </c>
    </row>
    <row r="31" spans="1:13" x14ac:dyDescent="0.35">
      <c r="A31" s="5">
        <v>20</v>
      </c>
      <c r="B31" s="71" t="s">
        <v>419</v>
      </c>
      <c r="C31" s="72" t="s">
        <v>144</v>
      </c>
      <c r="D31" s="73" t="s">
        <v>424</v>
      </c>
      <c r="E31" s="44" t="s">
        <v>24</v>
      </c>
      <c r="F31" s="44" t="s">
        <v>44</v>
      </c>
      <c r="G31" s="73" t="s">
        <v>421</v>
      </c>
      <c r="H31" s="80">
        <v>80000</v>
      </c>
      <c r="I31" s="10">
        <v>57655</v>
      </c>
      <c r="J31" s="10">
        <v>74510</v>
      </c>
      <c r="K31" s="11">
        <v>46023</v>
      </c>
      <c r="L31" s="80">
        <v>20000</v>
      </c>
      <c r="M31" s="17" t="s">
        <v>453</v>
      </c>
    </row>
    <row r="32" spans="1:13" x14ac:dyDescent="0.35">
      <c r="A32" s="5">
        <v>21</v>
      </c>
      <c r="B32" s="74" t="s">
        <v>330</v>
      </c>
      <c r="C32" s="72" t="s">
        <v>144</v>
      </c>
      <c r="D32" s="73" t="s">
        <v>43</v>
      </c>
      <c r="E32" s="44" t="s">
        <v>24</v>
      </c>
      <c r="F32" s="44" t="s">
        <v>44</v>
      </c>
      <c r="G32" s="44">
        <v>24024723</v>
      </c>
      <c r="H32" s="78">
        <v>55000</v>
      </c>
      <c r="I32" s="42">
        <v>61266</v>
      </c>
      <c r="J32" s="42">
        <v>72721</v>
      </c>
      <c r="K32" s="11">
        <v>46023</v>
      </c>
      <c r="L32" s="78">
        <v>30000</v>
      </c>
      <c r="M32" s="12" t="s">
        <v>365</v>
      </c>
    </row>
    <row r="33" spans="1:13" x14ac:dyDescent="0.35">
      <c r="A33" s="5">
        <v>22</v>
      </c>
      <c r="B33" s="85" t="s">
        <v>485</v>
      </c>
      <c r="C33" s="86" t="s">
        <v>144</v>
      </c>
      <c r="D33" s="160">
        <v>452</v>
      </c>
      <c r="E33" s="87" t="s">
        <v>24</v>
      </c>
      <c r="F33" s="87" t="s">
        <v>44</v>
      </c>
      <c r="G33" s="179" t="s">
        <v>486</v>
      </c>
      <c r="H33" s="78">
        <v>80000</v>
      </c>
      <c r="I33" s="42">
        <v>62646</v>
      </c>
      <c r="J33" s="42">
        <v>78673</v>
      </c>
      <c r="K33" s="11">
        <v>46023</v>
      </c>
      <c r="L33" s="78">
        <v>15000</v>
      </c>
      <c r="M33" s="12" t="s">
        <v>503</v>
      </c>
    </row>
    <row r="34" spans="1:13" x14ac:dyDescent="0.35">
      <c r="A34" s="5">
        <v>23</v>
      </c>
      <c r="B34" s="71" t="s">
        <v>513</v>
      </c>
      <c r="C34" s="72" t="s">
        <v>144</v>
      </c>
      <c r="D34" s="73" t="s">
        <v>514</v>
      </c>
      <c r="E34" s="44" t="s">
        <v>14</v>
      </c>
      <c r="F34" s="44" t="s">
        <v>44</v>
      </c>
      <c r="G34" s="73" t="s">
        <v>516</v>
      </c>
      <c r="H34" s="80">
        <v>15000</v>
      </c>
      <c r="I34" s="42">
        <v>2952</v>
      </c>
      <c r="J34" s="42">
        <v>33251</v>
      </c>
      <c r="K34" s="11">
        <v>46023</v>
      </c>
      <c r="L34" s="80">
        <v>30000</v>
      </c>
      <c r="M34" s="17" t="s">
        <v>364</v>
      </c>
    </row>
    <row r="35" spans="1:13" x14ac:dyDescent="0.35">
      <c r="A35" s="5">
        <v>24</v>
      </c>
      <c r="B35" s="85" t="s">
        <v>331</v>
      </c>
      <c r="C35" s="86" t="s">
        <v>332</v>
      </c>
      <c r="D35" s="53" t="s">
        <v>333</v>
      </c>
      <c r="E35" s="87" t="s">
        <v>24</v>
      </c>
      <c r="F35" s="87" t="s">
        <v>44</v>
      </c>
      <c r="G35" s="87" t="s">
        <v>335</v>
      </c>
      <c r="H35" s="78">
        <v>15000</v>
      </c>
      <c r="I35" s="42">
        <v>16066</v>
      </c>
      <c r="J35" s="42">
        <v>24486</v>
      </c>
      <c r="K35" s="11">
        <v>46023</v>
      </c>
      <c r="L35" s="78">
        <v>18000</v>
      </c>
      <c r="M35" s="12" t="s">
        <v>406</v>
      </c>
    </row>
    <row r="36" spans="1:13" x14ac:dyDescent="0.35">
      <c r="A36" s="415" t="s">
        <v>8</v>
      </c>
      <c r="B36" s="415"/>
      <c r="C36" s="415"/>
      <c r="D36" s="415"/>
      <c r="E36" s="415"/>
      <c r="F36" s="415"/>
      <c r="G36" s="415"/>
      <c r="H36" s="81">
        <f>SUM(H12:H35)</f>
        <v>556000</v>
      </c>
      <c r="I36" s="24"/>
      <c r="J36" s="25"/>
      <c r="K36" s="43"/>
      <c r="L36" s="210"/>
      <c r="M36" s="210"/>
    </row>
    <row r="37" spans="1:13" x14ac:dyDescent="0.35">
      <c r="A37" s="210"/>
      <c r="B37" s="210"/>
      <c r="C37" s="210"/>
      <c r="D37" s="210"/>
      <c r="E37" s="210"/>
      <c r="F37" s="210"/>
      <c r="G37" s="210"/>
      <c r="H37" s="210"/>
      <c r="I37" s="210"/>
      <c r="J37" s="210"/>
      <c r="K37" s="210"/>
      <c r="L37" s="210"/>
      <c r="M37" s="210"/>
    </row>
    <row r="38" spans="1:13" x14ac:dyDescent="0.35">
      <c r="A38" s="210"/>
      <c r="B38" s="210" t="s">
        <v>529</v>
      </c>
      <c r="C38" s="210"/>
      <c r="D38" s="210"/>
      <c r="E38" s="210"/>
      <c r="F38" s="210"/>
      <c r="G38" s="210"/>
      <c r="H38" s="210"/>
      <c r="I38" s="210"/>
      <c r="J38" s="210"/>
      <c r="K38" s="210"/>
      <c r="L38" s="210"/>
      <c r="M38" s="210"/>
    </row>
    <row r="39" spans="1:13" x14ac:dyDescent="0.35">
      <c r="A39" s="210"/>
      <c r="B39" s="210"/>
      <c r="C39" s="210"/>
      <c r="D39" s="210"/>
      <c r="E39" s="210"/>
      <c r="F39" s="210"/>
      <c r="G39" s="210"/>
      <c r="H39" s="210"/>
      <c r="I39" s="210"/>
      <c r="J39" s="210"/>
      <c r="K39" s="210"/>
      <c r="L39" s="210"/>
      <c r="M39" s="210"/>
    </row>
    <row r="40" spans="1:13" x14ac:dyDescent="0.35">
      <c r="A40" s="210"/>
      <c r="B40" s="210"/>
      <c r="C40" s="210"/>
      <c r="D40" s="210"/>
      <c r="E40" s="210"/>
      <c r="F40" s="210"/>
      <c r="G40" s="210"/>
      <c r="H40" s="210"/>
      <c r="I40" s="210"/>
      <c r="J40" s="210"/>
      <c r="K40" s="210"/>
      <c r="L40" s="210"/>
      <c r="M40" s="210"/>
    </row>
    <row r="41" spans="1:13" x14ac:dyDescent="0.35">
      <c r="A41" s="210"/>
      <c r="B41" s="210"/>
      <c r="C41" s="210"/>
      <c r="D41" s="210"/>
      <c r="E41" s="210"/>
      <c r="F41" s="210"/>
      <c r="G41" s="210"/>
      <c r="H41" s="210"/>
      <c r="I41" s="210"/>
      <c r="J41" s="210"/>
      <c r="K41" s="210"/>
      <c r="L41" s="210"/>
      <c r="M41" s="210"/>
    </row>
    <row r="42" spans="1:13" x14ac:dyDescent="0.35">
      <c r="A42" s="210"/>
      <c r="B42" s="210"/>
      <c r="C42" s="210"/>
      <c r="D42" s="210"/>
      <c r="E42" s="210"/>
      <c r="F42" s="210"/>
      <c r="G42" s="210"/>
      <c r="H42" s="210"/>
      <c r="I42" s="210"/>
      <c r="J42" s="210"/>
      <c r="K42" s="210"/>
      <c r="L42" s="210"/>
      <c r="M42" s="210"/>
    </row>
    <row r="43" spans="1:13" ht="15" thickBot="1" x14ac:dyDescent="0.4">
      <c r="A43" s="420" t="s">
        <v>66</v>
      </c>
      <c r="B43" s="420"/>
      <c r="C43" s="210"/>
      <c r="D43" s="210"/>
      <c r="E43" s="407" t="s">
        <v>67</v>
      </c>
      <c r="F43" s="407"/>
      <c r="G43" s="49"/>
      <c r="H43" s="49"/>
      <c r="I43" s="408"/>
      <c r="J43" s="408"/>
      <c r="K43" s="208"/>
      <c r="L43" s="209"/>
      <c r="M43" s="209"/>
    </row>
    <row r="44" spans="1:13" ht="15" thickTop="1" x14ac:dyDescent="0.35">
      <c r="A44" s="421" t="s">
        <v>69</v>
      </c>
      <c r="B44" s="421"/>
      <c r="D44" s="30"/>
      <c r="E44" s="410" t="s">
        <v>70</v>
      </c>
      <c r="F44" s="410"/>
      <c r="G44" s="410" t="s">
        <v>71</v>
      </c>
      <c r="H44" s="410"/>
      <c r="I44" s="209"/>
      <c r="J44" s="209"/>
      <c r="K44" s="209" t="s">
        <v>72</v>
      </c>
      <c r="L44" s="207"/>
      <c r="M44" s="207"/>
    </row>
    <row r="45" spans="1:13" x14ac:dyDescent="0.35">
      <c r="A45" s="414" t="s">
        <v>92</v>
      </c>
      <c r="B45" s="414"/>
      <c r="D45" s="211"/>
      <c r="E45" s="414" t="s">
        <v>73</v>
      </c>
      <c r="F45" s="414"/>
      <c r="G45" s="414" t="s">
        <v>74</v>
      </c>
      <c r="H45" s="414"/>
      <c r="I45" s="207"/>
      <c r="J45" s="207"/>
      <c r="K45" s="207" t="s">
        <v>75</v>
      </c>
      <c r="L45" s="206"/>
      <c r="M45" s="206"/>
    </row>
    <row r="46" spans="1:13" x14ac:dyDescent="0.35">
      <c r="A46" s="412" t="s">
        <v>94</v>
      </c>
      <c r="B46" s="412"/>
      <c r="D46" s="212"/>
      <c r="E46" s="414" t="s">
        <v>78</v>
      </c>
      <c r="F46" s="414"/>
      <c r="G46" s="414" t="s">
        <v>414</v>
      </c>
      <c r="H46" s="414"/>
      <c r="I46" s="206"/>
      <c r="J46" s="206"/>
      <c r="K46" s="206" t="s">
        <v>80</v>
      </c>
      <c r="L46" s="212"/>
      <c r="M46" s="212"/>
    </row>
    <row r="47" spans="1:13" x14ac:dyDescent="0.35">
      <c r="A47" s="412" t="s">
        <v>76</v>
      </c>
      <c r="B47" s="412"/>
      <c r="D47" s="212"/>
      <c r="E47" s="412" t="s">
        <v>76</v>
      </c>
      <c r="F47" s="412"/>
      <c r="G47" s="412" t="s">
        <v>76</v>
      </c>
      <c r="H47" s="412"/>
      <c r="I47" s="206"/>
      <c r="J47" s="206"/>
      <c r="K47" s="206"/>
    </row>
    <row r="52" spans="1:5" ht="15" thickBot="1" x14ac:dyDescent="0.4"/>
    <row r="53" spans="1:5" ht="15" thickTop="1" x14ac:dyDescent="0.35">
      <c r="A53" s="417" t="s">
        <v>114</v>
      </c>
      <c r="B53" s="417"/>
      <c r="C53" s="429" t="s">
        <v>282</v>
      </c>
      <c r="D53" s="429"/>
      <c r="E53" s="429"/>
    </row>
    <row r="54" spans="1:5" x14ac:dyDescent="0.35">
      <c r="A54" s="418" t="s">
        <v>115</v>
      </c>
      <c r="B54" s="418"/>
      <c r="C54" s="430" t="s">
        <v>7</v>
      </c>
      <c r="D54" s="430"/>
      <c r="E54" s="430"/>
    </row>
    <row r="55" spans="1:5" x14ac:dyDescent="0.35">
      <c r="A55" s="422" t="s">
        <v>116</v>
      </c>
      <c r="B55" s="418"/>
      <c r="C55" s="431" t="s">
        <v>77</v>
      </c>
      <c r="D55" s="431"/>
      <c r="E55" s="431"/>
    </row>
    <row r="56" spans="1:5" x14ac:dyDescent="0.35">
      <c r="A56" s="416" t="s">
        <v>117</v>
      </c>
      <c r="B56" s="416"/>
      <c r="C56" s="412" t="s">
        <v>81</v>
      </c>
      <c r="D56" s="412"/>
      <c r="E56" s="412"/>
    </row>
  </sheetData>
  <mergeCells count="42">
    <mergeCell ref="A55:B55"/>
    <mergeCell ref="C55:E55"/>
    <mergeCell ref="A56:B56"/>
    <mergeCell ref="C56:E56"/>
    <mergeCell ref="A47:B47"/>
    <mergeCell ref="E47:F47"/>
    <mergeCell ref="G47:H47"/>
    <mergeCell ref="A53:B53"/>
    <mergeCell ref="C53:E53"/>
    <mergeCell ref="A54:B54"/>
    <mergeCell ref="C54:E54"/>
    <mergeCell ref="A45:B45"/>
    <mergeCell ref="E45:F45"/>
    <mergeCell ref="G45:H45"/>
    <mergeCell ref="A46:B46"/>
    <mergeCell ref="E46:F46"/>
    <mergeCell ref="G46:H46"/>
    <mergeCell ref="A43:B43"/>
    <mergeCell ref="E43:F43"/>
    <mergeCell ref="I43:J43"/>
    <mergeCell ref="A44:B44"/>
    <mergeCell ref="E44:F44"/>
    <mergeCell ref="G44:H44"/>
    <mergeCell ref="A36:G36"/>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55" orientation="landscape"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D808-9799-42F7-82D2-F41879207B2D}">
  <sheetPr>
    <pageSetUpPr fitToPage="1"/>
  </sheetPr>
  <dimension ref="A1:M34"/>
  <sheetViews>
    <sheetView topLeftCell="A3" workbookViewId="0">
      <selection sqref="A1:M34"/>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1"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512</v>
      </c>
      <c r="D3" s="403"/>
      <c r="E3" s="403"/>
      <c r="F3" s="403"/>
      <c r="G3" s="403"/>
      <c r="H3" s="403"/>
      <c r="I3" s="403"/>
      <c r="J3" s="403"/>
      <c r="K3" s="403"/>
      <c r="L3" s="403"/>
      <c r="M3" s="385"/>
    </row>
    <row r="4" spans="1:13" x14ac:dyDescent="0.35">
      <c r="A4" s="384" t="s">
        <v>4</v>
      </c>
      <c r="B4" s="385"/>
      <c r="C4" s="393" t="s">
        <v>510</v>
      </c>
      <c r="D4" s="394"/>
      <c r="E4" s="394"/>
      <c r="F4" s="394"/>
      <c r="G4" s="394"/>
      <c r="H4" s="394"/>
      <c r="I4" s="394"/>
      <c r="J4" s="394"/>
      <c r="K4" s="394"/>
      <c r="L4" s="394"/>
      <c r="M4" s="395"/>
    </row>
    <row r="5" spans="1:13" x14ac:dyDescent="0.35">
      <c r="A5" s="384" t="s">
        <v>5</v>
      </c>
      <c r="B5" s="385"/>
      <c r="C5" s="387">
        <v>46047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H19</f>
        <v>258000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527</v>
      </c>
      <c r="J11" s="3" t="s">
        <v>18</v>
      </c>
      <c r="K11" s="3" t="s">
        <v>19</v>
      </c>
      <c r="L11" s="3" t="s">
        <v>20</v>
      </c>
      <c r="M11" s="3" t="s">
        <v>84</v>
      </c>
    </row>
    <row r="12" spans="1:13" x14ac:dyDescent="0.35">
      <c r="A12" s="5">
        <v>1</v>
      </c>
      <c r="B12" s="14" t="s">
        <v>85</v>
      </c>
      <c r="C12" s="7" t="s">
        <v>86</v>
      </c>
      <c r="D12" s="8" t="s">
        <v>87</v>
      </c>
      <c r="E12" s="5" t="s">
        <v>24</v>
      </c>
      <c r="F12" s="5" t="s">
        <v>44</v>
      </c>
      <c r="G12" s="5">
        <v>35020062</v>
      </c>
      <c r="H12" s="228">
        <v>60000</v>
      </c>
      <c r="I12" s="10">
        <v>135870</v>
      </c>
      <c r="J12" s="10">
        <v>198313</v>
      </c>
      <c r="K12" s="229">
        <v>46023</v>
      </c>
      <c r="L12" s="48">
        <v>60000</v>
      </c>
      <c r="M12" s="48" t="s">
        <v>498</v>
      </c>
    </row>
    <row r="13" spans="1:13" x14ac:dyDescent="0.35">
      <c r="A13" s="5">
        <v>2</v>
      </c>
      <c r="B13" s="14" t="s">
        <v>89</v>
      </c>
      <c r="C13" s="7" t="s">
        <v>86</v>
      </c>
      <c r="D13" s="8" t="s">
        <v>90</v>
      </c>
      <c r="E13" s="5" t="s">
        <v>24</v>
      </c>
      <c r="F13" s="5" t="s">
        <v>44</v>
      </c>
      <c r="G13" s="13">
        <v>40021666</v>
      </c>
      <c r="H13" s="228">
        <v>50000</v>
      </c>
      <c r="I13" s="10">
        <v>45601</v>
      </c>
      <c r="J13" s="10">
        <v>72543</v>
      </c>
      <c r="K13" s="229">
        <v>46023</v>
      </c>
      <c r="L13" s="48">
        <v>60000</v>
      </c>
      <c r="M13" s="48" t="s">
        <v>325</v>
      </c>
    </row>
    <row r="14" spans="1:13" x14ac:dyDescent="0.35">
      <c r="A14" s="5">
        <v>3</v>
      </c>
      <c r="B14" s="14" t="s">
        <v>158</v>
      </c>
      <c r="C14" s="7" t="s">
        <v>86</v>
      </c>
      <c r="D14" s="8">
        <v>269</v>
      </c>
      <c r="E14" s="5" t="s">
        <v>24</v>
      </c>
      <c r="F14" s="5" t="s">
        <v>44</v>
      </c>
      <c r="G14" s="5">
        <v>74023856</v>
      </c>
      <c r="H14" s="228">
        <v>40000</v>
      </c>
      <c r="I14" s="10">
        <v>39581</v>
      </c>
      <c r="J14" s="10">
        <v>68218</v>
      </c>
      <c r="K14" s="229">
        <v>46023</v>
      </c>
      <c r="L14" s="48">
        <v>50000</v>
      </c>
      <c r="M14" s="12" t="s">
        <v>369</v>
      </c>
    </row>
    <row r="15" spans="1:13" x14ac:dyDescent="0.35">
      <c r="A15" s="5">
        <v>4</v>
      </c>
      <c r="B15" s="19" t="s">
        <v>255</v>
      </c>
      <c r="C15" s="20" t="s">
        <v>23</v>
      </c>
      <c r="D15" s="53" t="s">
        <v>256</v>
      </c>
      <c r="E15" s="22" t="s">
        <v>247</v>
      </c>
      <c r="F15" s="5" t="s">
        <v>44</v>
      </c>
      <c r="G15" s="53" t="s">
        <v>257</v>
      </c>
      <c r="H15" s="228">
        <v>15000</v>
      </c>
      <c r="I15" s="10">
        <v>13000</v>
      </c>
      <c r="J15" s="10">
        <v>17614</v>
      </c>
      <c r="K15" s="229">
        <v>46032</v>
      </c>
      <c r="L15" s="48">
        <v>15000</v>
      </c>
      <c r="M15" s="48" t="s">
        <v>96</v>
      </c>
    </row>
    <row r="16" spans="1:13" x14ac:dyDescent="0.35">
      <c r="A16" s="5">
        <v>5</v>
      </c>
      <c r="B16" s="19" t="s">
        <v>442</v>
      </c>
      <c r="C16" s="20" t="s">
        <v>443</v>
      </c>
      <c r="D16" s="53" t="s">
        <v>444</v>
      </c>
      <c r="E16" s="22" t="s">
        <v>24</v>
      </c>
      <c r="F16" s="5" t="s">
        <v>25</v>
      </c>
      <c r="G16" s="53" t="s">
        <v>445</v>
      </c>
      <c r="H16" s="228">
        <v>3000</v>
      </c>
      <c r="I16" s="10">
        <v>30100</v>
      </c>
      <c r="J16" s="10">
        <v>35959</v>
      </c>
      <c r="K16" s="229">
        <v>46028</v>
      </c>
      <c r="L16" s="48">
        <v>3000</v>
      </c>
      <c r="M16" s="48" t="s">
        <v>132</v>
      </c>
    </row>
    <row r="17" spans="1:13" x14ac:dyDescent="0.35">
      <c r="A17" s="5">
        <v>6</v>
      </c>
      <c r="B17" s="19" t="s">
        <v>261</v>
      </c>
      <c r="C17" s="20" t="s">
        <v>49</v>
      </c>
      <c r="D17" s="53" t="s">
        <v>262</v>
      </c>
      <c r="E17" s="22" t="s">
        <v>247</v>
      </c>
      <c r="F17" s="5" t="s">
        <v>130</v>
      </c>
      <c r="G17" s="53" t="s">
        <v>462</v>
      </c>
      <c r="H17" s="228">
        <v>40000</v>
      </c>
      <c r="I17" s="10">
        <v>38722</v>
      </c>
      <c r="J17" s="10">
        <v>59922</v>
      </c>
      <c r="K17" s="229">
        <v>46038</v>
      </c>
      <c r="L17" s="48">
        <v>50000</v>
      </c>
      <c r="M17" s="48" t="s">
        <v>365</v>
      </c>
    </row>
    <row r="18" spans="1:13" x14ac:dyDescent="0.35">
      <c r="A18" s="5">
        <v>7</v>
      </c>
      <c r="B18" s="16" t="s">
        <v>95</v>
      </c>
      <c r="C18" s="7" t="s">
        <v>49</v>
      </c>
      <c r="D18" s="8">
        <v>183</v>
      </c>
      <c r="E18" s="5" t="s">
        <v>24</v>
      </c>
      <c r="F18" s="5" t="s">
        <v>25</v>
      </c>
      <c r="G18" s="73" t="s">
        <v>279</v>
      </c>
      <c r="H18" s="228">
        <v>50000</v>
      </c>
      <c r="I18" s="10">
        <v>79352</v>
      </c>
      <c r="J18" s="10">
        <v>85752</v>
      </c>
      <c r="K18" s="229">
        <v>46035</v>
      </c>
      <c r="L18" s="48">
        <v>60000</v>
      </c>
      <c r="M18" s="17" t="s">
        <v>213</v>
      </c>
    </row>
    <row r="19" spans="1:13" x14ac:dyDescent="0.35">
      <c r="A19" s="386" t="s">
        <v>8</v>
      </c>
      <c r="B19" s="386"/>
      <c r="C19" s="386"/>
      <c r="D19" s="386"/>
      <c r="E19" s="386"/>
      <c r="F19" s="386"/>
      <c r="G19" s="386"/>
      <c r="H19" s="23">
        <f>SUM(H12:H18)</f>
        <v>258000</v>
      </c>
      <c r="I19" s="24"/>
      <c r="J19" s="25"/>
      <c r="K19" s="25"/>
      <c r="L19" s="217"/>
      <c r="M19" s="217"/>
    </row>
    <row r="20" spans="1:13" x14ac:dyDescent="0.35">
      <c r="A20" s="217"/>
      <c r="B20" s="217"/>
      <c r="C20" s="217"/>
      <c r="D20" s="217"/>
      <c r="E20" s="217"/>
      <c r="F20" s="217"/>
      <c r="G20" s="217"/>
      <c r="H20" s="217"/>
      <c r="I20" s="38"/>
      <c r="J20" s="217"/>
      <c r="K20" s="217"/>
      <c r="L20" s="217"/>
      <c r="M20" s="217"/>
    </row>
    <row r="21" spans="1:13" x14ac:dyDescent="0.35">
      <c r="A21" s="217"/>
      <c r="B21" s="217" t="s">
        <v>528</v>
      </c>
      <c r="C21" s="217"/>
      <c r="D21" s="217"/>
      <c r="E21" s="217"/>
      <c r="F21" s="217"/>
      <c r="G21" s="217"/>
      <c r="H21" s="217"/>
      <c r="I21" s="38"/>
      <c r="J21" s="217"/>
      <c r="K21" s="217"/>
      <c r="L21" s="217"/>
      <c r="M21" s="217"/>
    </row>
    <row r="22" spans="1:13" x14ac:dyDescent="0.35">
      <c r="A22" s="217"/>
      <c r="B22" s="217"/>
      <c r="C22" s="217"/>
      <c r="D22" s="217"/>
      <c r="E22" s="217"/>
      <c r="F22" s="217"/>
      <c r="G22" s="217"/>
      <c r="H22" s="217"/>
      <c r="I22" s="38"/>
      <c r="J22" s="217"/>
      <c r="K22" s="217"/>
      <c r="L22" s="217"/>
      <c r="M22" s="217"/>
    </row>
    <row r="23" spans="1:13" x14ac:dyDescent="0.35">
      <c r="A23" s="217"/>
      <c r="B23" s="217"/>
      <c r="C23" s="217"/>
      <c r="D23" s="217"/>
      <c r="E23" s="217"/>
      <c r="F23" s="217"/>
      <c r="G23" s="217"/>
      <c r="H23" s="217"/>
      <c r="I23" s="38"/>
      <c r="J23" s="217"/>
      <c r="K23" s="217"/>
      <c r="L23" s="217"/>
      <c r="M23" s="217"/>
    </row>
    <row r="24" spans="1:13" x14ac:dyDescent="0.35">
      <c r="A24" s="217"/>
      <c r="B24" s="217"/>
      <c r="C24" s="217"/>
      <c r="D24" s="217"/>
      <c r="E24" s="217"/>
      <c r="F24" s="217"/>
      <c r="G24" s="217"/>
      <c r="H24" s="217"/>
      <c r="I24" s="38"/>
      <c r="J24" s="217"/>
      <c r="K24" s="217"/>
      <c r="L24" s="217"/>
      <c r="M24" s="217"/>
    </row>
    <row r="25" spans="1:13" x14ac:dyDescent="0.35">
      <c r="A25" s="217"/>
      <c r="B25" s="217"/>
      <c r="C25" s="217"/>
      <c r="D25" s="217"/>
      <c r="E25" s="217"/>
      <c r="F25" s="217"/>
      <c r="G25" s="217"/>
      <c r="H25" s="217"/>
      <c r="I25" s="38"/>
      <c r="J25" s="217"/>
      <c r="K25" s="217"/>
      <c r="L25" s="217"/>
      <c r="M25" s="217"/>
    </row>
    <row r="26" spans="1:13" x14ac:dyDescent="0.35">
      <c r="A26" s="217"/>
      <c r="B26" s="217"/>
      <c r="C26" s="217"/>
      <c r="D26" s="217"/>
      <c r="E26" s="217"/>
      <c r="F26" s="217"/>
      <c r="G26" s="217"/>
      <c r="H26" s="217"/>
      <c r="I26" s="38"/>
      <c r="J26" s="217"/>
      <c r="K26" s="217"/>
      <c r="L26" s="217"/>
      <c r="M26" s="217"/>
    </row>
    <row r="27" spans="1:13" x14ac:dyDescent="0.35">
      <c r="A27" s="217"/>
      <c r="B27" s="217"/>
      <c r="C27" s="217"/>
      <c r="D27" s="217"/>
      <c r="E27" s="217"/>
      <c r="F27" s="217"/>
      <c r="G27" s="217"/>
      <c r="H27" s="217"/>
      <c r="I27" s="38"/>
      <c r="J27" s="217"/>
      <c r="K27" s="217"/>
      <c r="L27" s="217"/>
      <c r="M27" s="217"/>
    </row>
    <row r="28" spans="1:13" x14ac:dyDescent="0.35">
      <c r="A28" s="217"/>
      <c r="B28" s="217"/>
      <c r="C28" s="217"/>
      <c r="D28" s="217"/>
      <c r="E28" s="217"/>
      <c r="F28" s="217"/>
      <c r="G28" s="217"/>
      <c r="H28" s="217"/>
      <c r="I28" s="38"/>
      <c r="J28" s="217"/>
      <c r="K28" s="217"/>
      <c r="L28" s="217"/>
      <c r="M28" s="217"/>
    </row>
    <row r="29" spans="1:13" x14ac:dyDescent="0.35">
      <c r="A29" s="217"/>
      <c r="B29" s="217"/>
      <c r="C29" s="217"/>
      <c r="D29" s="217"/>
      <c r="E29" s="217"/>
      <c r="F29" s="217"/>
      <c r="G29" s="217"/>
      <c r="H29" s="217"/>
      <c r="I29" s="38"/>
      <c r="J29" s="217"/>
      <c r="K29" s="217"/>
      <c r="L29" s="217"/>
      <c r="M29" s="217"/>
    </row>
    <row r="30" spans="1:13" x14ac:dyDescent="0.35">
      <c r="A30" s="407" t="s">
        <v>66</v>
      </c>
      <c r="B30" s="407"/>
      <c r="C30" s="217"/>
      <c r="D30" s="217"/>
      <c r="E30" s="407" t="s">
        <v>67</v>
      </c>
      <c r="F30" s="407"/>
      <c r="G30" s="408"/>
      <c r="H30" s="408"/>
      <c r="I30" s="215"/>
      <c r="J30" s="215"/>
      <c r="K30" s="215"/>
      <c r="L30" s="39"/>
      <c r="M30" s="218"/>
    </row>
    <row r="31" spans="1:13" x14ac:dyDescent="0.35">
      <c r="A31" s="421" t="s">
        <v>69</v>
      </c>
      <c r="B31" s="421"/>
      <c r="D31" s="216"/>
      <c r="E31" s="410" t="s">
        <v>70</v>
      </c>
      <c r="F31" s="410"/>
      <c r="G31" s="410" t="s">
        <v>71</v>
      </c>
      <c r="H31" s="410"/>
      <c r="I31" s="216"/>
      <c r="J31" s="216"/>
      <c r="K31" s="216" t="s">
        <v>72</v>
      </c>
      <c r="L31" s="214"/>
      <c r="M31" s="214"/>
    </row>
    <row r="32" spans="1:13" x14ac:dyDescent="0.35">
      <c r="A32" s="414" t="s">
        <v>92</v>
      </c>
      <c r="B32" s="414"/>
      <c r="D32" s="219"/>
      <c r="E32" s="414" t="s">
        <v>73</v>
      </c>
      <c r="F32" s="414"/>
      <c r="G32" s="414" t="s">
        <v>74</v>
      </c>
      <c r="H32" s="414"/>
      <c r="I32" s="214"/>
      <c r="J32" s="214"/>
      <c r="K32" s="214" t="s">
        <v>75</v>
      </c>
      <c r="L32" s="213"/>
      <c r="M32" s="213"/>
    </row>
    <row r="33" spans="1:13" x14ac:dyDescent="0.35">
      <c r="A33" s="414" t="s">
        <v>94</v>
      </c>
      <c r="B33" s="414"/>
      <c r="D33" s="220"/>
      <c r="E33" s="414" t="s">
        <v>78</v>
      </c>
      <c r="F33" s="414"/>
      <c r="G33" s="414" t="s">
        <v>414</v>
      </c>
      <c r="H33" s="414"/>
      <c r="I33" s="213"/>
      <c r="J33" s="213"/>
      <c r="K33" s="214" t="s">
        <v>80</v>
      </c>
      <c r="L33" s="220"/>
      <c r="M33" s="220"/>
    </row>
    <row r="34" spans="1:13" x14ac:dyDescent="0.35">
      <c r="A34" s="412" t="s">
        <v>76</v>
      </c>
      <c r="B34" s="412"/>
      <c r="D34" s="220"/>
      <c r="E34" s="412" t="s">
        <v>76</v>
      </c>
      <c r="F34" s="412"/>
      <c r="G34" s="412" t="s">
        <v>76</v>
      </c>
      <c r="H34" s="412"/>
      <c r="I34" s="213"/>
      <c r="J34" s="213"/>
      <c r="K34" s="213"/>
    </row>
  </sheetData>
  <mergeCells count="34">
    <mergeCell ref="A34:B34"/>
    <mergeCell ref="E34:F34"/>
    <mergeCell ref="G34:H34"/>
    <mergeCell ref="A32:B32"/>
    <mergeCell ref="E32:F32"/>
    <mergeCell ref="G32:H32"/>
    <mergeCell ref="A33:B33"/>
    <mergeCell ref="E33:F33"/>
    <mergeCell ref="G33:H33"/>
    <mergeCell ref="A30:B30"/>
    <mergeCell ref="E30:F30"/>
    <mergeCell ref="G30:H30"/>
    <mergeCell ref="A31:B31"/>
    <mergeCell ref="E31:F31"/>
    <mergeCell ref="G31:H31"/>
    <mergeCell ref="A19:G19"/>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6E528-1DE8-42EB-B5E7-DE47F953E6CC}">
  <sheetPr>
    <pageSetUpPr fitToPage="1"/>
  </sheetPr>
  <dimension ref="A1:M33"/>
  <sheetViews>
    <sheetView workbookViewId="0">
      <selection activeCell="J14" sqref="J1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3"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535</v>
      </c>
      <c r="D4" s="394"/>
      <c r="E4" s="394"/>
      <c r="F4" s="394"/>
      <c r="G4" s="394"/>
      <c r="H4" s="394"/>
      <c r="I4" s="394"/>
      <c r="J4" s="394"/>
      <c r="K4" s="394"/>
      <c r="L4" s="394"/>
      <c r="M4" s="395"/>
    </row>
    <row r="5" spans="1:13" x14ac:dyDescent="0.35">
      <c r="A5" s="384" t="s">
        <v>5</v>
      </c>
      <c r="B5" s="385"/>
      <c r="C5" s="387">
        <v>46058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537</v>
      </c>
      <c r="C11" s="2" t="s">
        <v>12</v>
      </c>
      <c r="D11" s="2" t="s">
        <v>13</v>
      </c>
      <c r="E11" s="2" t="s">
        <v>14</v>
      </c>
      <c r="F11" s="3" t="s">
        <v>15</v>
      </c>
      <c r="G11" s="3" t="s">
        <v>16</v>
      </c>
      <c r="H11" s="3" t="s">
        <v>17</v>
      </c>
      <c r="I11" s="3" t="s">
        <v>526</v>
      </c>
      <c r="J11" s="3" t="s">
        <v>18</v>
      </c>
      <c r="K11" s="3" t="s">
        <v>19</v>
      </c>
      <c r="L11" s="3" t="s">
        <v>20</v>
      </c>
      <c r="M11" s="4" t="s">
        <v>21</v>
      </c>
    </row>
    <row r="12" spans="1:13" x14ac:dyDescent="0.35">
      <c r="A12" s="5">
        <v>1</v>
      </c>
      <c r="B12" s="69" t="s">
        <v>530</v>
      </c>
      <c r="C12" s="69" t="s">
        <v>332</v>
      </c>
      <c r="D12" s="70" t="s">
        <v>531</v>
      </c>
      <c r="E12" s="70" t="s">
        <v>24</v>
      </c>
      <c r="F12" s="68" t="s">
        <v>44</v>
      </c>
      <c r="G12" s="68" t="s">
        <v>532</v>
      </c>
      <c r="H12" s="79">
        <v>60000</v>
      </c>
      <c r="I12" s="82" t="s">
        <v>97</v>
      </c>
      <c r="J12" s="82" t="s">
        <v>97</v>
      </c>
      <c r="K12" s="11" t="s">
        <v>97</v>
      </c>
      <c r="L12" s="79" t="s">
        <v>97</v>
      </c>
      <c r="M12" s="84" t="s">
        <v>533</v>
      </c>
    </row>
    <row r="13" spans="1:13" x14ac:dyDescent="0.35">
      <c r="A13" s="415" t="s">
        <v>8</v>
      </c>
      <c r="B13" s="415"/>
      <c r="C13" s="415"/>
      <c r="D13" s="415"/>
      <c r="E13" s="415"/>
      <c r="F13" s="415"/>
      <c r="G13" s="415"/>
      <c r="H13" s="81">
        <f>SUM(H12:H12)</f>
        <v>60000</v>
      </c>
      <c r="I13" s="24"/>
      <c r="J13" s="25"/>
      <c r="K13" s="43"/>
      <c r="L13" s="225"/>
      <c r="M13" s="225"/>
    </row>
    <row r="14" spans="1:13" x14ac:dyDescent="0.35">
      <c r="A14" s="225"/>
      <c r="B14" s="225"/>
      <c r="C14" s="225"/>
      <c r="D14" s="225"/>
      <c r="E14" s="225"/>
      <c r="F14" s="225"/>
      <c r="G14" s="225"/>
      <c r="H14" s="225"/>
      <c r="I14" s="225"/>
      <c r="J14" s="225"/>
      <c r="K14" s="225"/>
      <c r="L14" s="225"/>
      <c r="M14" s="225"/>
    </row>
    <row r="15" spans="1:13" x14ac:dyDescent="0.35">
      <c r="A15" s="225"/>
      <c r="B15" s="225" t="s">
        <v>534</v>
      </c>
      <c r="C15" s="225"/>
      <c r="D15" s="225"/>
      <c r="E15" s="225"/>
      <c r="F15" s="225"/>
      <c r="G15" s="225"/>
      <c r="H15" s="225"/>
      <c r="I15" s="225"/>
      <c r="J15" s="225"/>
      <c r="K15" s="225"/>
      <c r="L15" s="225"/>
      <c r="M15" s="225"/>
    </row>
    <row r="16" spans="1:13" x14ac:dyDescent="0.35">
      <c r="A16" s="225"/>
      <c r="B16" s="225"/>
      <c r="C16" s="225"/>
      <c r="D16" s="225"/>
      <c r="E16" s="225"/>
      <c r="F16" s="225"/>
      <c r="G16" s="225"/>
      <c r="H16" s="225"/>
      <c r="I16" s="225"/>
      <c r="J16" s="225"/>
      <c r="K16" s="225"/>
      <c r="L16" s="225"/>
      <c r="M16" s="225"/>
    </row>
    <row r="17" spans="1:13" x14ac:dyDescent="0.35">
      <c r="A17" s="225"/>
      <c r="B17" s="225"/>
      <c r="C17" s="225"/>
      <c r="D17" s="225"/>
      <c r="E17" s="225"/>
      <c r="F17" s="225"/>
      <c r="G17" s="225"/>
      <c r="H17" s="225"/>
      <c r="I17" s="225"/>
      <c r="J17" s="225"/>
      <c r="K17" s="225"/>
      <c r="L17" s="225"/>
      <c r="M17" s="225"/>
    </row>
    <row r="18" spans="1:13" x14ac:dyDescent="0.35">
      <c r="A18" s="225"/>
      <c r="B18" s="225"/>
      <c r="C18" s="225"/>
      <c r="D18" s="225"/>
      <c r="E18" s="225"/>
      <c r="F18" s="225"/>
      <c r="G18" s="225"/>
      <c r="H18" s="225"/>
      <c r="I18" s="225"/>
      <c r="J18" s="225"/>
      <c r="K18" s="225"/>
      <c r="L18" s="225"/>
      <c r="M18" s="225"/>
    </row>
    <row r="19" spans="1:13" x14ac:dyDescent="0.35">
      <c r="A19" s="225"/>
      <c r="B19" s="225"/>
      <c r="C19" s="225"/>
      <c r="D19" s="225"/>
      <c r="E19" s="225"/>
      <c r="F19" s="225"/>
      <c r="G19" s="225"/>
      <c r="H19" s="225"/>
      <c r="I19" s="225"/>
      <c r="J19" s="225"/>
      <c r="K19" s="225"/>
      <c r="L19" s="225"/>
      <c r="M19" s="225"/>
    </row>
    <row r="20" spans="1:13" ht="15" thickBot="1" x14ac:dyDescent="0.4">
      <c r="A20" s="420" t="s">
        <v>66</v>
      </c>
      <c r="B20" s="420"/>
      <c r="C20" s="225"/>
      <c r="D20" s="225"/>
      <c r="E20" s="407" t="s">
        <v>67</v>
      </c>
      <c r="F20" s="407"/>
      <c r="G20" s="49"/>
      <c r="H20" s="49"/>
      <c r="I20" s="408"/>
      <c r="J20" s="408"/>
      <c r="K20" s="221"/>
      <c r="L20" s="222"/>
      <c r="M20" s="222"/>
    </row>
    <row r="21" spans="1:13" ht="15" thickTop="1" x14ac:dyDescent="0.35">
      <c r="A21" s="421" t="s">
        <v>69</v>
      </c>
      <c r="B21" s="421"/>
      <c r="D21" s="30"/>
      <c r="E21" s="410" t="s">
        <v>70</v>
      </c>
      <c r="F21" s="410"/>
      <c r="G21" s="410" t="s">
        <v>71</v>
      </c>
      <c r="H21" s="410"/>
      <c r="I21" s="222"/>
      <c r="J21" s="222"/>
      <c r="K21" s="222" t="s">
        <v>72</v>
      </c>
      <c r="L21" s="224"/>
      <c r="M21" s="224"/>
    </row>
    <row r="22" spans="1:13" x14ac:dyDescent="0.35">
      <c r="A22" s="414" t="s">
        <v>92</v>
      </c>
      <c r="B22" s="414"/>
      <c r="D22" s="226"/>
      <c r="E22" s="414" t="s">
        <v>73</v>
      </c>
      <c r="F22" s="414"/>
      <c r="G22" s="414" t="s">
        <v>74</v>
      </c>
      <c r="H22" s="414"/>
      <c r="I22" s="224"/>
      <c r="J22" s="224"/>
      <c r="K22" s="224" t="s">
        <v>75</v>
      </c>
      <c r="L22" s="223"/>
      <c r="M22" s="223"/>
    </row>
    <row r="23" spans="1:13" x14ac:dyDescent="0.35">
      <c r="A23" s="412" t="s">
        <v>94</v>
      </c>
      <c r="B23" s="412"/>
      <c r="D23" s="227"/>
      <c r="E23" s="414" t="s">
        <v>78</v>
      </c>
      <c r="F23" s="414"/>
      <c r="G23" s="414" t="s">
        <v>414</v>
      </c>
      <c r="H23" s="414"/>
      <c r="I23" s="223"/>
      <c r="J23" s="223"/>
      <c r="K23" s="223" t="s">
        <v>80</v>
      </c>
      <c r="L23" s="227"/>
      <c r="M23" s="227"/>
    </row>
    <row r="24" spans="1:13" x14ac:dyDescent="0.35">
      <c r="A24" s="412" t="s">
        <v>76</v>
      </c>
      <c r="B24" s="412"/>
      <c r="D24" s="227"/>
      <c r="E24" s="412" t="s">
        <v>76</v>
      </c>
      <c r="F24" s="412"/>
      <c r="G24" s="412" t="s">
        <v>76</v>
      </c>
      <c r="H24" s="412"/>
      <c r="I24" s="223"/>
      <c r="J24" s="223"/>
      <c r="K24" s="22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sheetData>
  <mergeCells count="42">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A20:B20"/>
    <mergeCell ref="E20:F20"/>
    <mergeCell ref="I20:J20"/>
    <mergeCell ref="A21:B21"/>
    <mergeCell ref="E21:F21"/>
    <mergeCell ref="G21:H21"/>
    <mergeCell ref="A22:B22"/>
    <mergeCell ref="E22:F22"/>
    <mergeCell ref="G22:H22"/>
    <mergeCell ref="A23:B23"/>
    <mergeCell ref="E23:F23"/>
    <mergeCell ref="G23:H23"/>
    <mergeCell ref="G24:H24"/>
    <mergeCell ref="A30:B30"/>
    <mergeCell ref="C30:E30"/>
    <mergeCell ref="A31:B31"/>
    <mergeCell ref="C31:E31"/>
    <mergeCell ref="A32:B32"/>
    <mergeCell ref="C32:E32"/>
    <mergeCell ref="A33:B33"/>
    <mergeCell ref="C33:E33"/>
    <mergeCell ref="A24:B24"/>
    <mergeCell ref="E24:F24"/>
  </mergeCells>
  <pageMargins left="0.25" right="0.25" top="0.75" bottom="0.75" header="0.3" footer="0.3"/>
  <pageSetup paperSize="9" scale="80" orientation="landscape"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5828-DD62-4916-940F-719DE6E23DA0}">
  <sheetPr>
    <pageSetUpPr fitToPage="1"/>
  </sheetPr>
  <dimension ref="A1:M44"/>
  <sheetViews>
    <sheetView workbookViewId="0">
      <selection sqref="A1:M4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 customHeight="1" x14ac:dyDescent="0.35">
      <c r="A1" s="402" t="s">
        <v>519</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535</v>
      </c>
      <c r="D4" s="394"/>
      <c r="E4" s="394"/>
      <c r="F4" s="394"/>
      <c r="G4" s="394"/>
      <c r="H4" s="394"/>
      <c r="I4" s="394"/>
      <c r="J4" s="394"/>
      <c r="K4" s="394"/>
      <c r="L4" s="394"/>
      <c r="M4" s="395"/>
    </row>
    <row r="5" spans="1:13" x14ac:dyDescent="0.35">
      <c r="A5" s="384" t="s">
        <v>5</v>
      </c>
      <c r="B5" s="385"/>
      <c r="C5" s="387">
        <v>46058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537</v>
      </c>
      <c r="C11" s="2" t="s">
        <v>12</v>
      </c>
      <c r="D11" s="2" t="s">
        <v>13</v>
      </c>
      <c r="E11" s="2" t="s">
        <v>14</v>
      </c>
      <c r="F11" s="3" t="s">
        <v>15</v>
      </c>
      <c r="G11" s="3" t="s">
        <v>16</v>
      </c>
      <c r="H11" s="3" t="s">
        <v>17</v>
      </c>
      <c r="I11" s="3" t="s">
        <v>526</v>
      </c>
      <c r="J11" s="3" t="s">
        <v>18</v>
      </c>
      <c r="K11" s="3" t="s">
        <v>19</v>
      </c>
      <c r="L11" s="3" t="s">
        <v>20</v>
      </c>
      <c r="M11" s="4" t="s">
        <v>21</v>
      </c>
    </row>
    <row r="12" spans="1:13" x14ac:dyDescent="0.35">
      <c r="A12" s="5">
        <v>1</v>
      </c>
      <c r="B12" s="69" t="s">
        <v>530</v>
      </c>
      <c r="C12" s="69" t="s">
        <v>332</v>
      </c>
      <c r="D12" s="70" t="s">
        <v>531</v>
      </c>
      <c r="E12" s="70" t="s">
        <v>24</v>
      </c>
      <c r="F12" s="68" t="s">
        <v>44</v>
      </c>
      <c r="G12" s="68" t="s">
        <v>532</v>
      </c>
      <c r="H12" s="79">
        <v>10000</v>
      </c>
      <c r="I12" s="82" t="s">
        <v>97</v>
      </c>
      <c r="J12" s="82" t="s">
        <v>97</v>
      </c>
      <c r="K12" s="11" t="s">
        <v>97</v>
      </c>
      <c r="L12" s="79" t="s">
        <v>97</v>
      </c>
      <c r="M12" s="84" t="s">
        <v>533</v>
      </c>
    </row>
    <row r="13" spans="1:13" x14ac:dyDescent="0.35">
      <c r="A13" s="415" t="s">
        <v>8</v>
      </c>
      <c r="B13" s="415"/>
      <c r="C13" s="415"/>
      <c r="D13" s="415"/>
      <c r="E13" s="415"/>
      <c r="F13" s="415"/>
      <c r="G13" s="415"/>
      <c r="H13" s="81">
        <f>SUM(H12:H12)</f>
        <v>10000</v>
      </c>
      <c r="I13" s="24"/>
      <c r="J13" s="25"/>
      <c r="K13" s="43"/>
      <c r="L13" s="225"/>
      <c r="M13" s="225"/>
    </row>
    <row r="14" spans="1:13" x14ac:dyDescent="0.35">
      <c r="A14" s="225"/>
      <c r="B14" s="225"/>
      <c r="C14" s="225"/>
      <c r="D14" s="225"/>
      <c r="E14" s="225"/>
      <c r="F14" s="225"/>
      <c r="G14" s="225"/>
      <c r="H14" s="225"/>
      <c r="I14" s="225"/>
      <c r="J14" s="225"/>
      <c r="K14" s="225"/>
      <c r="L14" s="225"/>
      <c r="M14" s="225"/>
    </row>
    <row r="15" spans="1:13" x14ac:dyDescent="0.35">
      <c r="A15" s="225"/>
      <c r="B15" s="225" t="s">
        <v>538</v>
      </c>
      <c r="C15" s="225"/>
      <c r="D15" s="225"/>
      <c r="E15" s="225"/>
      <c r="F15" s="225"/>
      <c r="G15" s="225"/>
      <c r="H15" s="225"/>
      <c r="I15" s="225"/>
      <c r="J15" s="225"/>
      <c r="K15" s="225"/>
      <c r="L15" s="225"/>
      <c r="M15" s="225"/>
    </row>
    <row r="16" spans="1:13" x14ac:dyDescent="0.35">
      <c r="A16" s="225"/>
      <c r="B16" s="225"/>
      <c r="C16" s="225"/>
      <c r="D16" s="225"/>
      <c r="E16" s="225"/>
      <c r="F16" s="225"/>
      <c r="G16" s="225"/>
      <c r="H16" s="225"/>
      <c r="I16" s="225"/>
      <c r="J16" s="225"/>
      <c r="K16" s="225"/>
      <c r="L16" s="225"/>
      <c r="M16" s="225"/>
    </row>
    <row r="17" spans="1:13" x14ac:dyDescent="0.35">
      <c r="A17" s="225"/>
      <c r="B17" s="225"/>
      <c r="C17" s="225"/>
      <c r="D17" s="225"/>
      <c r="E17" s="225"/>
      <c r="F17" s="225"/>
      <c r="G17" s="225"/>
      <c r="H17" s="225"/>
      <c r="I17" s="225"/>
      <c r="J17" s="225"/>
      <c r="K17" s="225"/>
      <c r="L17" s="225"/>
      <c r="M17" s="225"/>
    </row>
    <row r="18" spans="1:13" x14ac:dyDescent="0.35">
      <c r="A18" s="225"/>
      <c r="B18" s="225"/>
      <c r="C18" s="225"/>
      <c r="D18" s="225"/>
      <c r="E18" s="225"/>
      <c r="F18" s="225"/>
      <c r="G18" s="225"/>
      <c r="H18" s="225"/>
      <c r="I18" s="225"/>
      <c r="J18" s="225"/>
      <c r="K18" s="225"/>
      <c r="L18" s="225"/>
      <c r="M18" s="225"/>
    </row>
    <row r="19" spans="1:13" x14ac:dyDescent="0.35">
      <c r="A19" s="225"/>
      <c r="B19" s="225"/>
      <c r="C19" s="225"/>
      <c r="D19" s="225"/>
      <c r="E19" s="225"/>
      <c r="F19" s="225"/>
      <c r="G19" s="225"/>
      <c r="H19" s="225"/>
      <c r="I19" s="225"/>
      <c r="J19" s="225"/>
      <c r="K19" s="225"/>
      <c r="L19" s="225"/>
      <c r="M19" s="225"/>
    </row>
    <row r="20" spans="1:13" ht="15" thickBot="1" x14ac:dyDescent="0.4">
      <c r="A20" s="420" t="s">
        <v>66</v>
      </c>
      <c r="B20" s="420"/>
      <c r="C20" s="225"/>
      <c r="D20" s="225"/>
      <c r="E20" s="407" t="s">
        <v>67</v>
      </c>
      <c r="F20" s="407"/>
      <c r="G20" s="49"/>
      <c r="H20" s="49"/>
      <c r="I20" s="408"/>
      <c r="J20" s="408"/>
      <c r="K20" s="221"/>
      <c r="L20" s="222"/>
      <c r="M20" s="222"/>
    </row>
    <row r="21" spans="1:13" ht="15" thickTop="1" x14ac:dyDescent="0.35">
      <c r="A21" s="421" t="s">
        <v>69</v>
      </c>
      <c r="B21" s="421"/>
      <c r="D21" s="30"/>
      <c r="E21" s="410" t="s">
        <v>70</v>
      </c>
      <c r="F21" s="410"/>
      <c r="G21" s="410" t="s">
        <v>71</v>
      </c>
      <c r="H21" s="410"/>
      <c r="I21" s="222"/>
      <c r="J21" s="222"/>
      <c r="K21" s="222" t="s">
        <v>72</v>
      </c>
      <c r="L21" s="224"/>
      <c r="M21" s="224"/>
    </row>
    <row r="22" spans="1:13" x14ac:dyDescent="0.35">
      <c r="A22" s="414" t="s">
        <v>92</v>
      </c>
      <c r="B22" s="414"/>
      <c r="D22" s="226"/>
      <c r="E22" s="414" t="s">
        <v>73</v>
      </c>
      <c r="F22" s="414"/>
      <c r="G22" s="414" t="s">
        <v>74</v>
      </c>
      <c r="H22" s="414"/>
      <c r="I22" s="224"/>
      <c r="J22" s="224"/>
      <c r="K22" s="224" t="s">
        <v>75</v>
      </c>
      <c r="L22" s="223"/>
      <c r="M22" s="223"/>
    </row>
    <row r="23" spans="1:13" x14ac:dyDescent="0.35">
      <c r="A23" s="412" t="s">
        <v>94</v>
      </c>
      <c r="B23" s="412"/>
      <c r="D23" s="227"/>
      <c r="E23" s="414" t="s">
        <v>78</v>
      </c>
      <c r="F23" s="414"/>
      <c r="G23" s="414" t="s">
        <v>414</v>
      </c>
      <c r="H23" s="414"/>
      <c r="I23" s="223"/>
      <c r="J23" s="223"/>
      <c r="K23" s="223" t="s">
        <v>80</v>
      </c>
      <c r="L23" s="227"/>
      <c r="M23" s="227"/>
    </row>
    <row r="24" spans="1:13" x14ac:dyDescent="0.35">
      <c r="A24" s="412" t="s">
        <v>76</v>
      </c>
      <c r="B24" s="412"/>
      <c r="D24" s="227"/>
      <c r="E24" s="412" t="s">
        <v>76</v>
      </c>
      <c r="F24" s="412"/>
      <c r="G24" s="412" t="s">
        <v>76</v>
      </c>
      <c r="H24" s="412"/>
      <c r="I24" s="223"/>
      <c r="J24" s="223"/>
      <c r="K24" s="223"/>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row r="40" spans="1:5" x14ac:dyDescent="0.35">
      <c r="B40" s="453" t="s">
        <v>355</v>
      </c>
      <c r="C40" s="453"/>
    </row>
    <row r="41" spans="1:5" x14ac:dyDescent="0.35">
      <c r="B41" s="111" t="s">
        <v>7</v>
      </c>
      <c r="C41" s="111" t="s">
        <v>356</v>
      </c>
    </row>
    <row r="42" spans="1:5" x14ac:dyDescent="0.35">
      <c r="B42" s="111" t="s">
        <v>305</v>
      </c>
      <c r="C42" s="111">
        <v>559</v>
      </c>
    </row>
    <row r="43" spans="1:5" x14ac:dyDescent="0.35">
      <c r="B43" s="111" t="s">
        <v>307</v>
      </c>
      <c r="C43" s="111" t="s">
        <v>308</v>
      </c>
    </row>
    <row r="44" spans="1:5" x14ac:dyDescent="0.35">
      <c r="B44" s="111" t="s">
        <v>309</v>
      </c>
      <c r="C44" s="112" t="s">
        <v>357</v>
      </c>
    </row>
  </sheetData>
  <mergeCells count="43">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A20:B20"/>
    <mergeCell ref="E20:F20"/>
    <mergeCell ref="I20:J20"/>
    <mergeCell ref="A21:B21"/>
    <mergeCell ref="E21:F21"/>
    <mergeCell ref="G21:H21"/>
    <mergeCell ref="A31:B31"/>
    <mergeCell ref="C31:E31"/>
    <mergeCell ref="A22:B22"/>
    <mergeCell ref="E22:F22"/>
    <mergeCell ref="G22:H22"/>
    <mergeCell ref="A23:B23"/>
    <mergeCell ref="E23:F23"/>
    <mergeCell ref="G23:H23"/>
    <mergeCell ref="A24:B24"/>
    <mergeCell ref="E24:F24"/>
    <mergeCell ref="G24:H24"/>
    <mergeCell ref="A30:B30"/>
    <mergeCell ref="C30:E30"/>
    <mergeCell ref="A32:B32"/>
    <mergeCell ref="C32:E32"/>
    <mergeCell ref="A33:B33"/>
    <mergeCell ref="C33:E33"/>
    <mergeCell ref="B40:C40"/>
  </mergeCells>
  <printOptions horizontalCentered="1" verticalCentered="1"/>
  <pageMargins left="0.25" right="0.25" top="0.75" bottom="0.75" header="0.3" footer="0.3"/>
  <pageSetup paperSize="9" scale="69" orientation="landscape"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228E-ADD0-4B78-BFAE-4B35A688E3FB}">
  <sheetPr>
    <pageSetUpPr fitToPage="1"/>
  </sheetPr>
  <dimension ref="A1:M44"/>
  <sheetViews>
    <sheetView workbookViewId="0">
      <selection activeCell="B40" sqref="B40:C44"/>
    </sheetView>
  </sheetViews>
  <sheetFormatPr defaultRowHeight="14.5" x14ac:dyDescent="0.35"/>
  <cols>
    <col min="1" max="1" width="5.7265625" bestFit="1" customWidth="1"/>
    <col min="2" max="2" width="33.7265625" customWidth="1"/>
    <col min="3" max="3" width="19.08984375"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0.5" customHeight="1" x14ac:dyDescent="0.35">
      <c r="A1" s="402" t="s">
        <v>519</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535</v>
      </c>
      <c r="D4" s="394"/>
      <c r="E4" s="394"/>
      <c r="F4" s="394"/>
      <c r="G4" s="394"/>
      <c r="H4" s="394"/>
      <c r="I4" s="394"/>
      <c r="J4" s="394"/>
      <c r="K4" s="394"/>
      <c r="L4" s="394"/>
      <c r="M4" s="395"/>
    </row>
    <row r="5" spans="1:13" x14ac:dyDescent="0.35">
      <c r="A5" s="384" t="s">
        <v>5</v>
      </c>
      <c r="B5" s="385"/>
      <c r="C5" s="387">
        <v>46083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537</v>
      </c>
      <c r="C11" s="2" t="s">
        <v>12</v>
      </c>
      <c r="D11" s="2" t="s">
        <v>13</v>
      </c>
      <c r="E11" s="2" t="s">
        <v>14</v>
      </c>
      <c r="F11" s="3" t="s">
        <v>15</v>
      </c>
      <c r="G11" s="3" t="s">
        <v>16</v>
      </c>
      <c r="H11" s="3" t="s">
        <v>17</v>
      </c>
      <c r="I11" s="3" t="s">
        <v>526</v>
      </c>
      <c r="J11" s="3" t="s">
        <v>18</v>
      </c>
      <c r="K11" s="3" t="s">
        <v>19</v>
      </c>
      <c r="L11" s="3" t="s">
        <v>20</v>
      </c>
      <c r="M11" s="4" t="s">
        <v>21</v>
      </c>
    </row>
    <row r="12" spans="1:13" x14ac:dyDescent="0.35">
      <c r="A12" s="5">
        <v>1</v>
      </c>
      <c r="B12" s="69" t="s">
        <v>530</v>
      </c>
      <c r="C12" s="69" t="s">
        <v>332</v>
      </c>
      <c r="D12" s="70" t="s">
        <v>531</v>
      </c>
      <c r="E12" s="70" t="s">
        <v>24</v>
      </c>
      <c r="F12" s="68" t="s">
        <v>44</v>
      </c>
      <c r="G12" s="68" t="s">
        <v>532</v>
      </c>
      <c r="H12" s="79">
        <v>10000</v>
      </c>
      <c r="I12" s="82" t="s">
        <v>97</v>
      </c>
      <c r="J12" s="82" t="s">
        <v>97</v>
      </c>
      <c r="K12" s="11" t="s">
        <v>97</v>
      </c>
      <c r="L12" s="79" t="s">
        <v>97</v>
      </c>
      <c r="M12" s="84" t="s">
        <v>533</v>
      </c>
    </row>
    <row r="13" spans="1:13" x14ac:dyDescent="0.35">
      <c r="A13" s="415" t="s">
        <v>8</v>
      </c>
      <c r="B13" s="415"/>
      <c r="C13" s="415"/>
      <c r="D13" s="415"/>
      <c r="E13" s="415"/>
      <c r="F13" s="415"/>
      <c r="G13" s="415"/>
      <c r="H13" s="81">
        <f>SUM(H12:H12)</f>
        <v>10000</v>
      </c>
      <c r="I13" s="24"/>
      <c r="J13" s="25"/>
      <c r="K13" s="43"/>
      <c r="L13" s="253"/>
      <c r="M13" s="253"/>
    </row>
    <row r="14" spans="1:13" x14ac:dyDescent="0.35">
      <c r="A14" s="253"/>
      <c r="B14" s="253"/>
      <c r="C14" s="253"/>
      <c r="D14" s="253"/>
      <c r="E14" s="253"/>
      <c r="F14" s="253"/>
      <c r="G14" s="253"/>
      <c r="H14" s="253"/>
      <c r="I14" s="253"/>
      <c r="J14" s="253"/>
      <c r="K14" s="253"/>
      <c r="L14" s="253"/>
      <c r="M14" s="253"/>
    </row>
    <row r="15" spans="1:13" x14ac:dyDescent="0.35">
      <c r="A15" s="253"/>
      <c r="B15" s="253" t="s">
        <v>538</v>
      </c>
      <c r="C15" s="253"/>
      <c r="D15" s="253"/>
      <c r="E15" s="253"/>
      <c r="F15" s="253"/>
      <c r="G15" s="253"/>
      <c r="H15" s="253"/>
      <c r="I15" s="253"/>
      <c r="J15" s="253"/>
      <c r="K15" s="253"/>
      <c r="L15" s="253"/>
      <c r="M15" s="253"/>
    </row>
    <row r="16" spans="1:13" x14ac:dyDescent="0.35">
      <c r="A16" s="253"/>
      <c r="B16" s="253"/>
      <c r="C16" s="253"/>
      <c r="D16" s="253"/>
      <c r="E16" s="253"/>
      <c r="F16" s="253"/>
      <c r="G16" s="253"/>
      <c r="H16" s="253"/>
      <c r="I16" s="253"/>
      <c r="J16" s="253"/>
      <c r="K16" s="253"/>
      <c r="L16" s="253"/>
      <c r="M16" s="253"/>
    </row>
    <row r="17" spans="1:13" x14ac:dyDescent="0.35">
      <c r="A17" s="253"/>
      <c r="B17" s="253"/>
      <c r="C17" s="253"/>
      <c r="D17" s="253"/>
      <c r="E17" s="253"/>
      <c r="F17" s="253"/>
      <c r="G17" s="253"/>
      <c r="H17" s="253"/>
      <c r="I17" s="253"/>
      <c r="J17" s="253"/>
      <c r="K17" s="253"/>
      <c r="L17" s="253"/>
      <c r="M17" s="253"/>
    </row>
    <row r="18" spans="1:13" x14ac:dyDescent="0.35">
      <c r="A18" s="253"/>
      <c r="B18" s="253"/>
      <c r="C18" s="253"/>
      <c r="D18" s="253"/>
      <c r="E18" s="253"/>
      <c r="F18" s="253"/>
      <c r="G18" s="253"/>
      <c r="H18" s="253"/>
      <c r="I18" s="253"/>
      <c r="J18" s="253"/>
      <c r="K18" s="253"/>
      <c r="L18" s="253"/>
      <c r="M18" s="253"/>
    </row>
    <row r="19" spans="1:13" x14ac:dyDescent="0.35">
      <c r="A19" s="253"/>
      <c r="B19" s="253"/>
      <c r="C19" s="253"/>
      <c r="D19" s="253"/>
      <c r="E19" s="253"/>
      <c r="F19" s="253"/>
      <c r="G19" s="253"/>
      <c r="H19" s="253"/>
      <c r="I19" s="253"/>
      <c r="J19" s="253"/>
      <c r="K19" s="253"/>
      <c r="L19" s="253"/>
      <c r="M19" s="253"/>
    </row>
    <row r="20" spans="1:13" ht="15" thickBot="1" x14ac:dyDescent="0.4">
      <c r="A20" s="420" t="s">
        <v>66</v>
      </c>
      <c r="B20" s="420"/>
      <c r="C20" s="253"/>
      <c r="D20" s="253"/>
      <c r="E20" s="407" t="s">
        <v>67</v>
      </c>
      <c r="F20" s="407"/>
      <c r="G20" s="49"/>
      <c r="H20" s="49"/>
      <c r="I20" s="408"/>
      <c r="J20" s="408"/>
      <c r="K20" s="251"/>
      <c r="L20" s="252"/>
      <c r="M20" s="252"/>
    </row>
    <row r="21" spans="1:13" ht="15" thickTop="1" x14ac:dyDescent="0.35">
      <c r="A21" s="421" t="s">
        <v>69</v>
      </c>
      <c r="B21" s="421"/>
      <c r="D21" s="30"/>
      <c r="E21" s="410" t="s">
        <v>70</v>
      </c>
      <c r="F21" s="410"/>
      <c r="G21" s="410" t="s">
        <v>71</v>
      </c>
      <c r="H21" s="410"/>
      <c r="I21" s="252"/>
      <c r="J21" s="252"/>
      <c r="K21" s="252" t="s">
        <v>72</v>
      </c>
      <c r="L21" s="250"/>
      <c r="M21" s="250"/>
    </row>
    <row r="22" spans="1:13" x14ac:dyDescent="0.35">
      <c r="A22" s="414" t="s">
        <v>92</v>
      </c>
      <c r="B22" s="414"/>
      <c r="D22" s="254"/>
      <c r="E22" s="414" t="s">
        <v>73</v>
      </c>
      <c r="F22" s="414"/>
      <c r="G22" s="414" t="s">
        <v>74</v>
      </c>
      <c r="H22" s="414"/>
      <c r="I22" s="250"/>
      <c r="J22" s="250"/>
      <c r="K22" s="250" t="s">
        <v>75</v>
      </c>
      <c r="L22" s="249"/>
      <c r="M22" s="249"/>
    </row>
    <row r="23" spans="1:13" x14ac:dyDescent="0.35">
      <c r="A23" s="412" t="s">
        <v>94</v>
      </c>
      <c r="B23" s="412"/>
      <c r="D23" s="255"/>
      <c r="E23" s="414" t="s">
        <v>78</v>
      </c>
      <c r="F23" s="414"/>
      <c r="G23" s="414" t="s">
        <v>414</v>
      </c>
      <c r="H23" s="414"/>
      <c r="I23" s="249"/>
      <c r="J23" s="249"/>
      <c r="K23" s="249" t="s">
        <v>80</v>
      </c>
      <c r="L23" s="255"/>
      <c r="M23" s="255"/>
    </row>
    <row r="24" spans="1:13" x14ac:dyDescent="0.35">
      <c r="A24" s="412" t="s">
        <v>76</v>
      </c>
      <c r="B24" s="412"/>
      <c r="D24" s="255"/>
      <c r="E24" s="412" t="s">
        <v>76</v>
      </c>
      <c r="F24" s="412"/>
      <c r="G24" s="412" t="s">
        <v>76</v>
      </c>
      <c r="H24" s="412"/>
      <c r="I24" s="249"/>
      <c r="J24" s="249"/>
      <c r="K24" s="249"/>
    </row>
    <row r="29" spans="1:13" ht="15" thickBot="1" x14ac:dyDescent="0.4"/>
    <row r="30" spans="1:13" ht="15" thickTop="1" x14ac:dyDescent="0.35">
      <c r="A30" s="417" t="s">
        <v>114</v>
      </c>
      <c r="B30" s="417"/>
      <c r="C30" s="429" t="s">
        <v>282</v>
      </c>
      <c r="D30" s="429"/>
      <c r="E30" s="429"/>
    </row>
    <row r="31" spans="1:13" x14ac:dyDescent="0.35">
      <c r="A31" s="418" t="s">
        <v>115</v>
      </c>
      <c r="B31" s="418"/>
      <c r="C31" s="430" t="s">
        <v>7</v>
      </c>
      <c r="D31" s="430"/>
      <c r="E31" s="430"/>
    </row>
    <row r="32" spans="1:13" x14ac:dyDescent="0.35">
      <c r="A32" s="422" t="s">
        <v>116</v>
      </c>
      <c r="B32" s="418"/>
      <c r="C32" s="431" t="s">
        <v>77</v>
      </c>
      <c r="D32" s="431"/>
      <c r="E32" s="431"/>
    </row>
    <row r="33" spans="1:5" x14ac:dyDescent="0.35">
      <c r="A33" s="416" t="s">
        <v>117</v>
      </c>
      <c r="B33" s="416"/>
      <c r="C33" s="412" t="s">
        <v>81</v>
      </c>
      <c r="D33" s="412"/>
      <c r="E33" s="412"/>
    </row>
    <row r="40" spans="1:5" x14ac:dyDescent="0.35">
      <c r="B40" s="453" t="s">
        <v>355</v>
      </c>
      <c r="C40" s="453"/>
    </row>
    <row r="41" spans="1:5" x14ac:dyDescent="0.35">
      <c r="B41" s="111" t="s">
        <v>7</v>
      </c>
      <c r="C41" s="111" t="s">
        <v>356</v>
      </c>
    </row>
    <row r="42" spans="1:5" x14ac:dyDescent="0.35">
      <c r="B42" s="111" t="s">
        <v>305</v>
      </c>
      <c r="C42" s="111">
        <v>559</v>
      </c>
    </row>
    <row r="43" spans="1:5" x14ac:dyDescent="0.35">
      <c r="B43" s="111" t="s">
        <v>307</v>
      </c>
      <c r="C43" s="111" t="s">
        <v>308</v>
      </c>
    </row>
    <row r="44" spans="1:5" x14ac:dyDescent="0.35">
      <c r="B44" s="111" t="s">
        <v>309</v>
      </c>
      <c r="C44" s="112" t="s">
        <v>357</v>
      </c>
    </row>
  </sheetData>
  <mergeCells count="43">
    <mergeCell ref="A32:B32"/>
    <mergeCell ref="C32:E32"/>
    <mergeCell ref="A33:B33"/>
    <mergeCell ref="C33:E33"/>
    <mergeCell ref="B40:C40"/>
    <mergeCell ref="A31:B31"/>
    <mergeCell ref="C31:E31"/>
    <mergeCell ref="A22:B22"/>
    <mergeCell ref="E22:F22"/>
    <mergeCell ref="G22:H22"/>
    <mergeCell ref="A23:B23"/>
    <mergeCell ref="E23:F23"/>
    <mergeCell ref="G23:H23"/>
    <mergeCell ref="A24:B24"/>
    <mergeCell ref="E24:F24"/>
    <mergeCell ref="G24:H24"/>
    <mergeCell ref="A30:B30"/>
    <mergeCell ref="C30:E30"/>
    <mergeCell ref="A20:B20"/>
    <mergeCell ref="E20:F20"/>
    <mergeCell ref="I20:J20"/>
    <mergeCell ref="A21:B21"/>
    <mergeCell ref="E21:F21"/>
    <mergeCell ref="G21:H21"/>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69" orientation="landscape"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CAE6-6204-4E78-96B2-1D11AA1EC4E3}">
  <sheetPr filterMode="1">
    <pageSetUpPr fitToPage="1"/>
  </sheetPr>
  <dimension ref="A1:M59"/>
  <sheetViews>
    <sheetView topLeftCell="A15" workbookViewId="0">
      <selection sqref="A1:M59"/>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40" customHeight="1" x14ac:dyDescent="0.35">
      <c r="A1" s="402" t="s">
        <v>0</v>
      </c>
      <c r="B1" s="402"/>
      <c r="C1" s="402"/>
      <c r="D1" s="402"/>
      <c r="E1" s="402"/>
      <c r="F1" s="402"/>
      <c r="G1" s="402"/>
      <c r="H1" s="402"/>
      <c r="I1" s="402"/>
      <c r="J1" s="402"/>
      <c r="K1" s="402"/>
      <c r="L1" s="402"/>
      <c r="M1" s="402"/>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542</v>
      </c>
      <c r="D4" s="394"/>
      <c r="E4" s="394"/>
      <c r="F4" s="394"/>
      <c r="G4" s="394"/>
      <c r="H4" s="394"/>
      <c r="I4" s="394"/>
      <c r="J4" s="394"/>
      <c r="K4" s="394"/>
      <c r="L4" s="394"/>
      <c r="M4" s="395"/>
    </row>
    <row r="5" spans="1:13" x14ac:dyDescent="0.35">
      <c r="A5" s="384" t="s">
        <v>5</v>
      </c>
      <c r="B5" s="385"/>
      <c r="C5" s="387">
        <v>46077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H39</f>
        <v>519000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539</v>
      </c>
      <c r="J11" s="3" t="s">
        <v>18</v>
      </c>
      <c r="K11" s="3" t="s">
        <v>19</v>
      </c>
      <c r="L11" s="3" t="s">
        <v>20</v>
      </c>
      <c r="M11" s="4" t="s">
        <v>21</v>
      </c>
    </row>
    <row r="12" spans="1:13" x14ac:dyDescent="0.35">
      <c r="A12" s="5">
        <v>1</v>
      </c>
      <c r="B12" s="69" t="s">
        <v>119</v>
      </c>
      <c r="C12" s="69" t="s">
        <v>49</v>
      </c>
      <c r="D12" s="70" t="s">
        <v>63</v>
      </c>
      <c r="E12" s="70" t="s">
        <v>24</v>
      </c>
      <c r="F12" s="68" t="s">
        <v>25</v>
      </c>
      <c r="G12" s="68" t="s">
        <v>65</v>
      </c>
      <c r="H12" s="79">
        <v>60000</v>
      </c>
      <c r="I12" s="82">
        <v>87742</v>
      </c>
      <c r="J12" s="82">
        <v>91242</v>
      </c>
      <c r="K12" s="11">
        <v>46067</v>
      </c>
      <c r="L12" s="79">
        <v>60000</v>
      </c>
      <c r="M12" s="84" t="s">
        <v>176</v>
      </c>
    </row>
    <row r="13" spans="1:13" x14ac:dyDescent="0.35">
      <c r="A13" s="5">
        <v>2</v>
      </c>
      <c r="B13" s="71" t="s">
        <v>227</v>
      </c>
      <c r="C13" s="72" t="s">
        <v>49</v>
      </c>
      <c r="D13" s="73" t="s">
        <v>54</v>
      </c>
      <c r="E13" s="44" t="s">
        <v>24</v>
      </c>
      <c r="F13" s="44" t="s">
        <v>25</v>
      </c>
      <c r="G13" s="73" t="s">
        <v>55</v>
      </c>
      <c r="H13" s="80">
        <v>5000</v>
      </c>
      <c r="I13" s="10">
        <v>41417</v>
      </c>
      <c r="J13" s="10">
        <v>41917</v>
      </c>
      <c r="K13" s="11">
        <v>46069</v>
      </c>
      <c r="L13" s="80">
        <v>5000</v>
      </c>
      <c r="M13" s="17" t="s">
        <v>204</v>
      </c>
    </row>
    <row r="14" spans="1:13" x14ac:dyDescent="0.35">
      <c r="A14" s="5">
        <v>3</v>
      </c>
      <c r="B14" s="16" t="s">
        <v>228</v>
      </c>
      <c r="C14" s="7" t="s">
        <v>49</v>
      </c>
      <c r="D14" s="8" t="s">
        <v>57</v>
      </c>
      <c r="E14" s="5" t="s">
        <v>24</v>
      </c>
      <c r="F14" s="5" t="s">
        <v>25</v>
      </c>
      <c r="G14" s="73" t="s">
        <v>359</v>
      </c>
      <c r="H14" s="80">
        <v>10000</v>
      </c>
      <c r="I14" s="10">
        <v>42493</v>
      </c>
      <c r="J14" s="10">
        <v>47293</v>
      </c>
      <c r="K14" s="11">
        <v>46054</v>
      </c>
      <c r="L14" s="80">
        <v>5000</v>
      </c>
      <c r="M14" s="17" t="s">
        <v>204</v>
      </c>
    </row>
    <row r="15" spans="1:13" x14ac:dyDescent="0.35">
      <c r="A15" s="5">
        <v>4</v>
      </c>
      <c r="B15" s="16" t="s">
        <v>231</v>
      </c>
      <c r="C15" s="7" t="s">
        <v>49</v>
      </c>
      <c r="D15" s="8" t="s">
        <v>60</v>
      </c>
      <c r="E15" s="5" t="s">
        <v>24</v>
      </c>
      <c r="F15" s="5" t="s">
        <v>25</v>
      </c>
      <c r="G15" s="8" t="s">
        <v>61</v>
      </c>
      <c r="H15" s="80">
        <v>10000</v>
      </c>
      <c r="I15" s="10">
        <v>33850</v>
      </c>
      <c r="J15" s="10">
        <v>39850</v>
      </c>
      <c r="K15" s="11">
        <v>46057</v>
      </c>
      <c r="L15" s="80">
        <v>5000</v>
      </c>
      <c r="M15" s="17" t="s">
        <v>132</v>
      </c>
    </row>
    <row r="16" spans="1:13" x14ac:dyDescent="0.35">
      <c r="A16" s="5">
        <v>5</v>
      </c>
      <c r="B16" s="71" t="s">
        <v>229</v>
      </c>
      <c r="C16" s="72" t="s">
        <v>49</v>
      </c>
      <c r="D16" s="44" t="s">
        <v>47</v>
      </c>
      <c r="E16" s="44" t="s">
        <v>24</v>
      </c>
      <c r="F16" s="44" t="s">
        <v>25</v>
      </c>
      <c r="G16" s="44" t="s">
        <v>102</v>
      </c>
      <c r="H16" s="80">
        <v>10000</v>
      </c>
      <c r="I16" s="10">
        <v>47834</v>
      </c>
      <c r="J16" s="10">
        <v>52234</v>
      </c>
      <c r="K16" s="11">
        <v>46057</v>
      </c>
      <c r="L16" s="80">
        <v>5000</v>
      </c>
      <c r="M16" s="17" t="s">
        <v>204</v>
      </c>
    </row>
    <row r="17" spans="1:13" x14ac:dyDescent="0.35">
      <c r="A17" s="5">
        <v>6</v>
      </c>
      <c r="B17" s="16" t="s">
        <v>230</v>
      </c>
      <c r="C17" s="7" t="s">
        <v>49</v>
      </c>
      <c r="D17" s="8" t="s">
        <v>50</v>
      </c>
      <c r="E17" s="5" t="s">
        <v>24</v>
      </c>
      <c r="F17" s="5" t="s">
        <v>25</v>
      </c>
      <c r="G17" s="8" t="s">
        <v>51</v>
      </c>
      <c r="H17" s="80">
        <v>20000</v>
      </c>
      <c r="I17" s="10">
        <v>26562</v>
      </c>
      <c r="J17" s="10">
        <v>32562</v>
      </c>
      <c r="K17" s="11">
        <v>46057</v>
      </c>
      <c r="L17" s="80">
        <v>20000</v>
      </c>
      <c r="M17" s="17" t="s">
        <v>132</v>
      </c>
    </row>
    <row r="18" spans="1:13" x14ac:dyDescent="0.35">
      <c r="A18" s="5">
        <v>7</v>
      </c>
      <c r="B18" s="71" t="s">
        <v>232</v>
      </c>
      <c r="C18" s="72" t="s">
        <v>233</v>
      </c>
      <c r="D18" s="44" t="s">
        <v>234</v>
      </c>
      <c r="E18" s="5" t="s">
        <v>24</v>
      </c>
      <c r="F18" s="5" t="s">
        <v>25</v>
      </c>
      <c r="G18" s="44" t="s">
        <v>235</v>
      </c>
      <c r="H18" s="80">
        <v>50000</v>
      </c>
      <c r="I18" s="10">
        <v>70456</v>
      </c>
      <c r="J18" s="10">
        <v>135911</v>
      </c>
      <c r="K18" s="11">
        <v>46069</v>
      </c>
      <c r="L18" s="80">
        <v>50000</v>
      </c>
      <c r="M18" s="17" t="s">
        <v>236</v>
      </c>
    </row>
    <row r="19" spans="1:13" x14ac:dyDescent="0.35">
      <c r="A19" s="5">
        <v>8</v>
      </c>
      <c r="B19" s="71" t="s">
        <v>30</v>
      </c>
      <c r="C19" s="72" t="s">
        <v>23</v>
      </c>
      <c r="D19" s="44" t="s">
        <v>31</v>
      </c>
      <c r="E19" s="44" t="s">
        <v>32</v>
      </c>
      <c r="F19" s="44" t="s">
        <v>25</v>
      </c>
      <c r="G19" s="44" t="s">
        <v>33</v>
      </c>
      <c r="H19" s="80">
        <v>50000</v>
      </c>
      <c r="I19" s="10">
        <v>58886</v>
      </c>
      <c r="J19" s="10">
        <v>90886</v>
      </c>
      <c r="K19" s="11">
        <v>46057</v>
      </c>
      <c r="L19" s="80">
        <v>40000</v>
      </c>
      <c r="M19" s="17" t="s">
        <v>104</v>
      </c>
    </row>
    <row r="20" spans="1:13" x14ac:dyDescent="0.35">
      <c r="A20" s="5">
        <v>9</v>
      </c>
      <c r="B20" s="71" t="s">
        <v>22</v>
      </c>
      <c r="C20" s="72" t="s">
        <v>23</v>
      </c>
      <c r="D20" s="44" t="s">
        <v>205</v>
      </c>
      <c r="E20" s="44" t="s">
        <v>24</v>
      </c>
      <c r="F20" s="44" t="s">
        <v>25</v>
      </c>
      <c r="G20" s="44" t="s">
        <v>105</v>
      </c>
      <c r="H20" s="80">
        <v>12000</v>
      </c>
      <c r="I20" s="10">
        <v>26306</v>
      </c>
      <c r="J20" s="10">
        <v>27306</v>
      </c>
      <c r="K20" s="11">
        <v>46072</v>
      </c>
      <c r="L20" s="80">
        <v>6000</v>
      </c>
      <c r="M20" s="17" t="s">
        <v>96</v>
      </c>
    </row>
    <row r="21" spans="1:13" x14ac:dyDescent="0.35">
      <c r="A21" s="5">
        <v>10</v>
      </c>
      <c r="B21" s="71" t="s">
        <v>36</v>
      </c>
      <c r="C21" s="72" t="s">
        <v>23</v>
      </c>
      <c r="D21" s="44">
        <v>1311</v>
      </c>
      <c r="E21" s="44" t="s">
        <v>24</v>
      </c>
      <c r="F21" s="44" t="s">
        <v>25</v>
      </c>
      <c r="G21" s="73" t="s">
        <v>37</v>
      </c>
      <c r="H21" s="80">
        <v>13000</v>
      </c>
      <c r="I21" s="10">
        <v>11300</v>
      </c>
      <c r="J21" s="10">
        <v>12377</v>
      </c>
      <c r="K21" s="11">
        <v>46071</v>
      </c>
      <c r="L21" s="80">
        <v>8000</v>
      </c>
      <c r="M21" s="17" t="s">
        <v>204</v>
      </c>
    </row>
    <row r="22" spans="1:13" x14ac:dyDescent="0.35">
      <c r="A22" s="5">
        <v>11</v>
      </c>
      <c r="B22" s="71" t="s">
        <v>38</v>
      </c>
      <c r="C22" s="72" t="s">
        <v>23</v>
      </c>
      <c r="D22" s="73" t="s">
        <v>39</v>
      </c>
      <c r="E22" s="44" t="s">
        <v>24</v>
      </c>
      <c r="F22" s="44" t="s">
        <v>25</v>
      </c>
      <c r="G22" s="73" t="s">
        <v>40</v>
      </c>
      <c r="H22" s="78">
        <v>10000</v>
      </c>
      <c r="I22" s="10">
        <v>10113</v>
      </c>
      <c r="J22" s="10">
        <v>11135</v>
      </c>
      <c r="K22" s="11">
        <v>46071</v>
      </c>
      <c r="L22" s="80">
        <v>5000</v>
      </c>
      <c r="M22" s="17" t="s">
        <v>154</v>
      </c>
    </row>
    <row r="23" spans="1:13" x14ac:dyDescent="0.35">
      <c r="A23" s="5">
        <v>12</v>
      </c>
      <c r="B23" s="97" t="s">
        <v>293</v>
      </c>
      <c r="C23" s="98" t="s">
        <v>23</v>
      </c>
      <c r="D23">
        <v>815</v>
      </c>
      <c r="E23" s="99" t="s">
        <v>24</v>
      </c>
      <c r="F23" s="99" t="s">
        <v>130</v>
      </c>
      <c r="G23" s="100" t="s">
        <v>287</v>
      </c>
      <c r="H23" s="245">
        <v>10000</v>
      </c>
      <c r="I23" s="102">
        <v>17100</v>
      </c>
      <c r="J23" s="102">
        <v>25630</v>
      </c>
      <c r="K23" s="103">
        <v>46060</v>
      </c>
      <c r="L23" s="145">
        <v>5000</v>
      </c>
      <c r="M23" s="64" t="s">
        <v>132</v>
      </c>
    </row>
    <row r="24" spans="1:13" x14ac:dyDescent="0.35">
      <c r="A24" s="5">
        <v>13</v>
      </c>
      <c r="B24" s="14" t="s">
        <v>373</v>
      </c>
      <c r="C24" s="7" t="s">
        <v>23</v>
      </c>
      <c r="D24" s="8">
        <v>1161</v>
      </c>
      <c r="E24" s="5" t="s">
        <v>24</v>
      </c>
      <c r="F24" s="5" t="s">
        <v>25</v>
      </c>
      <c r="G24" s="125" t="s">
        <v>374</v>
      </c>
      <c r="H24" s="245">
        <v>7000</v>
      </c>
      <c r="I24" s="10">
        <v>26100</v>
      </c>
      <c r="J24" s="10">
        <v>31514</v>
      </c>
      <c r="K24" s="124">
        <v>46060</v>
      </c>
      <c r="L24" s="145">
        <v>6000</v>
      </c>
      <c r="M24" s="48" t="s">
        <v>375</v>
      </c>
    </row>
    <row r="25" spans="1:13" x14ac:dyDescent="0.35">
      <c r="A25" s="5">
        <v>14</v>
      </c>
      <c r="B25" s="14" t="s">
        <v>398</v>
      </c>
      <c r="C25" s="7" t="s">
        <v>23</v>
      </c>
      <c r="D25" s="8">
        <v>741</v>
      </c>
      <c r="E25" s="5" t="s">
        <v>24</v>
      </c>
      <c r="F25" s="5" t="s">
        <v>25</v>
      </c>
      <c r="G25" s="125" t="s">
        <v>399</v>
      </c>
      <c r="H25" s="246">
        <v>10000</v>
      </c>
      <c r="I25" s="10">
        <v>18500</v>
      </c>
      <c r="J25" s="10">
        <v>23326</v>
      </c>
      <c r="K25" s="124">
        <v>46060</v>
      </c>
      <c r="L25" s="146">
        <v>6000</v>
      </c>
      <c r="M25" s="17" t="s">
        <v>204</v>
      </c>
    </row>
    <row r="26" spans="1:13" x14ac:dyDescent="0.35">
      <c r="A26" s="5">
        <v>15</v>
      </c>
      <c r="B26" s="71" t="s">
        <v>155</v>
      </c>
      <c r="C26" s="72" t="s">
        <v>23</v>
      </c>
      <c r="D26" s="73">
        <v>731</v>
      </c>
      <c r="E26" s="44" t="s">
        <v>24</v>
      </c>
      <c r="F26" s="44" t="s">
        <v>25</v>
      </c>
      <c r="G26" s="73" t="s">
        <v>131</v>
      </c>
      <c r="H26" s="80">
        <v>10000</v>
      </c>
      <c r="I26" s="10">
        <v>15100</v>
      </c>
      <c r="J26" s="10">
        <v>17624</v>
      </c>
      <c r="K26" s="11">
        <v>46058</v>
      </c>
      <c r="L26" s="80">
        <v>3000</v>
      </c>
      <c r="M26" s="17" t="s">
        <v>154</v>
      </c>
    </row>
    <row r="27" spans="1:13" x14ac:dyDescent="0.35">
      <c r="A27" s="5">
        <v>16</v>
      </c>
      <c r="B27" s="71" t="s">
        <v>450</v>
      </c>
      <c r="C27" s="72" t="s">
        <v>23</v>
      </c>
      <c r="D27" s="73" t="s">
        <v>451</v>
      </c>
      <c r="E27" s="44" t="s">
        <v>24</v>
      </c>
      <c r="F27" s="44" t="s">
        <v>130</v>
      </c>
      <c r="G27" s="73" t="s">
        <v>452</v>
      </c>
      <c r="H27" s="80">
        <v>8000</v>
      </c>
      <c r="I27" s="10">
        <v>18100</v>
      </c>
      <c r="J27" s="10">
        <v>24224</v>
      </c>
      <c r="K27" s="11">
        <v>46058</v>
      </c>
      <c r="L27" s="80">
        <v>4000</v>
      </c>
      <c r="M27" s="17" t="s">
        <v>364</v>
      </c>
    </row>
    <row r="28" spans="1:13" x14ac:dyDescent="0.35">
      <c r="A28" s="5">
        <v>17</v>
      </c>
      <c r="B28" s="71" t="s">
        <v>457</v>
      </c>
      <c r="C28" s="72" t="s">
        <v>23</v>
      </c>
      <c r="D28" s="73" t="s">
        <v>444</v>
      </c>
      <c r="E28" s="44" t="s">
        <v>24</v>
      </c>
      <c r="F28" s="44" t="s">
        <v>130</v>
      </c>
      <c r="G28" s="73" t="s">
        <v>458</v>
      </c>
      <c r="H28" s="80">
        <v>65000</v>
      </c>
      <c r="I28" s="10">
        <v>50013</v>
      </c>
      <c r="J28" s="10">
        <v>74368</v>
      </c>
      <c r="K28" s="11">
        <v>46058</v>
      </c>
      <c r="L28" s="80">
        <v>55000</v>
      </c>
      <c r="M28" s="134" t="s">
        <v>104</v>
      </c>
    </row>
    <row r="29" spans="1:13" x14ac:dyDescent="0.35">
      <c r="A29" s="5">
        <v>18</v>
      </c>
      <c r="B29" s="85" t="s">
        <v>472</v>
      </c>
      <c r="C29" s="86" t="s">
        <v>23</v>
      </c>
      <c r="D29" s="135">
        <v>1170</v>
      </c>
      <c r="E29" s="87" t="s">
        <v>24</v>
      </c>
      <c r="F29" s="87" t="s">
        <v>130</v>
      </c>
      <c r="G29" s="136" t="s">
        <v>473</v>
      </c>
      <c r="H29" s="80">
        <v>8000</v>
      </c>
      <c r="I29" s="10">
        <v>15100</v>
      </c>
      <c r="J29" s="10">
        <v>17760</v>
      </c>
      <c r="K29" s="11">
        <v>46062</v>
      </c>
      <c r="L29" s="80">
        <v>3000</v>
      </c>
      <c r="M29" s="134" t="s">
        <v>204</v>
      </c>
    </row>
    <row r="30" spans="1:13" x14ac:dyDescent="0.35">
      <c r="A30" s="5">
        <v>19</v>
      </c>
      <c r="B30" s="71" t="s">
        <v>522</v>
      </c>
      <c r="C30" s="72" t="s">
        <v>23</v>
      </c>
      <c r="D30" s="73" t="s">
        <v>523</v>
      </c>
      <c r="E30" s="44" t="s">
        <v>24</v>
      </c>
      <c r="F30" s="44" t="s">
        <v>130</v>
      </c>
      <c r="G30" s="73" t="s">
        <v>524</v>
      </c>
      <c r="H30" s="80">
        <v>12000</v>
      </c>
      <c r="I30" s="10">
        <v>15100</v>
      </c>
      <c r="J30" s="10">
        <v>19460</v>
      </c>
      <c r="K30" s="11">
        <v>46057</v>
      </c>
      <c r="L30" s="80">
        <v>20000</v>
      </c>
      <c r="M30" s="134" t="s">
        <v>132</v>
      </c>
    </row>
    <row r="31" spans="1:13" hidden="1" x14ac:dyDescent="0.35">
      <c r="A31" s="5">
        <v>20</v>
      </c>
      <c r="B31" s="71" t="s">
        <v>450</v>
      </c>
      <c r="C31" s="72" t="s">
        <v>23</v>
      </c>
      <c r="D31" s="73" t="s">
        <v>451</v>
      </c>
      <c r="E31" s="44" t="s">
        <v>24</v>
      </c>
      <c r="F31" s="44" t="s">
        <v>130</v>
      </c>
      <c r="G31" s="73" t="s">
        <v>452</v>
      </c>
      <c r="H31" s="80">
        <v>8000</v>
      </c>
      <c r="I31" s="10">
        <v>18100</v>
      </c>
      <c r="J31" s="10">
        <v>24274</v>
      </c>
      <c r="K31" s="11">
        <v>46058</v>
      </c>
      <c r="L31" s="80">
        <v>10000</v>
      </c>
      <c r="M31" s="134" t="s">
        <v>364</v>
      </c>
    </row>
    <row r="32" spans="1:13" hidden="1" x14ac:dyDescent="0.35">
      <c r="A32" s="5">
        <v>21</v>
      </c>
      <c r="B32" s="6" t="s">
        <v>34</v>
      </c>
      <c r="C32" s="14" t="s">
        <v>23</v>
      </c>
      <c r="D32" s="15">
        <v>1149</v>
      </c>
      <c r="E32" s="15" t="s">
        <v>24</v>
      </c>
      <c r="F32" s="15" t="s">
        <v>25</v>
      </c>
      <c r="G32" s="13" t="s">
        <v>35</v>
      </c>
      <c r="H32" s="80">
        <v>10000</v>
      </c>
      <c r="I32" s="10">
        <v>11000</v>
      </c>
      <c r="J32" s="10">
        <v>21802</v>
      </c>
      <c r="K32" s="11">
        <v>46026</v>
      </c>
      <c r="L32" s="80">
        <v>3000</v>
      </c>
      <c r="M32" s="134" t="s">
        <v>204</v>
      </c>
    </row>
    <row r="33" spans="1:13" hidden="1" x14ac:dyDescent="0.35">
      <c r="A33" s="5">
        <v>22</v>
      </c>
      <c r="B33" s="71" t="s">
        <v>540</v>
      </c>
      <c r="C33" s="72" t="s">
        <v>23</v>
      </c>
      <c r="D33" s="73" t="s">
        <v>27</v>
      </c>
      <c r="E33" s="44" t="s">
        <v>24</v>
      </c>
      <c r="F33" s="44" t="s">
        <v>25</v>
      </c>
      <c r="G33" s="73" t="s">
        <v>28</v>
      </c>
      <c r="H33" s="80">
        <v>7000</v>
      </c>
      <c r="I33" s="10">
        <v>20100</v>
      </c>
      <c r="J33" s="10">
        <v>33074</v>
      </c>
      <c r="K33" s="11">
        <v>46027</v>
      </c>
      <c r="L33" s="80">
        <v>5000</v>
      </c>
      <c r="M33" s="134" t="s">
        <v>364</v>
      </c>
    </row>
    <row r="34" spans="1:13" hidden="1" x14ac:dyDescent="0.35">
      <c r="A34" s="5">
        <v>23</v>
      </c>
      <c r="B34" s="71" t="s">
        <v>419</v>
      </c>
      <c r="C34" s="72" t="s">
        <v>144</v>
      </c>
      <c r="D34" s="73" t="s">
        <v>424</v>
      </c>
      <c r="E34" s="44" t="s">
        <v>24</v>
      </c>
      <c r="F34" s="44" t="s">
        <v>44</v>
      </c>
      <c r="G34" s="73" t="s">
        <v>421</v>
      </c>
      <c r="H34" s="80">
        <v>30000</v>
      </c>
      <c r="I34" s="10">
        <v>79172</v>
      </c>
      <c r="J34" s="10">
        <v>97017</v>
      </c>
      <c r="K34" s="11">
        <v>46056</v>
      </c>
      <c r="L34" s="80">
        <v>80000</v>
      </c>
      <c r="M34" s="17" t="s">
        <v>453</v>
      </c>
    </row>
    <row r="35" spans="1:13" hidden="1" x14ac:dyDescent="0.35">
      <c r="A35" s="5">
        <v>24</v>
      </c>
      <c r="B35" s="74" t="s">
        <v>330</v>
      </c>
      <c r="C35" s="72" t="s">
        <v>144</v>
      </c>
      <c r="D35" s="73" t="s">
        <v>43</v>
      </c>
      <c r="E35" s="44" t="s">
        <v>24</v>
      </c>
      <c r="F35" s="44" t="s">
        <v>44</v>
      </c>
      <c r="G35" s="44">
        <v>24024723</v>
      </c>
      <c r="H35" s="78">
        <v>30000</v>
      </c>
      <c r="I35" s="42">
        <v>80203</v>
      </c>
      <c r="J35" s="42">
        <v>91708</v>
      </c>
      <c r="K35" s="11">
        <v>46056</v>
      </c>
      <c r="L35" s="78">
        <v>55000</v>
      </c>
      <c r="M35" s="12" t="s">
        <v>365</v>
      </c>
    </row>
    <row r="36" spans="1:13" hidden="1" x14ac:dyDescent="0.35">
      <c r="A36" s="5">
        <v>25</v>
      </c>
      <c r="B36" s="85" t="s">
        <v>485</v>
      </c>
      <c r="C36" s="86" t="s">
        <v>144</v>
      </c>
      <c r="D36" s="160">
        <v>452</v>
      </c>
      <c r="E36" s="87" t="s">
        <v>24</v>
      </c>
      <c r="F36" s="87" t="s">
        <v>44</v>
      </c>
      <c r="G36" s="179" t="s">
        <v>486</v>
      </c>
      <c r="H36" s="78">
        <v>30000</v>
      </c>
      <c r="I36" s="42">
        <v>91404</v>
      </c>
      <c r="J36" s="42">
        <v>106295</v>
      </c>
      <c r="K36" s="11">
        <v>46056</v>
      </c>
      <c r="L36" s="78">
        <v>80000</v>
      </c>
      <c r="M36" s="12" t="s">
        <v>503</v>
      </c>
    </row>
    <row r="37" spans="1:13" hidden="1" x14ac:dyDescent="0.35">
      <c r="A37" s="5">
        <v>26</v>
      </c>
      <c r="B37" s="71" t="s">
        <v>513</v>
      </c>
      <c r="C37" s="72" t="s">
        <v>144</v>
      </c>
      <c r="D37" s="73" t="s">
        <v>514</v>
      </c>
      <c r="E37" s="87" t="s">
        <v>24</v>
      </c>
      <c r="F37" s="44" t="s">
        <v>44</v>
      </c>
      <c r="G37" s="73" t="s">
        <v>516</v>
      </c>
      <c r="H37" s="80">
        <v>10000</v>
      </c>
      <c r="I37" s="42">
        <v>34485</v>
      </c>
      <c r="J37" s="42">
        <v>36376</v>
      </c>
      <c r="K37" s="11">
        <v>46056</v>
      </c>
      <c r="L37" s="80">
        <v>15000</v>
      </c>
      <c r="M37" s="17" t="s">
        <v>364</v>
      </c>
    </row>
    <row r="38" spans="1:13" hidden="1" x14ac:dyDescent="0.35">
      <c r="A38" s="5">
        <v>27</v>
      </c>
      <c r="B38" s="85" t="s">
        <v>331</v>
      </c>
      <c r="C38" s="86" t="s">
        <v>332</v>
      </c>
      <c r="D38" s="53" t="s">
        <v>333</v>
      </c>
      <c r="E38" s="87" t="s">
        <v>24</v>
      </c>
      <c r="F38" s="87" t="s">
        <v>44</v>
      </c>
      <c r="G38" s="87" t="s">
        <v>335</v>
      </c>
      <c r="H38" s="78">
        <v>14000</v>
      </c>
      <c r="I38" s="42">
        <v>13381</v>
      </c>
      <c r="J38" s="42">
        <v>21442</v>
      </c>
      <c r="K38" s="11">
        <v>46056</v>
      </c>
      <c r="L38" s="78">
        <v>15000</v>
      </c>
      <c r="M38" s="12" t="s">
        <v>406</v>
      </c>
    </row>
    <row r="39" spans="1:13" hidden="1" x14ac:dyDescent="0.35">
      <c r="A39" s="415" t="s">
        <v>8</v>
      </c>
      <c r="B39" s="415"/>
      <c r="C39" s="415"/>
      <c r="D39" s="415"/>
      <c r="E39" s="415"/>
      <c r="F39" s="415"/>
      <c r="G39" s="415"/>
      <c r="H39" s="81">
        <f>SUM(H12:H38)</f>
        <v>519000</v>
      </c>
      <c r="I39" s="24"/>
      <c r="J39" s="25"/>
      <c r="K39" s="43"/>
      <c r="L39" s="234"/>
      <c r="M39" s="234"/>
    </row>
    <row r="40" spans="1:13" x14ac:dyDescent="0.35">
      <c r="A40" s="234"/>
      <c r="B40" s="234"/>
      <c r="C40" s="234"/>
      <c r="D40" s="234"/>
      <c r="E40" s="234"/>
      <c r="F40" s="234"/>
      <c r="G40" s="234"/>
      <c r="H40" s="234"/>
      <c r="I40" s="234"/>
      <c r="J40" s="234"/>
      <c r="K40" s="234"/>
      <c r="L40" s="234"/>
      <c r="M40" s="234"/>
    </row>
    <row r="41" spans="1:13" x14ac:dyDescent="0.35">
      <c r="A41" s="234"/>
      <c r="B41" s="234" t="s">
        <v>541</v>
      </c>
      <c r="C41" s="234"/>
      <c r="D41" s="234"/>
      <c r="E41" s="234"/>
      <c r="F41" s="234"/>
      <c r="G41" s="234"/>
      <c r="H41" s="234"/>
      <c r="I41" s="234"/>
      <c r="J41" s="234"/>
      <c r="K41" s="234"/>
      <c r="L41" s="234"/>
      <c r="M41" s="234"/>
    </row>
    <row r="42" spans="1:13" x14ac:dyDescent="0.35">
      <c r="A42" s="234"/>
      <c r="B42" s="234"/>
      <c r="C42" s="234"/>
      <c r="D42" s="234"/>
      <c r="E42" s="234"/>
      <c r="F42" s="234"/>
      <c r="G42" s="234"/>
      <c r="H42" s="234"/>
      <c r="I42" s="234"/>
      <c r="J42" s="234"/>
      <c r="K42" s="234"/>
      <c r="L42" s="234"/>
      <c r="M42" s="234"/>
    </row>
    <row r="43" spans="1:13" x14ac:dyDescent="0.35">
      <c r="A43" s="234"/>
      <c r="B43" s="234"/>
      <c r="C43" s="234"/>
      <c r="D43" s="234"/>
      <c r="E43" s="234"/>
      <c r="F43" s="234"/>
      <c r="G43" s="234"/>
      <c r="H43" s="234"/>
      <c r="I43" s="234"/>
      <c r="J43" s="234"/>
      <c r="K43" s="234"/>
      <c r="L43" s="234"/>
      <c r="M43" s="234"/>
    </row>
    <row r="44" spans="1:13" x14ac:dyDescent="0.35">
      <c r="A44" s="234"/>
      <c r="B44" s="234"/>
      <c r="C44" s="234"/>
      <c r="D44" s="234"/>
      <c r="E44" s="234"/>
      <c r="F44" s="234"/>
      <c r="G44" s="234"/>
      <c r="H44" s="234"/>
      <c r="I44" s="234"/>
      <c r="J44" s="234"/>
      <c r="K44" s="234"/>
      <c r="L44" s="234"/>
      <c r="M44" s="234"/>
    </row>
    <row r="45" spans="1:13" x14ac:dyDescent="0.35">
      <c r="A45" s="234"/>
      <c r="B45" s="234"/>
      <c r="C45" s="234"/>
      <c r="D45" s="234"/>
      <c r="E45" s="234"/>
      <c r="F45" s="234"/>
      <c r="G45" s="234"/>
      <c r="H45" s="234"/>
      <c r="I45" s="234"/>
      <c r="J45" s="234"/>
      <c r="K45" s="234"/>
      <c r="L45" s="234"/>
      <c r="M45" s="234"/>
    </row>
    <row r="46" spans="1:13" ht="15" thickBot="1" x14ac:dyDescent="0.4">
      <c r="A46" s="420" t="s">
        <v>66</v>
      </c>
      <c r="B46" s="420"/>
      <c r="C46" s="234"/>
      <c r="D46" s="234"/>
      <c r="E46" s="407" t="s">
        <v>67</v>
      </c>
      <c r="F46" s="407"/>
      <c r="G46" s="49"/>
      <c r="H46" s="49"/>
      <c r="I46" s="408"/>
      <c r="J46" s="408"/>
      <c r="K46" s="232"/>
      <c r="L46" s="233"/>
      <c r="M46" s="233"/>
    </row>
    <row r="47" spans="1:13" ht="15" thickTop="1" x14ac:dyDescent="0.35">
      <c r="A47" s="421" t="s">
        <v>69</v>
      </c>
      <c r="B47" s="421"/>
      <c r="D47" s="30"/>
      <c r="E47" s="410" t="s">
        <v>70</v>
      </c>
      <c r="F47" s="410"/>
      <c r="G47" s="410" t="s">
        <v>71</v>
      </c>
      <c r="H47" s="410"/>
      <c r="I47" s="233"/>
      <c r="J47" s="233"/>
      <c r="K47" s="233" t="s">
        <v>72</v>
      </c>
      <c r="L47" s="231"/>
      <c r="M47" s="231"/>
    </row>
    <row r="48" spans="1:13" x14ac:dyDescent="0.35">
      <c r="A48" s="414" t="s">
        <v>92</v>
      </c>
      <c r="B48" s="414"/>
      <c r="D48" s="235"/>
      <c r="E48" s="414" t="s">
        <v>73</v>
      </c>
      <c r="F48" s="414"/>
      <c r="G48" s="414" t="s">
        <v>74</v>
      </c>
      <c r="H48" s="414"/>
      <c r="I48" s="231"/>
      <c r="J48" s="231"/>
      <c r="K48" s="231" t="s">
        <v>75</v>
      </c>
      <c r="L48" s="230"/>
      <c r="M48" s="230"/>
    </row>
    <row r="49" spans="1:13" x14ac:dyDescent="0.35">
      <c r="A49" s="412" t="s">
        <v>94</v>
      </c>
      <c r="B49" s="412"/>
      <c r="D49" s="236"/>
      <c r="E49" s="414" t="s">
        <v>78</v>
      </c>
      <c r="F49" s="414"/>
      <c r="G49" s="414" t="s">
        <v>414</v>
      </c>
      <c r="H49" s="414"/>
      <c r="I49" s="230"/>
      <c r="J49" s="230"/>
      <c r="K49" s="230" t="s">
        <v>80</v>
      </c>
      <c r="L49" s="236"/>
      <c r="M49" s="236"/>
    </row>
    <row r="50" spans="1:13" x14ac:dyDescent="0.35">
      <c r="A50" s="412" t="s">
        <v>76</v>
      </c>
      <c r="B50" s="412"/>
      <c r="D50" s="236"/>
      <c r="E50" s="412" t="s">
        <v>76</v>
      </c>
      <c r="F50" s="412"/>
      <c r="G50" s="412" t="s">
        <v>76</v>
      </c>
      <c r="H50" s="412"/>
      <c r="I50" s="230"/>
      <c r="J50" s="230"/>
      <c r="K50" s="230"/>
    </row>
    <row r="55" spans="1:13" ht="15" thickBot="1" x14ac:dyDescent="0.4"/>
    <row r="56" spans="1:13" ht="15" thickTop="1" x14ac:dyDescent="0.35">
      <c r="A56" s="417" t="s">
        <v>114</v>
      </c>
      <c r="B56" s="417"/>
      <c r="C56" s="429" t="s">
        <v>282</v>
      </c>
      <c r="D56" s="429"/>
      <c r="E56" s="429"/>
    </row>
    <row r="57" spans="1:13" x14ac:dyDescent="0.35">
      <c r="A57" s="418" t="s">
        <v>115</v>
      </c>
      <c r="B57" s="418"/>
      <c r="C57" s="430" t="s">
        <v>7</v>
      </c>
      <c r="D57" s="430"/>
      <c r="E57" s="430"/>
    </row>
    <row r="58" spans="1:13" x14ac:dyDescent="0.35">
      <c r="A58" s="422" t="s">
        <v>116</v>
      </c>
      <c r="B58" s="418"/>
      <c r="C58" s="431" t="s">
        <v>77</v>
      </c>
      <c r="D58" s="431"/>
      <c r="E58" s="431"/>
    </row>
    <row r="59" spans="1:13" x14ac:dyDescent="0.35">
      <c r="A59" s="416" t="s">
        <v>117</v>
      </c>
      <c r="B59" s="416"/>
      <c r="C59" s="412" t="s">
        <v>81</v>
      </c>
      <c r="D59" s="412"/>
      <c r="E59" s="412"/>
    </row>
  </sheetData>
  <autoFilter ref="A11:M39" xr:uid="{1A7DCAE6-6204-4E78-96B2-1D11AA1EC4E3}">
    <filterColumn colId="3">
      <filters>
        <filter val="0709"/>
      </filters>
    </filterColumn>
  </autoFilter>
  <mergeCells count="42">
    <mergeCell ref="A58:B58"/>
    <mergeCell ref="C58:E58"/>
    <mergeCell ref="A59:B59"/>
    <mergeCell ref="C59:E59"/>
    <mergeCell ref="A50:B50"/>
    <mergeCell ref="E50:F50"/>
    <mergeCell ref="G50:H50"/>
    <mergeCell ref="A56:B56"/>
    <mergeCell ref="C56:E56"/>
    <mergeCell ref="A57:B57"/>
    <mergeCell ref="C57:E57"/>
    <mergeCell ref="A48:B48"/>
    <mergeCell ref="E48:F48"/>
    <mergeCell ref="G48:H48"/>
    <mergeCell ref="A49:B49"/>
    <mergeCell ref="E49:F49"/>
    <mergeCell ref="G49:H49"/>
    <mergeCell ref="A46:B46"/>
    <mergeCell ref="E46:F46"/>
    <mergeCell ref="I46:J46"/>
    <mergeCell ref="A47:B47"/>
    <mergeCell ref="E47:F47"/>
    <mergeCell ref="G47:H47"/>
    <mergeCell ref="A39:G39"/>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52" orientation="landscape"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A220-D5C2-497F-962B-66A37759AAB4}">
  <sheetPr>
    <pageSetUpPr fitToPage="1"/>
  </sheetPr>
  <dimension ref="A1:M35"/>
  <sheetViews>
    <sheetView topLeftCell="A6" zoomScale="84" workbookViewId="0">
      <selection sqref="A1:M35"/>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1"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542</v>
      </c>
      <c r="D4" s="394"/>
      <c r="E4" s="394"/>
      <c r="F4" s="394"/>
      <c r="G4" s="394"/>
      <c r="H4" s="394"/>
      <c r="I4" s="394"/>
      <c r="J4" s="394"/>
      <c r="K4" s="394"/>
      <c r="L4" s="394"/>
      <c r="M4" s="395"/>
    </row>
    <row r="5" spans="1:13" x14ac:dyDescent="0.35">
      <c r="A5" s="384" t="s">
        <v>5</v>
      </c>
      <c r="B5" s="385"/>
      <c r="C5" s="387">
        <v>46077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396000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539</v>
      </c>
      <c r="J11" s="3" t="s">
        <v>18</v>
      </c>
      <c r="K11" s="3" t="s">
        <v>19</v>
      </c>
      <c r="L11" s="3" t="s">
        <v>20</v>
      </c>
      <c r="M11" s="3" t="s">
        <v>84</v>
      </c>
    </row>
    <row r="12" spans="1:13" x14ac:dyDescent="0.35">
      <c r="A12" s="5">
        <v>1</v>
      </c>
      <c r="B12" s="14" t="s">
        <v>85</v>
      </c>
      <c r="C12" s="7" t="s">
        <v>86</v>
      </c>
      <c r="D12" s="8" t="s">
        <v>87</v>
      </c>
      <c r="E12" s="5" t="s">
        <v>24</v>
      </c>
      <c r="F12" s="5" t="s">
        <v>44</v>
      </c>
      <c r="G12" s="5">
        <v>35020062</v>
      </c>
      <c r="H12" s="228">
        <v>180000</v>
      </c>
      <c r="I12" s="10">
        <v>50130</v>
      </c>
      <c r="J12" s="10">
        <v>122805</v>
      </c>
      <c r="K12" s="35">
        <v>46056</v>
      </c>
      <c r="L12" s="247">
        <v>60000</v>
      </c>
      <c r="M12" s="48" t="s">
        <v>543</v>
      </c>
    </row>
    <row r="13" spans="1:13" x14ac:dyDescent="0.35">
      <c r="A13" s="5">
        <v>2</v>
      </c>
      <c r="B13" s="14" t="s">
        <v>89</v>
      </c>
      <c r="C13" s="7" t="s">
        <v>86</v>
      </c>
      <c r="D13" s="8" t="s">
        <v>90</v>
      </c>
      <c r="E13" s="5" t="s">
        <v>24</v>
      </c>
      <c r="F13" s="5" t="s">
        <v>44</v>
      </c>
      <c r="G13" s="13">
        <v>40021666</v>
      </c>
      <c r="H13" s="228">
        <v>60000</v>
      </c>
      <c r="I13" s="10">
        <v>42369</v>
      </c>
      <c r="J13" s="10">
        <v>73416</v>
      </c>
      <c r="K13" s="35">
        <v>46070</v>
      </c>
      <c r="L13" s="247">
        <v>60000</v>
      </c>
      <c r="M13" s="48" t="s">
        <v>325</v>
      </c>
    </row>
    <row r="14" spans="1:13" x14ac:dyDescent="0.35">
      <c r="A14" s="5">
        <v>3</v>
      </c>
      <c r="B14" s="14" t="s">
        <v>158</v>
      </c>
      <c r="C14" s="7" t="s">
        <v>86</v>
      </c>
      <c r="D14" s="8">
        <v>269</v>
      </c>
      <c r="E14" s="5" t="s">
        <v>24</v>
      </c>
      <c r="F14" s="5" t="s">
        <v>44</v>
      </c>
      <c r="G14" s="5">
        <v>74023856</v>
      </c>
      <c r="H14" s="228">
        <v>40000</v>
      </c>
      <c r="I14" s="10">
        <v>36405</v>
      </c>
      <c r="J14" s="10">
        <v>61440</v>
      </c>
      <c r="K14" s="35">
        <v>46070</v>
      </c>
      <c r="L14" s="247">
        <v>50000</v>
      </c>
      <c r="M14" s="12" t="s">
        <v>369</v>
      </c>
    </row>
    <row r="15" spans="1:13" x14ac:dyDescent="0.35">
      <c r="A15" s="5">
        <v>4</v>
      </c>
      <c r="B15" s="19" t="s">
        <v>255</v>
      </c>
      <c r="C15" s="20" t="s">
        <v>23</v>
      </c>
      <c r="D15" s="73" t="s">
        <v>256</v>
      </c>
      <c r="E15" s="22" t="s">
        <v>247</v>
      </c>
      <c r="F15" s="5" t="s">
        <v>44</v>
      </c>
      <c r="G15" s="73" t="s">
        <v>257</v>
      </c>
      <c r="H15" s="248">
        <v>15000</v>
      </c>
      <c r="I15" s="10">
        <v>16100</v>
      </c>
      <c r="J15" s="10">
        <v>24032</v>
      </c>
      <c r="K15" s="35">
        <v>46060</v>
      </c>
      <c r="L15" s="247">
        <v>15000</v>
      </c>
      <c r="M15" s="48" t="s">
        <v>96</v>
      </c>
    </row>
    <row r="16" spans="1:13" ht="27" x14ac:dyDescent="0.35">
      <c r="A16" s="5">
        <v>5</v>
      </c>
      <c r="B16" s="162" t="s">
        <v>149</v>
      </c>
      <c r="C16" s="20" t="s">
        <v>144</v>
      </c>
      <c r="D16" s="53" t="s">
        <v>146</v>
      </c>
      <c r="E16" s="22" t="s">
        <v>64</v>
      </c>
      <c r="F16" s="5" t="s">
        <v>145</v>
      </c>
      <c r="G16" s="21">
        <v>97017150</v>
      </c>
      <c r="H16" s="48">
        <v>15000</v>
      </c>
      <c r="I16" s="10">
        <v>34965</v>
      </c>
      <c r="J16" s="10">
        <v>59423</v>
      </c>
      <c r="K16" s="35">
        <v>46002</v>
      </c>
      <c r="L16" s="247">
        <v>40000</v>
      </c>
      <c r="M16" s="17" t="s">
        <v>544</v>
      </c>
    </row>
    <row r="17" spans="1:13" x14ac:dyDescent="0.35">
      <c r="A17" s="5">
        <v>6</v>
      </c>
      <c r="B17" s="19" t="s">
        <v>442</v>
      </c>
      <c r="C17" s="20" t="s">
        <v>443</v>
      </c>
      <c r="D17" s="53" t="s">
        <v>444</v>
      </c>
      <c r="E17" s="22" t="s">
        <v>24</v>
      </c>
      <c r="F17" s="5" t="s">
        <v>25</v>
      </c>
      <c r="G17" s="53" t="s">
        <v>445</v>
      </c>
      <c r="H17" s="48">
        <v>6000</v>
      </c>
      <c r="I17" s="10">
        <v>29100</v>
      </c>
      <c r="J17" s="10">
        <v>34049</v>
      </c>
      <c r="K17" s="35">
        <v>46061</v>
      </c>
      <c r="L17" s="247">
        <v>3000</v>
      </c>
      <c r="M17" s="48" t="s">
        <v>132</v>
      </c>
    </row>
    <row r="18" spans="1:13" x14ac:dyDescent="0.35">
      <c r="A18" s="5">
        <v>7</v>
      </c>
      <c r="B18" s="19" t="s">
        <v>261</v>
      </c>
      <c r="C18" s="20" t="s">
        <v>49</v>
      </c>
      <c r="D18" s="53" t="s">
        <v>262</v>
      </c>
      <c r="E18" s="22" t="s">
        <v>247</v>
      </c>
      <c r="F18" s="5" t="s">
        <v>130</v>
      </c>
      <c r="G18" s="53" t="s">
        <v>462</v>
      </c>
      <c r="H18" s="228">
        <v>30000</v>
      </c>
      <c r="I18" s="10">
        <v>62404</v>
      </c>
      <c r="J18" s="10">
        <v>64804</v>
      </c>
      <c r="K18" s="35">
        <v>46067</v>
      </c>
      <c r="L18" s="247">
        <v>50000</v>
      </c>
      <c r="M18" s="48" t="s">
        <v>365</v>
      </c>
    </row>
    <row r="19" spans="1:13" x14ac:dyDescent="0.35">
      <c r="A19" s="5">
        <v>8</v>
      </c>
      <c r="B19" s="16" t="s">
        <v>95</v>
      </c>
      <c r="C19" s="7" t="s">
        <v>49</v>
      </c>
      <c r="D19" s="8">
        <v>183</v>
      </c>
      <c r="E19" s="5" t="s">
        <v>24</v>
      </c>
      <c r="F19" s="5" t="s">
        <v>25</v>
      </c>
      <c r="G19" s="73" t="s">
        <v>279</v>
      </c>
      <c r="H19" s="228">
        <v>50000</v>
      </c>
      <c r="I19" s="10">
        <v>81542</v>
      </c>
      <c r="J19" s="10">
        <v>94342</v>
      </c>
      <c r="K19" s="35">
        <v>46069</v>
      </c>
      <c r="L19" s="247">
        <v>60000</v>
      </c>
      <c r="M19" s="17" t="s">
        <v>213</v>
      </c>
    </row>
    <row r="20" spans="1:13" x14ac:dyDescent="0.35">
      <c r="A20" s="386" t="s">
        <v>8</v>
      </c>
      <c r="B20" s="386"/>
      <c r="C20" s="386"/>
      <c r="D20" s="386"/>
      <c r="E20" s="386"/>
      <c r="F20" s="386"/>
      <c r="G20" s="386"/>
      <c r="H20" s="23">
        <f>SUM(H12:H19)</f>
        <v>396000</v>
      </c>
      <c r="I20" s="24"/>
      <c r="J20" s="25"/>
      <c r="K20" s="25"/>
      <c r="L20" s="241"/>
      <c r="M20" s="241"/>
    </row>
    <row r="21" spans="1:13" x14ac:dyDescent="0.35">
      <c r="A21" s="241"/>
      <c r="B21" s="241"/>
      <c r="C21" s="241"/>
      <c r="D21" s="241"/>
      <c r="E21" s="241"/>
      <c r="F21" s="241"/>
      <c r="G21" s="241"/>
      <c r="H21" s="241"/>
      <c r="I21" s="38"/>
      <c r="J21" s="241"/>
      <c r="K21" s="241"/>
      <c r="L21" s="241"/>
      <c r="M21" s="241"/>
    </row>
    <row r="22" spans="1:13" x14ac:dyDescent="0.35">
      <c r="A22" s="241"/>
      <c r="B22" s="241" t="s">
        <v>545</v>
      </c>
      <c r="C22" s="241"/>
      <c r="D22" s="241"/>
      <c r="E22" s="241"/>
      <c r="F22" s="241"/>
      <c r="G22" s="241"/>
      <c r="H22" s="241"/>
      <c r="I22" s="38"/>
      <c r="J22" s="241"/>
      <c r="K22" s="241"/>
      <c r="L22" s="241"/>
      <c r="M22" s="241"/>
    </row>
    <row r="23" spans="1:13" x14ac:dyDescent="0.35">
      <c r="A23" s="241"/>
      <c r="B23" s="241"/>
      <c r="C23" s="241"/>
      <c r="D23" s="241"/>
      <c r="E23" s="241"/>
      <c r="F23" s="241"/>
      <c r="G23" s="241"/>
      <c r="H23" s="241"/>
      <c r="I23" s="38"/>
      <c r="J23" s="241"/>
      <c r="K23" s="241"/>
      <c r="L23" s="241"/>
      <c r="M23" s="241"/>
    </row>
    <row r="24" spans="1:13" x14ac:dyDescent="0.35">
      <c r="A24" s="241"/>
      <c r="B24" s="241"/>
      <c r="C24" s="241"/>
      <c r="D24" s="241"/>
      <c r="E24" s="241"/>
      <c r="F24" s="241"/>
      <c r="G24" s="241"/>
      <c r="H24" s="241"/>
      <c r="I24" s="38"/>
      <c r="J24" s="241"/>
      <c r="K24" s="241"/>
      <c r="L24" s="241"/>
      <c r="M24" s="241"/>
    </row>
    <row r="25" spans="1:13" x14ac:dyDescent="0.35">
      <c r="A25" s="241"/>
      <c r="B25" s="241"/>
      <c r="C25" s="241"/>
      <c r="D25" s="241"/>
      <c r="E25" s="241"/>
      <c r="F25" s="241"/>
      <c r="G25" s="241"/>
      <c r="H25" s="241"/>
      <c r="I25" s="38"/>
      <c r="J25" s="241"/>
      <c r="K25" s="241"/>
      <c r="L25" s="241"/>
      <c r="M25" s="241"/>
    </row>
    <row r="26" spans="1:13" x14ac:dyDescent="0.35">
      <c r="A26" s="241"/>
      <c r="B26" s="241"/>
      <c r="C26" s="241"/>
      <c r="D26" s="241"/>
      <c r="E26" s="241"/>
      <c r="F26" s="241"/>
      <c r="G26" s="241"/>
      <c r="H26" s="241"/>
      <c r="I26" s="38"/>
      <c r="J26" s="241"/>
      <c r="K26" s="241"/>
      <c r="L26" s="241"/>
      <c r="M26" s="241"/>
    </row>
    <row r="27" spans="1:13" x14ac:dyDescent="0.35">
      <c r="A27" s="241"/>
      <c r="B27" s="241"/>
      <c r="C27" s="241"/>
      <c r="D27" s="241"/>
      <c r="E27" s="241"/>
      <c r="F27" s="241"/>
      <c r="G27" s="241"/>
      <c r="H27" s="241"/>
      <c r="I27" s="38"/>
      <c r="J27" s="241"/>
      <c r="K27" s="241"/>
      <c r="L27" s="241"/>
      <c r="M27" s="241"/>
    </row>
    <row r="28" spans="1:13" x14ac:dyDescent="0.35">
      <c r="A28" s="241"/>
      <c r="B28" s="241"/>
      <c r="C28" s="241"/>
      <c r="D28" s="241"/>
      <c r="E28" s="241"/>
      <c r="F28" s="241"/>
      <c r="G28" s="241"/>
      <c r="H28" s="241"/>
      <c r="I28" s="38"/>
      <c r="J28" s="241"/>
      <c r="K28" s="241"/>
      <c r="L28" s="241"/>
      <c r="M28" s="241"/>
    </row>
    <row r="29" spans="1:13" x14ac:dyDescent="0.35">
      <c r="A29" s="241"/>
      <c r="B29" s="241"/>
      <c r="C29" s="241"/>
      <c r="D29" s="241"/>
      <c r="E29" s="241"/>
      <c r="F29" s="241"/>
      <c r="G29" s="241"/>
      <c r="H29" s="241"/>
      <c r="I29" s="38"/>
      <c r="J29" s="241"/>
      <c r="K29" s="241"/>
      <c r="L29" s="241"/>
      <c r="M29" s="241"/>
    </row>
    <row r="30" spans="1:13" x14ac:dyDescent="0.35">
      <c r="A30" s="241"/>
      <c r="B30" s="241"/>
      <c r="C30" s="241"/>
      <c r="D30" s="241"/>
      <c r="E30" s="241"/>
      <c r="F30" s="241"/>
      <c r="G30" s="241"/>
      <c r="H30" s="241"/>
      <c r="I30" s="38"/>
      <c r="J30" s="241"/>
      <c r="K30" s="241"/>
      <c r="L30" s="241"/>
      <c r="M30" s="241"/>
    </row>
    <row r="31" spans="1:13" x14ac:dyDescent="0.35">
      <c r="A31" s="407" t="s">
        <v>66</v>
      </c>
      <c r="B31" s="407"/>
      <c r="C31" s="241"/>
      <c r="D31" s="241"/>
      <c r="E31" s="407" t="s">
        <v>67</v>
      </c>
      <c r="F31" s="407"/>
      <c r="G31" s="408"/>
      <c r="H31" s="408"/>
      <c r="I31" s="237"/>
      <c r="J31" s="237"/>
      <c r="K31" s="237"/>
      <c r="L31" s="39"/>
      <c r="M31" s="242"/>
    </row>
    <row r="32" spans="1:13" x14ac:dyDescent="0.35">
      <c r="A32" s="421" t="s">
        <v>69</v>
      </c>
      <c r="B32" s="421"/>
      <c r="D32" s="238"/>
      <c r="E32" s="410" t="s">
        <v>70</v>
      </c>
      <c r="F32" s="410"/>
      <c r="G32" s="410" t="s">
        <v>71</v>
      </c>
      <c r="H32" s="410"/>
      <c r="I32" s="238"/>
      <c r="J32" s="238"/>
      <c r="K32" s="238" t="s">
        <v>72</v>
      </c>
      <c r="L32" s="240"/>
      <c r="M32" s="240"/>
    </row>
    <row r="33" spans="1:13" x14ac:dyDescent="0.35">
      <c r="A33" s="414" t="s">
        <v>92</v>
      </c>
      <c r="B33" s="414"/>
      <c r="D33" s="243"/>
      <c r="E33" s="414" t="s">
        <v>73</v>
      </c>
      <c r="F33" s="414"/>
      <c r="G33" s="414" t="s">
        <v>74</v>
      </c>
      <c r="H33" s="414"/>
      <c r="I33" s="240"/>
      <c r="J33" s="240"/>
      <c r="K33" s="240" t="s">
        <v>75</v>
      </c>
      <c r="L33" s="239"/>
      <c r="M33" s="239"/>
    </row>
    <row r="34" spans="1:13" x14ac:dyDescent="0.35">
      <c r="A34" s="414" t="s">
        <v>94</v>
      </c>
      <c r="B34" s="414"/>
      <c r="D34" s="244"/>
      <c r="E34" s="414" t="s">
        <v>78</v>
      </c>
      <c r="F34" s="414"/>
      <c r="G34" s="414" t="s">
        <v>414</v>
      </c>
      <c r="H34" s="414"/>
      <c r="I34" s="239"/>
      <c r="J34" s="239"/>
      <c r="K34" s="240" t="s">
        <v>80</v>
      </c>
      <c r="L34" s="244"/>
      <c r="M34" s="244"/>
    </row>
    <row r="35" spans="1:13" x14ac:dyDescent="0.35">
      <c r="A35" s="412" t="s">
        <v>76</v>
      </c>
      <c r="B35" s="412"/>
      <c r="D35" s="244"/>
      <c r="E35" s="412" t="s">
        <v>76</v>
      </c>
      <c r="F35" s="412"/>
      <c r="G35" s="412" t="s">
        <v>76</v>
      </c>
      <c r="H35" s="412"/>
      <c r="I35" s="239"/>
      <c r="J35" s="239"/>
      <c r="K35" s="239"/>
    </row>
  </sheetData>
  <mergeCells count="34">
    <mergeCell ref="A4:B4"/>
    <mergeCell ref="C4:M4"/>
    <mergeCell ref="A1:M1"/>
    <mergeCell ref="A2:B2"/>
    <mergeCell ref="C2:M2"/>
    <mergeCell ref="A3:B3"/>
    <mergeCell ref="C3:M3"/>
    <mergeCell ref="A20:G20"/>
    <mergeCell ref="A5:B5"/>
    <mergeCell ref="C5:M5"/>
    <mergeCell ref="A6:B6"/>
    <mergeCell ref="C6:M6"/>
    <mergeCell ref="A7:B7"/>
    <mergeCell ref="C7:M7"/>
    <mergeCell ref="A8:B8"/>
    <mergeCell ref="C8:M8"/>
    <mergeCell ref="A9:B9"/>
    <mergeCell ref="C9:M9"/>
    <mergeCell ref="A10:M10"/>
    <mergeCell ref="A31:B31"/>
    <mergeCell ref="E31:F31"/>
    <mergeCell ref="G31:H31"/>
    <mergeCell ref="A32:B32"/>
    <mergeCell ref="E32:F32"/>
    <mergeCell ref="G32:H32"/>
    <mergeCell ref="A35:B35"/>
    <mergeCell ref="E35:F35"/>
    <mergeCell ref="G35:H35"/>
    <mergeCell ref="A33:B33"/>
    <mergeCell ref="E33:F33"/>
    <mergeCell ref="G33:H33"/>
    <mergeCell ref="A34:B34"/>
    <mergeCell ref="E34:F34"/>
    <mergeCell ref="G34:H34"/>
  </mergeCells>
  <pageMargins left="0.25" right="0.25" top="0.75" bottom="0.75" header="0.3" footer="0.3"/>
  <pageSetup paperSize="9" scale="79" orientation="landscape"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4449-4B47-4465-9DF6-A0BE3F60991A}">
  <sheetPr>
    <pageSetUpPr fitToPage="1"/>
  </sheetPr>
  <dimension ref="A1:M40"/>
  <sheetViews>
    <sheetView topLeftCell="A7" zoomScaleNormal="100" workbookViewId="0">
      <selection sqref="A1:M40"/>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6" customHeight="1" x14ac:dyDescent="0.35">
      <c r="A1" s="402" t="s">
        <v>352</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536</v>
      </c>
      <c r="D3" s="403"/>
      <c r="E3" s="403"/>
      <c r="F3" s="403"/>
      <c r="G3" s="403"/>
      <c r="H3" s="403"/>
      <c r="I3" s="403"/>
      <c r="J3" s="403"/>
      <c r="K3" s="403"/>
      <c r="L3" s="403"/>
      <c r="M3" s="385"/>
    </row>
    <row r="4" spans="1:13" x14ac:dyDescent="0.35">
      <c r="A4" s="384" t="s">
        <v>4</v>
      </c>
      <c r="B4" s="385"/>
      <c r="C4" s="393" t="s">
        <v>542</v>
      </c>
      <c r="D4" s="394"/>
      <c r="E4" s="394"/>
      <c r="F4" s="394"/>
      <c r="G4" s="394"/>
      <c r="H4" s="394"/>
      <c r="I4" s="394"/>
      <c r="J4" s="394"/>
      <c r="K4" s="394"/>
      <c r="L4" s="394"/>
      <c r="M4" s="395"/>
    </row>
    <row r="5" spans="1:13" x14ac:dyDescent="0.35">
      <c r="A5" s="384" t="s">
        <v>5</v>
      </c>
      <c r="B5" s="385"/>
      <c r="C5" s="387">
        <v>46110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1600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539</v>
      </c>
      <c r="J11" s="3" t="s">
        <v>18</v>
      </c>
      <c r="K11" s="3" t="s">
        <v>19</v>
      </c>
      <c r="L11" s="3" t="s">
        <v>20</v>
      </c>
      <c r="M11" s="3" t="s">
        <v>84</v>
      </c>
    </row>
    <row r="12" spans="1:13" x14ac:dyDescent="0.35">
      <c r="A12" s="5">
        <v>1</v>
      </c>
      <c r="B12" s="16" t="s">
        <v>95</v>
      </c>
      <c r="C12" s="7" t="s">
        <v>49</v>
      </c>
      <c r="D12" s="8">
        <v>183</v>
      </c>
      <c r="E12" s="5" t="s">
        <v>24</v>
      </c>
      <c r="F12" s="5" t="s">
        <v>25</v>
      </c>
      <c r="G12" s="73" t="s">
        <v>279</v>
      </c>
      <c r="H12" s="228">
        <v>1600</v>
      </c>
      <c r="I12" s="10">
        <v>0</v>
      </c>
      <c r="J12" s="10">
        <v>0</v>
      </c>
      <c r="K12" s="35" t="s">
        <v>97</v>
      </c>
      <c r="L12" s="247">
        <v>60000</v>
      </c>
      <c r="M12" s="17" t="s">
        <v>213</v>
      </c>
    </row>
    <row r="13" spans="1:13" x14ac:dyDescent="0.35">
      <c r="A13" s="386" t="s">
        <v>8</v>
      </c>
      <c r="B13" s="386"/>
      <c r="C13" s="386"/>
      <c r="D13" s="386"/>
      <c r="E13" s="386"/>
      <c r="F13" s="386"/>
      <c r="G13" s="386"/>
      <c r="H13" s="23">
        <f>SUM(H12:H12)</f>
        <v>1600</v>
      </c>
      <c r="I13" s="24"/>
      <c r="J13" s="25"/>
      <c r="K13" s="25"/>
      <c r="L13" s="268"/>
      <c r="M13" s="268"/>
    </row>
    <row r="14" spans="1:13" x14ac:dyDescent="0.35">
      <c r="A14" s="268"/>
      <c r="B14" s="268"/>
      <c r="C14" s="268"/>
      <c r="D14" s="268"/>
      <c r="E14" s="268"/>
      <c r="F14" s="268"/>
      <c r="G14" s="268"/>
      <c r="H14" s="268"/>
      <c r="I14" s="38"/>
      <c r="J14" s="268"/>
      <c r="K14" s="268"/>
      <c r="L14" s="268"/>
      <c r="M14" s="268"/>
    </row>
    <row r="15" spans="1:13" x14ac:dyDescent="0.35">
      <c r="A15" s="268"/>
      <c r="B15" s="268" t="s">
        <v>551</v>
      </c>
      <c r="C15" s="268"/>
      <c r="D15" s="268"/>
      <c r="E15" s="268"/>
      <c r="F15" s="268"/>
      <c r="G15" s="268"/>
      <c r="H15" s="268"/>
      <c r="I15" s="38"/>
      <c r="J15" s="268"/>
      <c r="K15" s="268"/>
      <c r="L15" s="268"/>
      <c r="M15" s="268"/>
    </row>
    <row r="16" spans="1:13" x14ac:dyDescent="0.35">
      <c r="A16" s="268"/>
      <c r="B16" s="268"/>
      <c r="C16" s="268"/>
      <c r="D16" s="268"/>
      <c r="E16" s="268"/>
      <c r="F16" s="268"/>
      <c r="G16" s="268"/>
      <c r="H16" s="268"/>
      <c r="I16" s="38"/>
      <c r="J16" s="268"/>
      <c r="K16" s="268"/>
      <c r="L16" s="268"/>
      <c r="M16" s="268"/>
    </row>
    <row r="17" spans="1:13" x14ac:dyDescent="0.35">
      <c r="A17" s="268"/>
      <c r="B17" s="268"/>
      <c r="C17" s="268"/>
      <c r="D17" s="268"/>
      <c r="E17" s="268"/>
      <c r="F17" s="268"/>
      <c r="G17" s="268"/>
      <c r="H17" s="268"/>
      <c r="I17" s="38"/>
      <c r="J17" s="268"/>
      <c r="K17" s="268"/>
      <c r="L17" s="268"/>
      <c r="M17" s="268"/>
    </row>
    <row r="18" spans="1:13" x14ac:dyDescent="0.35">
      <c r="A18" s="268"/>
      <c r="B18" s="268"/>
      <c r="C18" s="268"/>
      <c r="D18" s="268"/>
      <c r="E18" s="268"/>
      <c r="F18" s="268"/>
      <c r="G18" s="268"/>
      <c r="H18" s="268"/>
      <c r="I18" s="38"/>
      <c r="J18" s="268"/>
      <c r="K18" s="268"/>
      <c r="L18" s="268"/>
      <c r="M18" s="268"/>
    </row>
    <row r="19" spans="1:13" x14ac:dyDescent="0.35">
      <c r="A19" s="268"/>
      <c r="B19" s="268" t="s">
        <v>552</v>
      </c>
      <c r="C19" s="268"/>
      <c r="D19" s="268"/>
      <c r="E19" s="268"/>
      <c r="F19" s="268"/>
      <c r="G19" s="268"/>
      <c r="H19" s="268"/>
      <c r="I19" s="38"/>
      <c r="J19" s="268"/>
      <c r="K19" s="268"/>
      <c r="L19" s="268"/>
      <c r="M19" s="268"/>
    </row>
    <row r="20" spans="1:13" x14ac:dyDescent="0.35">
      <c r="A20" s="268"/>
      <c r="B20" s="268"/>
      <c r="C20" s="268"/>
      <c r="D20" s="268"/>
      <c r="E20" s="268"/>
      <c r="F20" s="268"/>
      <c r="G20" s="268"/>
      <c r="H20" s="268"/>
      <c r="I20" s="38"/>
      <c r="J20" s="268"/>
      <c r="K20" s="268"/>
      <c r="L20" s="268"/>
      <c r="M20" s="268"/>
    </row>
    <row r="21" spans="1:13" x14ac:dyDescent="0.35">
      <c r="A21" s="268"/>
      <c r="B21" s="268"/>
      <c r="C21" s="268"/>
      <c r="D21" s="268"/>
      <c r="E21" s="268"/>
      <c r="F21" s="268"/>
      <c r="G21" s="268"/>
      <c r="H21" s="268"/>
      <c r="I21" s="38"/>
      <c r="J21" s="268"/>
      <c r="K21" s="268"/>
      <c r="L21" s="268"/>
      <c r="M21" s="268"/>
    </row>
    <row r="22" spans="1:13" x14ac:dyDescent="0.35">
      <c r="A22" s="268"/>
      <c r="B22" s="268"/>
      <c r="C22" s="268"/>
      <c r="D22" s="268"/>
      <c r="E22" s="268"/>
      <c r="F22" s="268"/>
      <c r="G22" s="268"/>
      <c r="H22" s="268"/>
      <c r="I22" s="38"/>
      <c r="J22" s="268"/>
      <c r="K22" s="268"/>
      <c r="L22" s="268"/>
      <c r="M22" s="268"/>
    </row>
    <row r="23" spans="1:13" x14ac:dyDescent="0.35">
      <c r="A23" s="268"/>
      <c r="B23" s="268"/>
      <c r="C23" s="268"/>
      <c r="D23" s="268"/>
      <c r="E23" s="268"/>
      <c r="F23" s="268"/>
      <c r="G23" s="268"/>
      <c r="H23" s="268"/>
      <c r="I23" s="38"/>
      <c r="J23" s="268"/>
      <c r="K23" s="268"/>
      <c r="L23" s="268"/>
      <c r="M23" s="268"/>
    </row>
    <row r="24" spans="1:13" x14ac:dyDescent="0.35">
      <c r="A24" s="268"/>
      <c r="B24" s="268"/>
      <c r="C24" s="268"/>
      <c r="D24" s="268"/>
      <c r="E24" s="268"/>
      <c r="F24" s="268"/>
      <c r="G24" s="268"/>
      <c r="H24" s="268"/>
      <c r="I24" s="38"/>
      <c r="J24" s="268"/>
      <c r="K24" s="268"/>
      <c r="L24" s="268"/>
      <c r="M24" s="268"/>
    </row>
    <row r="25" spans="1:13" x14ac:dyDescent="0.35">
      <c r="A25" s="268"/>
      <c r="B25" s="268"/>
      <c r="C25" s="268"/>
      <c r="D25" s="268"/>
      <c r="E25" s="268"/>
      <c r="F25" s="268"/>
      <c r="G25" s="268"/>
      <c r="H25" s="268"/>
      <c r="I25" s="38"/>
      <c r="J25" s="268"/>
      <c r="K25" s="268"/>
      <c r="L25" s="268"/>
      <c r="M25" s="268"/>
    </row>
    <row r="26" spans="1:13" ht="15" thickBot="1" x14ac:dyDescent="0.4">
      <c r="A26" s="268"/>
      <c r="B26" s="268"/>
      <c r="C26" s="268"/>
      <c r="D26" s="268"/>
      <c r="E26" s="268"/>
      <c r="F26" s="268"/>
      <c r="G26" s="268"/>
      <c r="H26" s="268"/>
      <c r="I26" s="38"/>
      <c r="J26" s="268"/>
      <c r="K26" s="268"/>
      <c r="L26" s="268"/>
      <c r="M26" s="268"/>
    </row>
    <row r="27" spans="1:13" ht="15.5" thickTop="1" thickBot="1" x14ac:dyDescent="0.4">
      <c r="A27" s="268"/>
      <c r="B27" s="447" t="s">
        <v>267</v>
      </c>
      <c r="C27" s="448"/>
      <c r="D27" s="448"/>
      <c r="E27" s="448"/>
      <c r="F27" s="268"/>
      <c r="G27" s="268"/>
      <c r="H27" s="268"/>
      <c r="I27" s="38"/>
      <c r="J27" s="268"/>
      <c r="K27" s="268"/>
      <c r="L27" s="268"/>
      <c r="M27" s="268"/>
    </row>
    <row r="28" spans="1:13" ht="15.5" thickTop="1" thickBot="1" x14ac:dyDescent="0.4">
      <c r="A28" s="268"/>
      <c r="B28" s="448"/>
      <c r="C28" s="448"/>
      <c r="D28" s="448"/>
      <c r="E28" s="448"/>
      <c r="F28" s="268"/>
      <c r="G28" s="268"/>
      <c r="H28" s="268"/>
      <c r="I28" s="38"/>
      <c r="J28" s="268"/>
      <c r="K28" s="268"/>
      <c r="L28" s="268"/>
      <c r="M28" s="268"/>
    </row>
    <row r="29" spans="1:13" ht="27.5" customHeight="1" thickTop="1" thickBot="1" x14ac:dyDescent="0.4">
      <c r="A29" s="268"/>
      <c r="B29" s="448"/>
      <c r="C29" s="448"/>
      <c r="D29" s="448"/>
      <c r="E29" s="448"/>
      <c r="F29" s="268"/>
      <c r="G29" s="268"/>
      <c r="H29" s="268"/>
      <c r="I29" s="38"/>
      <c r="J29" s="268"/>
      <c r="K29" s="268"/>
      <c r="L29" s="268"/>
      <c r="M29" s="268"/>
    </row>
    <row r="30" spans="1:13" ht="15" thickTop="1" x14ac:dyDescent="0.35">
      <c r="A30" s="268"/>
      <c r="B30" s="268"/>
      <c r="C30" s="268"/>
      <c r="D30" s="268"/>
      <c r="E30" s="268"/>
      <c r="F30" s="268"/>
      <c r="G30" s="268"/>
      <c r="H30" s="268"/>
      <c r="I30" s="38"/>
      <c r="J30" s="268"/>
      <c r="K30" s="268"/>
      <c r="L30" s="268"/>
      <c r="M30" s="268"/>
    </row>
    <row r="31" spans="1:13" x14ac:dyDescent="0.35">
      <c r="A31" s="268"/>
      <c r="B31" s="268"/>
      <c r="C31" s="268"/>
      <c r="D31" s="268"/>
      <c r="E31" s="268"/>
      <c r="F31" s="268"/>
      <c r="G31" s="268"/>
      <c r="H31" s="268"/>
      <c r="I31" s="38"/>
      <c r="J31" s="268"/>
      <c r="K31" s="268"/>
      <c r="L31" s="268"/>
      <c r="M31" s="268"/>
    </row>
    <row r="32" spans="1:13" x14ac:dyDescent="0.35">
      <c r="A32" s="268"/>
      <c r="B32" s="268"/>
      <c r="C32" s="268"/>
      <c r="D32" s="268"/>
      <c r="E32" s="268"/>
      <c r="F32" s="268"/>
      <c r="G32" s="268"/>
      <c r="H32" s="268"/>
      <c r="I32" s="38"/>
      <c r="J32" s="268"/>
      <c r="K32" s="268"/>
      <c r="L32" s="268"/>
      <c r="M32" s="268"/>
    </row>
    <row r="33" spans="1:13" x14ac:dyDescent="0.35">
      <c r="A33" s="268"/>
      <c r="B33" s="268"/>
      <c r="C33" s="268"/>
      <c r="D33" s="268"/>
      <c r="E33" s="268"/>
      <c r="F33" s="268"/>
      <c r="G33" s="268"/>
      <c r="H33" s="268"/>
      <c r="I33" s="38"/>
      <c r="J33" s="268"/>
      <c r="K33" s="268"/>
      <c r="L33" s="268"/>
      <c r="M33" s="268"/>
    </row>
    <row r="34" spans="1:13" x14ac:dyDescent="0.35">
      <c r="A34" s="268"/>
      <c r="B34" s="268"/>
      <c r="C34" s="268"/>
      <c r="D34" s="268"/>
      <c r="E34" s="268"/>
      <c r="F34" s="268"/>
      <c r="G34" s="268"/>
      <c r="H34" s="268"/>
      <c r="I34" s="38"/>
      <c r="J34" s="268"/>
      <c r="K34" s="268"/>
      <c r="L34" s="268"/>
      <c r="M34" s="268"/>
    </row>
    <row r="35" spans="1:13" x14ac:dyDescent="0.35">
      <c r="A35" s="268"/>
      <c r="B35" s="268"/>
      <c r="C35" s="268"/>
      <c r="D35" s="268"/>
      <c r="E35" s="268"/>
      <c r="F35" s="268"/>
      <c r="G35" s="268"/>
      <c r="H35" s="268"/>
      <c r="I35" s="38"/>
      <c r="J35" s="268"/>
      <c r="K35" s="268"/>
      <c r="L35" s="268"/>
      <c r="M35" s="268"/>
    </row>
    <row r="36" spans="1:13" x14ac:dyDescent="0.35">
      <c r="A36" s="407" t="s">
        <v>66</v>
      </c>
      <c r="B36" s="407"/>
      <c r="C36" s="268"/>
      <c r="D36" s="268"/>
      <c r="E36" s="407" t="s">
        <v>67</v>
      </c>
      <c r="F36" s="407"/>
      <c r="G36" s="408"/>
      <c r="H36" s="408"/>
      <c r="I36" s="266"/>
      <c r="J36" s="266"/>
      <c r="K36" s="266"/>
      <c r="L36" s="39"/>
      <c r="M36" s="269"/>
    </row>
    <row r="37" spans="1:13" x14ac:dyDescent="0.35">
      <c r="A37" s="421" t="s">
        <v>69</v>
      </c>
      <c r="B37" s="421"/>
      <c r="D37" s="267"/>
      <c r="E37" s="410" t="s">
        <v>70</v>
      </c>
      <c r="F37" s="410"/>
      <c r="G37" s="410" t="s">
        <v>71</v>
      </c>
      <c r="H37" s="410"/>
      <c r="I37" s="267"/>
      <c r="J37" s="267"/>
      <c r="K37" s="267" t="s">
        <v>72</v>
      </c>
      <c r="L37" s="265"/>
      <c r="M37" s="265"/>
    </row>
    <row r="38" spans="1:13" x14ac:dyDescent="0.35">
      <c r="A38" s="414" t="s">
        <v>92</v>
      </c>
      <c r="B38" s="414"/>
      <c r="D38" s="270"/>
      <c r="E38" s="414" t="s">
        <v>73</v>
      </c>
      <c r="F38" s="414"/>
      <c r="G38" s="414" t="s">
        <v>74</v>
      </c>
      <c r="H38" s="414"/>
      <c r="I38" s="265"/>
      <c r="J38" s="265"/>
      <c r="K38" s="265" t="s">
        <v>75</v>
      </c>
      <c r="L38" s="264"/>
      <c r="M38" s="264"/>
    </row>
    <row r="39" spans="1:13" x14ac:dyDescent="0.35">
      <c r="A39" s="414" t="s">
        <v>94</v>
      </c>
      <c r="B39" s="414"/>
      <c r="D39" s="271"/>
      <c r="E39" s="414" t="s">
        <v>78</v>
      </c>
      <c r="F39" s="414"/>
      <c r="G39" s="414" t="s">
        <v>414</v>
      </c>
      <c r="H39" s="414"/>
      <c r="I39" s="264"/>
      <c r="J39" s="264"/>
      <c r="K39" s="265" t="s">
        <v>80</v>
      </c>
      <c r="L39" s="271"/>
      <c r="M39" s="271"/>
    </row>
    <row r="40" spans="1:13" x14ac:dyDescent="0.35">
      <c r="A40" s="412" t="s">
        <v>76</v>
      </c>
      <c r="B40" s="412"/>
      <c r="D40" s="271"/>
      <c r="E40" s="412" t="s">
        <v>76</v>
      </c>
      <c r="F40" s="412"/>
      <c r="G40" s="412" t="s">
        <v>76</v>
      </c>
      <c r="H40" s="412"/>
      <c r="I40" s="264"/>
      <c r="J40" s="264"/>
      <c r="K40" s="264"/>
    </row>
  </sheetData>
  <mergeCells count="35">
    <mergeCell ref="A40:B40"/>
    <mergeCell ref="E40:F40"/>
    <mergeCell ref="G40:H40"/>
    <mergeCell ref="B27:E29"/>
    <mergeCell ref="A38:B38"/>
    <mergeCell ref="E38:F38"/>
    <mergeCell ref="G38:H38"/>
    <mergeCell ref="A39:B39"/>
    <mergeCell ref="E39:F39"/>
    <mergeCell ref="G39:H39"/>
    <mergeCell ref="A36:B36"/>
    <mergeCell ref="E36:F36"/>
    <mergeCell ref="G36:H36"/>
    <mergeCell ref="A37:B37"/>
    <mergeCell ref="E37:F37"/>
    <mergeCell ref="G37:H37"/>
    <mergeCell ref="A13:G13"/>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5" orientation="landscape"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A063-95A2-4756-BED3-E2E8C7494180}">
  <sheetPr>
    <pageSetUpPr fitToPage="1"/>
  </sheetPr>
  <dimension ref="A1:M56"/>
  <sheetViews>
    <sheetView topLeftCell="A21" workbookViewId="0">
      <selection activeCell="B18" sqref="B18:B30"/>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9.5" customHeight="1" x14ac:dyDescent="0.35">
      <c r="A1" s="473" t="s">
        <v>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547</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46092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H37</f>
        <v>544000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539</v>
      </c>
      <c r="J11" s="3" t="s">
        <v>18</v>
      </c>
      <c r="K11" s="3" t="s">
        <v>19</v>
      </c>
      <c r="L11" s="3" t="s">
        <v>20</v>
      </c>
      <c r="M11" s="4" t="s">
        <v>21</v>
      </c>
    </row>
    <row r="12" spans="1:13" x14ac:dyDescent="0.35">
      <c r="A12" s="5">
        <v>1</v>
      </c>
      <c r="B12" s="71" t="s">
        <v>227</v>
      </c>
      <c r="C12" s="72" t="s">
        <v>49</v>
      </c>
      <c r="D12" s="73" t="s">
        <v>54</v>
      </c>
      <c r="E12" s="44" t="s">
        <v>24</v>
      </c>
      <c r="F12" s="44" t="s">
        <v>25</v>
      </c>
      <c r="G12" s="73" t="s">
        <v>55</v>
      </c>
      <c r="H12" s="80">
        <v>5000</v>
      </c>
      <c r="I12" s="10">
        <v>41417</v>
      </c>
      <c r="J12" s="10">
        <v>41917</v>
      </c>
      <c r="K12" s="11">
        <v>46069</v>
      </c>
      <c r="L12" s="80">
        <v>5000</v>
      </c>
      <c r="M12" s="17" t="s">
        <v>204</v>
      </c>
    </row>
    <row r="13" spans="1:13" x14ac:dyDescent="0.35">
      <c r="A13" s="5">
        <v>2</v>
      </c>
      <c r="B13" s="16" t="s">
        <v>228</v>
      </c>
      <c r="C13" s="7" t="s">
        <v>49</v>
      </c>
      <c r="D13" s="8" t="s">
        <v>57</v>
      </c>
      <c r="E13" s="5" t="s">
        <v>24</v>
      </c>
      <c r="F13" s="5" t="s">
        <v>25</v>
      </c>
      <c r="G13" s="73" t="s">
        <v>359</v>
      </c>
      <c r="H13" s="80">
        <v>10000</v>
      </c>
      <c r="I13" s="10">
        <v>42493</v>
      </c>
      <c r="J13" s="10">
        <v>47293</v>
      </c>
      <c r="K13" s="11">
        <v>46054</v>
      </c>
      <c r="L13" s="80">
        <v>5000</v>
      </c>
      <c r="M13" s="17" t="s">
        <v>204</v>
      </c>
    </row>
    <row r="14" spans="1:13" x14ac:dyDescent="0.35">
      <c r="A14" s="5">
        <v>3</v>
      </c>
      <c r="B14" s="16" t="s">
        <v>231</v>
      </c>
      <c r="C14" s="7" t="s">
        <v>49</v>
      </c>
      <c r="D14" s="8" t="s">
        <v>60</v>
      </c>
      <c r="E14" s="5" t="s">
        <v>24</v>
      </c>
      <c r="F14" s="5" t="s">
        <v>25</v>
      </c>
      <c r="G14" s="8" t="s">
        <v>61</v>
      </c>
      <c r="H14" s="80">
        <v>10000</v>
      </c>
      <c r="I14" s="10">
        <v>33850</v>
      </c>
      <c r="J14" s="10">
        <v>39850</v>
      </c>
      <c r="K14" s="11">
        <v>46057</v>
      </c>
      <c r="L14" s="80">
        <v>5000</v>
      </c>
      <c r="M14" s="17" t="s">
        <v>132</v>
      </c>
    </row>
    <row r="15" spans="1:13" x14ac:dyDescent="0.35">
      <c r="A15" s="5">
        <v>4</v>
      </c>
      <c r="B15" s="71" t="s">
        <v>229</v>
      </c>
      <c r="C15" s="72" t="s">
        <v>49</v>
      </c>
      <c r="D15" s="44" t="s">
        <v>47</v>
      </c>
      <c r="E15" s="44" t="s">
        <v>24</v>
      </c>
      <c r="F15" s="44" t="s">
        <v>25</v>
      </c>
      <c r="G15" s="44" t="s">
        <v>102</v>
      </c>
      <c r="H15" s="80">
        <v>10000</v>
      </c>
      <c r="I15" s="10">
        <v>47834</v>
      </c>
      <c r="J15" s="10">
        <v>52234</v>
      </c>
      <c r="K15" s="11">
        <v>46057</v>
      </c>
      <c r="L15" s="80">
        <v>5000</v>
      </c>
      <c r="M15" s="17" t="s">
        <v>204</v>
      </c>
    </row>
    <row r="16" spans="1:13" x14ac:dyDescent="0.35">
      <c r="A16" s="5">
        <v>5</v>
      </c>
      <c r="B16" s="16" t="s">
        <v>230</v>
      </c>
      <c r="C16" s="7" t="s">
        <v>49</v>
      </c>
      <c r="D16" s="8" t="s">
        <v>50</v>
      </c>
      <c r="E16" s="5" t="s">
        <v>24</v>
      </c>
      <c r="F16" s="5" t="s">
        <v>25</v>
      </c>
      <c r="G16" s="8" t="s">
        <v>51</v>
      </c>
      <c r="H16" s="80">
        <v>20000</v>
      </c>
      <c r="I16" s="10">
        <v>26562</v>
      </c>
      <c r="J16" s="10">
        <v>32562</v>
      </c>
      <c r="K16" s="11">
        <v>46057</v>
      </c>
      <c r="L16" s="80">
        <v>20000</v>
      </c>
      <c r="M16" s="17" t="s">
        <v>132</v>
      </c>
    </row>
    <row r="17" spans="1:13" x14ac:dyDescent="0.35">
      <c r="A17" s="5">
        <v>6</v>
      </c>
      <c r="B17" s="71" t="s">
        <v>232</v>
      </c>
      <c r="C17" s="72" t="s">
        <v>233</v>
      </c>
      <c r="D17" s="44" t="s">
        <v>234</v>
      </c>
      <c r="E17" s="5" t="s">
        <v>24</v>
      </c>
      <c r="F17" s="5" t="s">
        <v>25</v>
      </c>
      <c r="G17" s="44" t="s">
        <v>235</v>
      </c>
      <c r="H17" s="80">
        <v>50000</v>
      </c>
      <c r="I17" s="10">
        <v>70456</v>
      </c>
      <c r="J17" s="10">
        <v>135911</v>
      </c>
      <c r="K17" s="11">
        <v>46069</v>
      </c>
      <c r="L17" s="80">
        <v>50000</v>
      </c>
      <c r="M17" s="17" t="s">
        <v>236</v>
      </c>
    </row>
    <row r="18" spans="1:13" x14ac:dyDescent="0.35">
      <c r="A18" s="5">
        <v>7</v>
      </c>
      <c r="B18" s="71" t="s">
        <v>30</v>
      </c>
      <c r="C18" s="72" t="s">
        <v>23</v>
      </c>
      <c r="D18" s="44" t="s">
        <v>31</v>
      </c>
      <c r="E18" s="44" t="s">
        <v>32</v>
      </c>
      <c r="F18" s="44" t="s">
        <v>25</v>
      </c>
      <c r="G18" s="44" t="s">
        <v>33</v>
      </c>
      <c r="H18" s="80">
        <v>50000</v>
      </c>
      <c r="I18" s="10">
        <v>58886</v>
      </c>
      <c r="J18" s="10">
        <v>90886</v>
      </c>
      <c r="K18" s="11">
        <v>46057</v>
      </c>
      <c r="L18" s="80">
        <v>40000</v>
      </c>
      <c r="M18" s="17" t="s">
        <v>104</v>
      </c>
    </row>
    <row r="19" spans="1:13" x14ac:dyDescent="0.35">
      <c r="A19" s="5">
        <v>8</v>
      </c>
      <c r="B19" s="71" t="s">
        <v>22</v>
      </c>
      <c r="C19" s="72" t="s">
        <v>23</v>
      </c>
      <c r="D19" s="44" t="s">
        <v>205</v>
      </c>
      <c r="E19" s="44" t="s">
        <v>24</v>
      </c>
      <c r="F19" s="44" t="s">
        <v>25</v>
      </c>
      <c r="G19" s="44" t="s">
        <v>105</v>
      </c>
      <c r="H19" s="80">
        <v>12000</v>
      </c>
      <c r="I19" s="10">
        <v>26306</v>
      </c>
      <c r="J19" s="10">
        <v>27306</v>
      </c>
      <c r="K19" s="11">
        <v>46072</v>
      </c>
      <c r="L19" s="80">
        <v>6000</v>
      </c>
      <c r="M19" s="17" t="s">
        <v>96</v>
      </c>
    </row>
    <row r="20" spans="1:13" x14ac:dyDescent="0.35">
      <c r="A20" s="5">
        <v>9</v>
      </c>
      <c r="B20" s="6" t="s">
        <v>34</v>
      </c>
      <c r="C20" s="14" t="s">
        <v>23</v>
      </c>
      <c r="D20" s="15">
        <v>1149</v>
      </c>
      <c r="E20" s="15" t="s">
        <v>24</v>
      </c>
      <c r="F20" s="15" t="s">
        <v>25</v>
      </c>
      <c r="G20" s="13" t="s">
        <v>35</v>
      </c>
      <c r="H20" s="80">
        <v>3000</v>
      </c>
      <c r="I20" s="10">
        <v>20365</v>
      </c>
      <c r="J20" s="10">
        <v>23365</v>
      </c>
      <c r="K20" s="11">
        <v>46002</v>
      </c>
      <c r="L20" s="80">
        <v>5000</v>
      </c>
      <c r="M20" s="17" t="s">
        <v>154</v>
      </c>
    </row>
    <row r="21" spans="1:13" x14ac:dyDescent="0.35">
      <c r="A21" s="5">
        <v>10</v>
      </c>
      <c r="B21" s="71" t="s">
        <v>26</v>
      </c>
      <c r="C21" s="72" t="s">
        <v>23</v>
      </c>
      <c r="D21" s="73" t="s">
        <v>27</v>
      </c>
      <c r="E21" s="44" t="s">
        <v>24</v>
      </c>
      <c r="F21" s="44" t="s">
        <v>25</v>
      </c>
      <c r="G21" s="73" t="s">
        <v>28</v>
      </c>
      <c r="H21" s="80">
        <v>5000</v>
      </c>
      <c r="I21" s="10">
        <v>29000</v>
      </c>
      <c r="J21" s="10">
        <v>32711</v>
      </c>
      <c r="K21" s="11">
        <v>46005</v>
      </c>
      <c r="L21" s="80">
        <v>5000</v>
      </c>
      <c r="M21" s="17" t="s">
        <v>154</v>
      </c>
    </row>
    <row r="22" spans="1:13" x14ac:dyDescent="0.35">
      <c r="A22" s="5">
        <v>11</v>
      </c>
      <c r="B22" s="71" t="s">
        <v>36</v>
      </c>
      <c r="C22" s="72" t="s">
        <v>23</v>
      </c>
      <c r="D22" s="44">
        <v>1311</v>
      </c>
      <c r="E22" s="44" t="s">
        <v>24</v>
      </c>
      <c r="F22" s="44" t="s">
        <v>25</v>
      </c>
      <c r="G22" s="73" t="s">
        <v>37</v>
      </c>
      <c r="H22" s="80">
        <v>13000</v>
      </c>
      <c r="I22" s="10">
        <v>11300</v>
      </c>
      <c r="J22" s="10">
        <v>12377</v>
      </c>
      <c r="K22" s="11">
        <v>46071</v>
      </c>
      <c r="L22" s="80">
        <v>8000</v>
      </c>
      <c r="M22" s="17" t="s">
        <v>204</v>
      </c>
    </row>
    <row r="23" spans="1:13" x14ac:dyDescent="0.35">
      <c r="A23" s="5">
        <v>12</v>
      </c>
      <c r="B23" s="71" t="s">
        <v>38</v>
      </c>
      <c r="C23" s="72" t="s">
        <v>23</v>
      </c>
      <c r="D23" s="73" t="s">
        <v>39</v>
      </c>
      <c r="E23" s="44" t="s">
        <v>24</v>
      </c>
      <c r="F23" s="44" t="s">
        <v>25</v>
      </c>
      <c r="G23" s="73" t="s">
        <v>40</v>
      </c>
      <c r="H23" s="78">
        <v>10000</v>
      </c>
      <c r="I23" s="10">
        <v>10113</v>
      </c>
      <c r="J23" s="10">
        <v>11135</v>
      </c>
      <c r="K23" s="11">
        <v>46071</v>
      </c>
      <c r="L23" s="80">
        <v>5000</v>
      </c>
      <c r="M23" s="17" t="s">
        <v>154</v>
      </c>
    </row>
    <row r="24" spans="1:13" x14ac:dyDescent="0.35">
      <c r="A24" s="5">
        <v>13</v>
      </c>
      <c r="B24" s="97" t="s">
        <v>293</v>
      </c>
      <c r="C24" s="98" t="s">
        <v>23</v>
      </c>
      <c r="D24">
        <v>815</v>
      </c>
      <c r="E24" s="99" t="s">
        <v>24</v>
      </c>
      <c r="F24" s="99" t="s">
        <v>130</v>
      </c>
      <c r="G24" s="100" t="s">
        <v>287</v>
      </c>
      <c r="H24" s="245">
        <v>10000</v>
      </c>
      <c r="I24" s="102">
        <v>17100</v>
      </c>
      <c r="J24" s="102">
        <v>25630</v>
      </c>
      <c r="K24" s="103">
        <v>46060</v>
      </c>
      <c r="L24" s="145">
        <v>5000</v>
      </c>
      <c r="M24" s="64" t="s">
        <v>132</v>
      </c>
    </row>
    <row r="25" spans="1:13" x14ac:dyDescent="0.35">
      <c r="A25" s="5">
        <v>14</v>
      </c>
      <c r="B25" s="14" t="s">
        <v>398</v>
      </c>
      <c r="C25" s="7" t="s">
        <v>23</v>
      </c>
      <c r="D25" s="8">
        <v>741</v>
      </c>
      <c r="E25" s="5" t="s">
        <v>24</v>
      </c>
      <c r="F25" s="5" t="s">
        <v>25</v>
      </c>
      <c r="G25" s="125" t="s">
        <v>399</v>
      </c>
      <c r="H25" s="246">
        <v>10000</v>
      </c>
      <c r="I25" s="10">
        <v>18500</v>
      </c>
      <c r="J25" s="10">
        <v>23326</v>
      </c>
      <c r="K25" s="124">
        <v>46060</v>
      </c>
      <c r="L25" s="146">
        <v>6000</v>
      </c>
      <c r="M25" s="17" t="s">
        <v>204</v>
      </c>
    </row>
    <row r="26" spans="1:13" x14ac:dyDescent="0.35">
      <c r="A26" s="5">
        <v>15</v>
      </c>
      <c r="B26" s="71" t="s">
        <v>155</v>
      </c>
      <c r="C26" s="72" t="s">
        <v>23</v>
      </c>
      <c r="D26" s="73">
        <v>731</v>
      </c>
      <c r="E26" s="44" t="s">
        <v>24</v>
      </c>
      <c r="F26" s="44" t="s">
        <v>25</v>
      </c>
      <c r="G26" s="73" t="s">
        <v>131</v>
      </c>
      <c r="H26" s="80">
        <v>10000</v>
      </c>
      <c r="I26" s="10">
        <v>15100</v>
      </c>
      <c r="J26" s="10">
        <v>17624</v>
      </c>
      <c r="K26" s="11">
        <v>46058</v>
      </c>
      <c r="L26" s="80">
        <v>3000</v>
      </c>
      <c r="M26" s="17" t="s">
        <v>154</v>
      </c>
    </row>
    <row r="27" spans="1:13" x14ac:dyDescent="0.35">
      <c r="A27" s="5">
        <v>16</v>
      </c>
      <c r="B27" s="71" t="s">
        <v>450</v>
      </c>
      <c r="C27" s="72" t="s">
        <v>23</v>
      </c>
      <c r="D27" s="73" t="s">
        <v>451</v>
      </c>
      <c r="E27" s="44" t="s">
        <v>24</v>
      </c>
      <c r="F27" s="44" t="s">
        <v>130</v>
      </c>
      <c r="G27" s="73" t="s">
        <v>452</v>
      </c>
      <c r="H27" s="80">
        <v>8000</v>
      </c>
      <c r="I27" s="10">
        <v>18100</v>
      </c>
      <c r="J27" s="10">
        <v>24224</v>
      </c>
      <c r="K27" s="11">
        <v>46058</v>
      </c>
      <c r="L27" s="80">
        <v>4000</v>
      </c>
      <c r="M27" s="17" t="s">
        <v>364</v>
      </c>
    </row>
    <row r="28" spans="1:13" x14ac:dyDescent="0.35">
      <c r="A28" s="5">
        <v>17</v>
      </c>
      <c r="B28" s="71" t="s">
        <v>457</v>
      </c>
      <c r="C28" s="72" t="s">
        <v>23</v>
      </c>
      <c r="D28" s="73" t="s">
        <v>444</v>
      </c>
      <c r="E28" s="44" t="s">
        <v>24</v>
      </c>
      <c r="F28" s="44" t="s">
        <v>130</v>
      </c>
      <c r="G28" s="73" t="s">
        <v>458</v>
      </c>
      <c r="H28" s="80">
        <v>65000</v>
      </c>
      <c r="I28" s="10">
        <v>50013</v>
      </c>
      <c r="J28" s="10">
        <v>74368</v>
      </c>
      <c r="K28" s="11">
        <v>46058</v>
      </c>
      <c r="L28" s="80">
        <v>55000</v>
      </c>
      <c r="M28" s="134" t="s">
        <v>104</v>
      </c>
    </row>
    <row r="29" spans="1:13" x14ac:dyDescent="0.35">
      <c r="A29" s="5">
        <v>18</v>
      </c>
      <c r="B29" s="85" t="s">
        <v>472</v>
      </c>
      <c r="C29" s="86" t="s">
        <v>23</v>
      </c>
      <c r="D29" s="135">
        <v>1170</v>
      </c>
      <c r="E29" s="87" t="s">
        <v>24</v>
      </c>
      <c r="F29" s="87" t="s">
        <v>130</v>
      </c>
      <c r="G29" s="136" t="s">
        <v>473</v>
      </c>
      <c r="H29" s="80">
        <v>8000</v>
      </c>
      <c r="I29" s="10">
        <v>15100</v>
      </c>
      <c r="J29" s="10">
        <v>17760</v>
      </c>
      <c r="K29" s="11">
        <v>46062</v>
      </c>
      <c r="L29" s="80">
        <v>3000</v>
      </c>
      <c r="M29" s="134" t="s">
        <v>204</v>
      </c>
    </row>
    <row r="30" spans="1:13" x14ac:dyDescent="0.35">
      <c r="A30" s="5">
        <v>19</v>
      </c>
      <c r="B30" s="71" t="s">
        <v>522</v>
      </c>
      <c r="C30" s="72" t="s">
        <v>23</v>
      </c>
      <c r="D30" s="73" t="s">
        <v>523</v>
      </c>
      <c r="E30" s="44" t="s">
        <v>24</v>
      </c>
      <c r="F30" s="44" t="s">
        <v>130</v>
      </c>
      <c r="G30" s="73" t="s">
        <v>524</v>
      </c>
      <c r="H30" s="80">
        <v>12000</v>
      </c>
      <c r="I30" s="10">
        <v>15100</v>
      </c>
      <c r="J30" s="10">
        <v>19460</v>
      </c>
      <c r="K30" s="11">
        <v>46057</v>
      </c>
      <c r="L30" s="80">
        <v>20000</v>
      </c>
      <c r="M30" s="134" t="s">
        <v>132</v>
      </c>
    </row>
    <row r="31" spans="1:13" x14ac:dyDescent="0.35">
      <c r="A31" s="5">
        <v>20</v>
      </c>
      <c r="B31" s="85" t="s">
        <v>331</v>
      </c>
      <c r="C31" s="86" t="s">
        <v>332</v>
      </c>
      <c r="D31" s="53" t="s">
        <v>333</v>
      </c>
      <c r="E31" s="87" t="s">
        <v>24</v>
      </c>
      <c r="F31" s="87" t="s">
        <v>44</v>
      </c>
      <c r="G31" s="87" t="s">
        <v>335</v>
      </c>
      <c r="H31" s="78">
        <v>28000</v>
      </c>
      <c r="I31" s="42">
        <v>16066</v>
      </c>
      <c r="J31" s="42">
        <v>24486</v>
      </c>
      <c r="K31" s="11">
        <v>46023</v>
      </c>
      <c r="L31" s="78">
        <v>18000</v>
      </c>
      <c r="M31" s="12" t="s">
        <v>406</v>
      </c>
    </row>
    <row r="32" spans="1:13" x14ac:dyDescent="0.35">
      <c r="A32" s="5">
        <v>21</v>
      </c>
      <c r="B32" s="71" t="s">
        <v>419</v>
      </c>
      <c r="C32" s="72" t="s">
        <v>144</v>
      </c>
      <c r="D32" s="73" t="s">
        <v>424</v>
      </c>
      <c r="E32" s="44" t="s">
        <v>24</v>
      </c>
      <c r="F32" s="44" t="s">
        <v>44</v>
      </c>
      <c r="G32" s="73" t="s">
        <v>421</v>
      </c>
      <c r="H32" s="80">
        <v>60000</v>
      </c>
      <c r="I32" s="10">
        <v>57655</v>
      </c>
      <c r="J32" s="10">
        <v>74510</v>
      </c>
      <c r="K32" s="11">
        <v>46083</v>
      </c>
      <c r="L32" s="80">
        <v>50000</v>
      </c>
      <c r="M32" s="17" t="s">
        <v>503</v>
      </c>
    </row>
    <row r="33" spans="1:13" x14ac:dyDescent="0.35">
      <c r="A33" s="5">
        <v>22</v>
      </c>
      <c r="B33" s="74" t="s">
        <v>330</v>
      </c>
      <c r="C33" s="72" t="s">
        <v>144</v>
      </c>
      <c r="D33" s="73" t="s">
        <v>43</v>
      </c>
      <c r="E33" s="44" t="s">
        <v>24</v>
      </c>
      <c r="F33" s="44" t="s">
        <v>44</v>
      </c>
      <c r="G33" s="44">
        <v>24024723</v>
      </c>
      <c r="H33" s="78">
        <v>60000</v>
      </c>
      <c r="I33" s="42">
        <v>61266</v>
      </c>
      <c r="J33" s="42">
        <v>72721</v>
      </c>
      <c r="K33" s="11">
        <v>46023</v>
      </c>
      <c r="L33" s="78">
        <v>55000</v>
      </c>
      <c r="M33" s="12" t="s">
        <v>503</v>
      </c>
    </row>
    <row r="34" spans="1:13" x14ac:dyDescent="0.35">
      <c r="A34" s="5">
        <v>23</v>
      </c>
      <c r="B34" s="85" t="s">
        <v>485</v>
      </c>
      <c r="C34" s="86" t="s">
        <v>144</v>
      </c>
      <c r="D34" s="160">
        <v>452</v>
      </c>
      <c r="E34" s="87" t="s">
        <v>24</v>
      </c>
      <c r="F34" s="87" t="s">
        <v>44</v>
      </c>
      <c r="G34" s="179" t="s">
        <v>486</v>
      </c>
      <c r="H34" s="78">
        <v>60000</v>
      </c>
      <c r="I34" s="42">
        <v>62646</v>
      </c>
      <c r="J34" s="42">
        <v>78673</v>
      </c>
      <c r="K34" s="11">
        <v>46023</v>
      </c>
      <c r="L34" s="78">
        <v>80000</v>
      </c>
      <c r="M34" s="12" t="s">
        <v>503</v>
      </c>
    </row>
    <row r="35" spans="1:13" x14ac:dyDescent="0.35">
      <c r="A35" s="5"/>
      <c r="B35" s="85"/>
      <c r="C35" s="86"/>
      <c r="D35" s="160"/>
      <c r="E35" s="87"/>
      <c r="F35" s="87"/>
      <c r="G35" s="340"/>
      <c r="H35" s="78"/>
      <c r="I35" s="42"/>
      <c r="J35" s="42"/>
      <c r="K35" s="11"/>
      <c r="L35" s="78"/>
      <c r="M35" s="12"/>
    </row>
    <row r="36" spans="1:13" x14ac:dyDescent="0.35">
      <c r="A36" s="5">
        <v>24</v>
      </c>
      <c r="B36" s="71" t="s">
        <v>513</v>
      </c>
      <c r="C36" s="72" t="s">
        <v>144</v>
      </c>
      <c r="D36" s="73" t="s">
        <v>514</v>
      </c>
      <c r="E36" s="44" t="s">
        <v>14</v>
      </c>
      <c r="F36" s="44" t="s">
        <v>44</v>
      </c>
      <c r="G36" s="73" t="s">
        <v>516</v>
      </c>
      <c r="H36" s="80">
        <v>15000</v>
      </c>
      <c r="I36" s="42">
        <v>2952</v>
      </c>
      <c r="J36" s="42">
        <v>33251</v>
      </c>
      <c r="K36" s="11">
        <v>46023</v>
      </c>
      <c r="L36" s="80">
        <v>30000</v>
      </c>
      <c r="M36" s="17" t="s">
        <v>364</v>
      </c>
    </row>
    <row r="37" spans="1:13" x14ac:dyDescent="0.35">
      <c r="A37" s="260"/>
      <c r="B37" s="260"/>
      <c r="C37" s="260"/>
      <c r="D37" s="260"/>
      <c r="E37" s="260"/>
      <c r="F37" s="260"/>
      <c r="G37" s="272" t="s">
        <v>381</v>
      </c>
      <c r="H37" s="273">
        <f>SUM(H12:H36)</f>
        <v>544000</v>
      </c>
      <c r="I37" s="260"/>
      <c r="J37" s="260"/>
      <c r="K37" s="260"/>
      <c r="L37" s="260"/>
      <c r="M37" s="260"/>
    </row>
    <row r="38" spans="1:13" x14ac:dyDescent="0.35">
      <c r="A38" s="260"/>
      <c r="B38" s="260" t="s">
        <v>548</v>
      </c>
      <c r="C38" s="260"/>
      <c r="D38" s="260"/>
      <c r="E38" s="260"/>
      <c r="F38" s="260"/>
      <c r="G38" s="260"/>
      <c r="H38" s="260"/>
      <c r="I38" s="260"/>
      <c r="J38" s="260"/>
      <c r="K38" s="260"/>
      <c r="L38" s="260"/>
      <c r="M38" s="260"/>
    </row>
    <row r="39" spans="1:13" x14ac:dyDescent="0.35">
      <c r="A39" s="260"/>
      <c r="B39" s="260"/>
      <c r="C39" s="260"/>
      <c r="D39" s="260"/>
      <c r="E39" s="260"/>
      <c r="F39" s="260"/>
      <c r="G39" s="260"/>
      <c r="H39" s="260"/>
      <c r="I39" s="260"/>
      <c r="J39" s="260"/>
      <c r="K39" s="260"/>
      <c r="L39" s="260"/>
      <c r="M39" s="260"/>
    </row>
    <row r="40" spans="1:13" x14ac:dyDescent="0.35">
      <c r="A40" s="260"/>
      <c r="B40" s="260"/>
      <c r="C40" s="260"/>
      <c r="D40" s="260"/>
      <c r="E40" s="260"/>
      <c r="F40" s="260"/>
      <c r="G40" s="260"/>
      <c r="H40" s="260"/>
      <c r="I40" s="260"/>
      <c r="J40" s="260"/>
      <c r="K40" s="260"/>
      <c r="L40" s="260"/>
      <c r="M40" s="260"/>
    </row>
    <row r="41" spans="1:13" x14ac:dyDescent="0.35">
      <c r="A41" s="260"/>
      <c r="B41" s="260"/>
      <c r="C41" s="260"/>
      <c r="D41" s="260"/>
      <c r="E41" s="260"/>
      <c r="F41" s="260"/>
      <c r="G41" s="260"/>
      <c r="H41" s="260"/>
      <c r="I41" s="260"/>
      <c r="J41" s="260"/>
      <c r="K41" s="260"/>
      <c r="L41" s="260"/>
      <c r="M41" s="260"/>
    </row>
    <row r="42" spans="1:13" x14ac:dyDescent="0.35">
      <c r="A42" s="260"/>
      <c r="B42" s="260"/>
      <c r="C42" s="260"/>
      <c r="D42" s="260"/>
      <c r="E42" s="260"/>
      <c r="F42" s="260"/>
      <c r="G42" s="260"/>
      <c r="H42" s="260"/>
      <c r="I42" s="260"/>
      <c r="J42" s="260"/>
      <c r="K42" s="260"/>
      <c r="L42" s="260"/>
      <c r="M42" s="260"/>
    </row>
    <row r="43" spans="1:13" ht="15" thickBot="1" x14ac:dyDescent="0.4">
      <c r="A43" s="420" t="s">
        <v>66</v>
      </c>
      <c r="B43" s="420"/>
      <c r="C43" s="260"/>
      <c r="D43" s="260"/>
      <c r="E43" s="407" t="s">
        <v>67</v>
      </c>
      <c r="F43" s="407"/>
      <c r="G43" s="49"/>
      <c r="H43" s="49"/>
      <c r="I43" s="408"/>
      <c r="J43" s="408"/>
      <c r="K43" s="256"/>
      <c r="L43" s="257"/>
      <c r="M43" s="257"/>
    </row>
    <row r="44" spans="1:13" ht="15" thickTop="1" x14ac:dyDescent="0.35">
      <c r="A44" s="421" t="s">
        <v>69</v>
      </c>
      <c r="B44" s="421"/>
      <c r="D44" s="30"/>
      <c r="E44" s="410" t="s">
        <v>70</v>
      </c>
      <c r="F44" s="410"/>
      <c r="G44" s="410" t="s">
        <v>71</v>
      </c>
      <c r="H44" s="410"/>
      <c r="I44" s="257"/>
      <c r="J44" s="257"/>
      <c r="K44" s="257" t="s">
        <v>72</v>
      </c>
      <c r="L44" s="259"/>
      <c r="M44" s="259"/>
    </row>
    <row r="45" spans="1:13" x14ac:dyDescent="0.35">
      <c r="A45" s="414" t="s">
        <v>92</v>
      </c>
      <c r="B45" s="414"/>
      <c r="D45" s="262"/>
      <c r="E45" s="414" t="s">
        <v>73</v>
      </c>
      <c r="F45" s="414"/>
      <c r="G45" s="414" t="s">
        <v>74</v>
      </c>
      <c r="H45" s="414"/>
      <c r="I45" s="259"/>
      <c r="J45" s="259"/>
      <c r="K45" s="259" t="s">
        <v>75</v>
      </c>
      <c r="L45" s="258"/>
      <c r="M45" s="258"/>
    </row>
    <row r="46" spans="1:13" x14ac:dyDescent="0.35">
      <c r="A46" s="412" t="s">
        <v>94</v>
      </c>
      <c r="B46" s="412"/>
      <c r="D46" s="263"/>
      <c r="E46" s="414" t="s">
        <v>78</v>
      </c>
      <c r="F46" s="414"/>
      <c r="G46" s="414" t="s">
        <v>414</v>
      </c>
      <c r="H46" s="414"/>
      <c r="I46" s="258"/>
      <c r="J46" s="258"/>
      <c r="K46" s="258" t="s">
        <v>80</v>
      </c>
      <c r="L46" s="263"/>
      <c r="M46" s="263"/>
    </row>
    <row r="47" spans="1:13" x14ac:dyDescent="0.35">
      <c r="A47" s="412" t="s">
        <v>76</v>
      </c>
      <c r="B47" s="412"/>
      <c r="D47" s="263"/>
      <c r="E47" s="412" t="s">
        <v>76</v>
      </c>
      <c r="F47" s="412"/>
      <c r="G47" s="412" t="s">
        <v>76</v>
      </c>
      <c r="H47" s="412"/>
      <c r="I47" s="258"/>
      <c r="J47" s="258"/>
      <c r="K47" s="258"/>
    </row>
    <row r="52" spans="1:5" ht="15" thickBot="1" x14ac:dyDescent="0.4"/>
    <row r="53" spans="1:5" ht="15" thickTop="1" x14ac:dyDescent="0.35">
      <c r="A53" s="417" t="s">
        <v>114</v>
      </c>
      <c r="B53" s="417"/>
      <c r="C53" s="429" t="s">
        <v>282</v>
      </c>
      <c r="D53" s="429"/>
      <c r="E53" s="429"/>
    </row>
    <row r="54" spans="1:5" x14ac:dyDescent="0.35">
      <c r="A54" s="418" t="s">
        <v>115</v>
      </c>
      <c r="B54" s="418"/>
      <c r="C54" s="430" t="s">
        <v>7</v>
      </c>
      <c r="D54" s="430"/>
      <c r="E54" s="430"/>
    </row>
    <row r="55" spans="1:5" x14ac:dyDescent="0.35">
      <c r="A55" s="422" t="s">
        <v>116</v>
      </c>
      <c r="B55" s="418"/>
      <c r="C55" s="431" t="s">
        <v>77</v>
      </c>
      <c r="D55" s="431"/>
      <c r="E55" s="431"/>
    </row>
    <row r="56" spans="1:5" x14ac:dyDescent="0.35">
      <c r="A56" s="416" t="s">
        <v>117</v>
      </c>
      <c r="B56" s="416"/>
      <c r="C56" s="412" t="s">
        <v>81</v>
      </c>
      <c r="D56" s="412"/>
      <c r="E56" s="412"/>
    </row>
  </sheetData>
  <mergeCells count="41">
    <mergeCell ref="A4:B4"/>
    <mergeCell ref="C4:M4"/>
    <mergeCell ref="A1:M1"/>
    <mergeCell ref="A2:B2"/>
    <mergeCell ref="C2:M2"/>
    <mergeCell ref="A3:B3"/>
    <mergeCell ref="C3:M3"/>
    <mergeCell ref="A43:B43"/>
    <mergeCell ref="E43:F43"/>
    <mergeCell ref="I43:J43"/>
    <mergeCell ref="A5:B5"/>
    <mergeCell ref="C5:M5"/>
    <mergeCell ref="A6:B6"/>
    <mergeCell ref="C6:M6"/>
    <mergeCell ref="A7:B7"/>
    <mergeCell ref="C7:M7"/>
    <mergeCell ref="A8:B8"/>
    <mergeCell ref="C8:M8"/>
    <mergeCell ref="A9:B9"/>
    <mergeCell ref="C9:M9"/>
    <mergeCell ref="A10:M10"/>
    <mergeCell ref="A44:B44"/>
    <mergeCell ref="E44:F44"/>
    <mergeCell ref="G44:H44"/>
    <mergeCell ref="A45:B45"/>
    <mergeCell ref="E45:F45"/>
    <mergeCell ref="G45:H45"/>
    <mergeCell ref="A46:B46"/>
    <mergeCell ref="E46:F46"/>
    <mergeCell ref="G46:H46"/>
    <mergeCell ref="A47:B47"/>
    <mergeCell ref="E47:F47"/>
    <mergeCell ref="G47:H47"/>
    <mergeCell ref="A56:B56"/>
    <mergeCell ref="C56:E56"/>
    <mergeCell ref="A53:B53"/>
    <mergeCell ref="C53:E53"/>
    <mergeCell ref="A54:B54"/>
    <mergeCell ref="C54:E54"/>
    <mergeCell ref="A55:B55"/>
    <mergeCell ref="C55:E55"/>
  </mergeCells>
  <printOptions horizontalCentered="1" verticalCentered="1"/>
  <pageMargins left="0.25" right="0.25" top="0.75" bottom="0.75" header="0.3" footer="0.3"/>
  <pageSetup paperSize="9" scale="56" orientation="landscape"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4723-A8E8-49E3-9B47-DF0454BD31D7}">
  <sheetPr>
    <pageSetUpPr fitToPage="1"/>
  </sheetPr>
  <dimension ref="A1:M41"/>
  <sheetViews>
    <sheetView topLeftCell="A3" workbookViewId="0">
      <selection sqref="A1:M41"/>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7.5" customHeight="1" x14ac:dyDescent="0.35">
      <c r="A1" s="473" t="s">
        <v>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547</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46154</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1210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539</v>
      </c>
      <c r="J11" s="3" t="s">
        <v>18</v>
      </c>
      <c r="K11" s="3" t="s">
        <v>19</v>
      </c>
      <c r="L11" s="3" t="s">
        <v>20</v>
      </c>
      <c r="M11" s="4" t="s">
        <v>21</v>
      </c>
    </row>
    <row r="12" spans="1:13" x14ac:dyDescent="0.35">
      <c r="A12" s="5">
        <v>1</v>
      </c>
      <c r="B12" s="71" t="s">
        <v>227</v>
      </c>
      <c r="C12" s="72" t="s">
        <v>49</v>
      </c>
      <c r="D12" s="73" t="s">
        <v>54</v>
      </c>
      <c r="E12" s="44" t="s">
        <v>24</v>
      </c>
      <c r="F12" s="44" t="s">
        <v>25</v>
      </c>
      <c r="G12" s="73" t="s">
        <v>55</v>
      </c>
      <c r="H12" s="80">
        <v>1210</v>
      </c>
      <c r="I12" s="10"/>
      <c r="J12" s="10"/>
      <c r="K12" s="11"/>
      <c r="L12" s="80"/>
      <c r="M12" s="17" t="s">
        <v>204</v>
      </c>
    </row>
    <row r="13" spans="1:13" x14ac:dyDescent="0.35">
      <c r="A13" s="319"/>
      <c r="B13" s="319"/>
      <c r="C13" s="319"/>
      <c r="D13" s="319"/>
      <c r="E13" s="319"/>
      <c r="F13" s="319"/>
      <c r="G13" s="272" t="s">
        <v>381</v>
      </c>
      <c r="H13" s="273">
        <f>SUM(H12:H12)</f>
        <v>1210</v>
      </c>
      <c r="I13" s="319"/>
      <c r="J13" s="319"/>
      <c r="K13" s="319"/>
      <c r="L13" s="319"/>
      <c r="M13" s="319"/>
    </row>
    <row r="14" spans="1:13" x14ac:dyDescent="0.35">
      <c r="A14" s="319"/>
      <c r="B14" s="319" t="s">
        <v>570</v>
      </c>
      <c r="C14" s="319"/>
      <c r="D14" s="319"/>
      <c r="E14" s="319"/>
      <c r="F14" s="319"/>
      <c r="G14" s="319"/>
      <c r="H14" s="319"/>
      <c r="I14" s="319"/>
      <c r="J14" s="319"/>
      <c r="K14" s="319"/>
      <c r="L14" s="319"/>
      <c r="M14" s="319"/>
    </row>
    <row r="15" spans="1:13" x14ac:dyDescent="0.35">
      <c r="A15" s="319"/>
      <c r="B15" s="319"/>
      <c r="C15" s="319"/>
      <c r="D15" s="319"/>
      <c r="E15" s="319"/>
      <c r="F15" s="319"/>
      <c r="G15" s="319"/>
      <c r="H15" s="319"/>
      <c r="I15" s="319"/>
      <c r="J15" s="319"/>
      <c r="K15" s="319"/>
      <c r="L15" s="319"/>
      <c r="M15" s="319"/>
    </row>
    <row r="16" spans="1:13" x14ac:dyDescent="0.35">
      <c r="A16" s="319"/>
      <c r="B16" s="319"/>
      <c r="C16" s="319"/>
      <c r="D16" s="319"/>
      <c r="E16" s="319"/>
      <c r="F16" s="319"/>
      <c r="G16" s="319"/>
      <c r="H16" s="319"/>
      <c r="I16" s="319"/>
      <c r="J16" s="319"/>
      <c r="K16" s="319"/>
      <c r="L16" s="319"/>
      <c r="M16" s="319"/>
    </row>
    <row r="17" spans="1:13" x14ac:dyDescent="0.35">
      <c r="A17" s="319"/>
      <c r="B17" s="319"/>
      <c r="C17" s="319"/>
      <c r="D17" s="319"/>
      <c r="E17" s="319"/>
      <c r="F17" s="319"/>
      <c r="G17" s="319"/>
      <c r="H17" s="319"/>
      <c r="I17" s="319"/>
      <c r="J17" s="319"/>
      <c r="K17" s="319"/>
      <c r="L17" s="319"/>
      <c r="M17" s="319"/>
    </row>
    <row r="18" spans="1:13" x14ac:dyDescent="0.35">
      <c r="A18" s="319"/>
      <c r="B18" s="319"/>
      <c r="C18" s="319"/>
      <c r="D18" s="319"/>
      <c r="E18" s="319"/>
      <c r="F18" s="319"/>
      <c r="G18" s="319"/>
      <c r="H18" s="319"/>
      <c r="I18" s="319"/>
      <c r="J18" s="319"/>
      <c r="K18" s="319"/>
      <c r="L18" s="319"/>
      <c r="M18" s="319"/>
    </row>
    <row r="19" spans="1:13" x14ac:dyDescent="0.35">
      <c r="A19" s="432" t="s">
        <v>567</v>
      </c>
      <c r="B19" s="432"/>
      <c r="C19" s="432"/>
      <c r="D19" s="432"/>
      <c r="E19" s="319"/>
      <c r="F19" s="319"/>
      <c r="G19" s="319"/>
      <c r="H19" s="319"/>
      <c r="I19" s="319"/>
      <c r="J19" s="319"/>
      <c r="K19" s="319"/>
      <c r="L19" s="319"/>
      <c r="M19" s="319"/>
    </row>
    <row r="20" spans="1:13" x14ac:dyDescent="0.35">
      <c r="A20" s="48" t="s">
        <v>7</v>
      </c>
      <c r="B20" s="433" t="s">
        <v>92</v>
      </c>
      <c r="C20" s="433"/>
      <c r="D20" s="433"/>
      <c r="E20" s="319"/>
      <c r="F20" s="319"/>
      <c r="G20" s="319"/>
      <c r="H20" s="319"/>
      <c r="I20" s="319"/>
      <c r="J20" s="319"/>
      <c r="K20" s="319"/>
      <c r="L20" s="319"/>
      <c r="M20" s="319"/>
    </row>
    <row r="21" spans="1:13" x14ac:dyDescent="0.35">
      <c r="A21" s="48" t="s">
        <v>307</v>
      </c>
      <c r="B21" s="456" t="s">
        <v>483</v>
      </c>
      <c r="C21" s="456"/>
      <c r="D21" s="456"/>
      <c r="E21" s="319"/>
      <c r="F21" s="319"/>
      <c r="G21" s="319"/>
      <c r="H21" s="319"/>
      <c r="I21" s="319"/>
      <c r="J21" s="319"/>
      <c r="K21" s="319"/>
      <c r="L21" s="319"/>
      <c r="M21" s="319"/>
    </row>
    <row r="22" spans="1:13" x14ac:dyDescent="0.35">
      <c r="A22" s="322" t="s">
        <v>309</v>
      </c>
      <c r="B22" s="433" t="s">
        <v>308</v>
      </c>
      <c r="C22" s="433"/>
      <c r="D22" s="433"/>
      <c r="E22" s="319"/>
      <c r="F22" s="319"/>
      <c r="G22" s="319"/>
      <c r="H22" s="319"/>
      <c r="I22" s="319"/>
      <c r="J22" s="319"/>
      <c r="K22" s="319"/>
      <c r="L22" s="319"/>
      <c r="M22" s="319"/>
    </row>
    <row r="23" spans="1:13" x14ac:dyDescent="0.35">
      <c r="A23" s="322" t="s">
        <v>305</v>
      </c>
      <c r="B23" s="438" t="s">
        <v>568</v>
      </c>
      <c r="C23" s="438"/>
      <c r="D23" s="438"/>
      <c r="E23" s="319"/>
      <c r="F23" s="319"/>
      <c r="G23" s="319"/>
      <c r="H23" s="319"/>
      <c r="I23" s="319"/>
      <c r="J23" s="319"/>
      <c r="K23" s="319"/>
      <c r="L23" s="319"/>
      <c r="M23" s="319"/>
    </row>
    <row r="24" spans="1:13" x14ac:dyDescent="0.35">
      <c r="A24" s="319"/>
      <c r="B24" s="319"/>
      <c r="C24" s="319"/>
      <c r="D24" s="319"/>
      <c r="E24" s="319"/>
      <c r="F24" s="319"/>
      <c r="G24" s="319"/>
      <c r="H24" s="319"/>
      <c r="I24" s="319"/>
      <c r="J24" s="319"/>
      <c r="K24" s="319"/>
      <c r="L24" s="319"/>
      <c r="M24" s="319"/>
    </row>
    <row r="25" spans="1:13" x14ac:dyDescent="0.35">
      <c r="A25" s="319"/>
      <c r="B25" s="319"/>
      <c r="C25" s="319"/>
      <c r="D25" s="319"/>
      <c r="E25" s="319"/>
      <c r="F25" s="319"/>
      <c r="G25" s="319"/>
      <c r="H25" s="319"/>
      <c r="I25" s="319"/>
      <c r="J25" s="319"/>
      <c r="K25" s="319"/>
      <c r="L25" s="319"/>
      <c r="M25" s="319"/>
    </row>
    <row r="26" spans="1:13" x14ac:dyDescent="0.35">
      <c r="A26" s="319"/>
      <c r="B26" s="319"/>
      <c r="C26" s="319"/>
      <c r="D26" s="319"/>
      <c r="E26" s="319"/>
      <c r="F26" s="319"/>
      <c r="G26" s="319"/>
      <c r="H26" s="319"/>
      <c r="I26" s="319"/>
      <c r="J26" s="319"/>
      <c r="K26" s="319"/>
      <c r="L26" s="319"/>
      <c r="M26" s="319"/>
    </row>
    <row r="27" spans="1:13" x14ac:dyDescent="0.35">
      <c r="A27" s="319"/>
      <c r="B27" s="319"/>
      <c r="C27" s="319"/>
      <c r="D27" s="319"/>
      <c r="E27" s="319"/>
      <c r="F27" s="319"/>
      <c r="G27" s="319"/>
      <c r="H27" s="319"/>
      <c r="I27" s="319"/>
      <c r="J27" s="319"/>
      <c r="K27" s="319"/>
      <c r="L27" s="319"/>
      <c r="M27" s="319"/>
    </row>
    <row r="28" spans="1:13" ht="15" thickBot="1" x14ac:dyDescent="0.4">
      <c r="A28" s="420" t="s">
        <v>66</v>
      </c>
      <c r="B28" s="420"/>
      <c r="C28" s="319"/>
      <c r="D28" s="319"/>
      <c r="E28" s="407" t="s">
        <v>67</v>
      </c>
      <c r="F28" s="407"/>
      <c r="G28" s="49"/>
      <c r="H28" s="49"/>
      <c r="I28" s="408"/>
      <c r="J28" s="408"/>
      <c r="K28" s="315"/>
      <c r="L28" s="316"/>
      <c r="M28" s="316"/>
    </row>
    <row r="29" spans="1:13" ht="15" thickTop="1" x14ac:dyDescent="0.35">
      <c r="A29" s="421" t="s">
        <v>69</v>
      </c>
      <c r="B29" s="421"/>
      <c r="D29" s="30"/>
      <c r="E29" s="410" t="s">
        <v>70</v>
      </c>
      <c r="F29" s="410"/>
      <c r="G29" s="410" t="s">
        <v>71</v>
      </c>
      <c r="H29" s="410"/>
      <c r="I29" s="316"/>
      <c r="J29" s="316"/>
      <c r="K29" s="316" t="s">
        <v>72</v>
      </c>
      <c r="L29" s="318"/>
      <c r="M29" s="318"/>
    </row>
    <row r="30" spans="1:13" x14ac:dyDescent="0.35">
      <c r="A30" s="414" t="s">
        <v>92</v>
      </c>
      <c r="B30" s="414"/>
      <c r="D30" s="320"/>
      <c r="E30" s="414" t="s">
        <v>73</v>
      </c>
      <c r="F30" s="414"/>
      <c r="G30" s="414" t="s">
        <v>74</v>
      </c>
      <c r="H30" s="414"/>
      <c r="I30" s="318"/>
      <c r="J30" s="318"/>
      <c r="K30" s="318" t="s">
        <v>75</v>
      </c>
      <c r="L30" s="317"/>
      <c r="M30" s="317"/>
    </row>
    <row r="31" spans="1:13" x14ac:dyDescent="0.35">
      <c r="A31" s="412" t="s">
        <v>94</v>
      </c>
      <c r="B31" s="412"/>
      <c r="D31" s="321"/>
      <c r="E31" s="414" t="s">
        <v>78</v>
      </c>
      <c r="F31" s="414"/>
      <c r="G31" s="414" t="s">
        <v>414</v>
      </c>
      <c r="H31" s="414"/>
      <c r="I31" s="317"/>
      <c r="J31" s="317"/>
      <c r="K31" s="317" t="s">
        <v>80</v>
      </c>
      <c r="L31" s="321"/>
      <c r="M31" s="321"/>
    </row>
    <row r="32" spans="1:13" x14ac:dyDescent="0.35">
      <c r="A32" s="412" t="s">
        <v>76</v>
      </c>
      <c r="B32" s="412"/>
      <c r="D32" s="321"/>
      <c r="E32" s="412" t="s">
        <v>76</v>
      </c>
      <c r="F32" s="412"/>
      <c r="G32" s="412" t="s">
        <v>76</v>
      </c>
      <c r="H32" s="412"/>
      <c r="I32" s="317"/>
      <c r="J32" s="317"/>
      <c r="K32" s="317"/>
    </row>
    <row r="37" spans="1:5" ht="15" thickBot="1" x14ac:dyDescent="0.4"/>
    <row r="38" spans="1:5" ht="15" thickTop="1" x14ac:dyDescent="0.35">
      <c r="A38" s="417" t="s">
        <v>114</v>
      </c>
      <c r="B38" s="417"/>
      <c r="C38" s="429" t="s">
        <v>282</v>
      </c>
      <c r="D38" s="429"/>
      <c r="E38" s="429"/>
    </row>
    <row r="39" spans="1:5" x14ac:dyDescent="0.35">
      <c r="A39" s="418" t="s">
        <v>115</v>
      </c>
      <c r="B39" s="418"/>
      <c r="C39" s="430" t="s">
        <v>7</v>
      </c>
      <c r="D39" s="430"/>
      <c r="E39" s="430"/>
    </row>
    <row r="40" spans="1:5" x14ac:dyDescent="0.35">
      <c r="A40" s="422" t="s">
        <v>116</v>
      </c>
      <c r="B40" s="418"/>
      <c r="C40" s="431" t="s">
        <v>77</v>
      </c>
      <c r="D40" s="431"/>
      <c r="E40" s="431"/>
    </row>
    <row r="41" spans="1:5" x14ac:dyDescent="0.35">
      <c r="A41" s="416" t="s">
        <v>117</v>
      </c>
      <c r="B41" s="416"/>
      <c r="C41" s="412" t="s">
        <v>81</v>
      </c>
      <c r="D41" s="412"/>
      <c r="E41" s="412"/>
    </row>
  </sheetData>
  <mergeCells count="46">
    <mergeCell ref="A4:B4"/>
    <mergeCell ref="C4:M4"/>
    <mergeCell ref="A1:M1"/>
    <mergeCell ref="A2:B2"/>
    <mergeCell ref="C2:M2"/>
    <mergeCell ref="A3:B3"/>
    <mergeCell ref="C3:M3"/>
    <mergeCell ref="E28:F28"/>
    <mergeCell ref="I28:J28"/>
    <mergeCell ref="A5:B5"/>
    <mergeCell ref="C5:M5"/>
    <mergeCell ref="A6:B6"/>
    <mergeCell ref="C6:M6"/>
    <mergeCell ref="A7:B7"/>
    <mergeCell ref="C7:M7"/>
    <mergeCell ref="A8:B8"/>
    <mergeCell ref="C8:M8"/>
    <mergeCell ref="A9:B9"/>
    <mergeCell ref="C9:M9"/>
    <mergeCell ref="A10:M10"/>
    <mergeCell ref="G31:H31"/>
    <mergeCell ref="A32:B32"/>
    <mergeCell ref="E32:F32"/>
    <mergeCell ref="G32:H32"/>
    <mergeCell ref="A29:B29"/>
    <mergeCell ref="E29:F29"/>
    <mergeCell ref="G29:H29"/>
    <mergeCell ref="A30:B30"/>
    <mergeCell ref="E30:F30"/>
    <mergeCell ref="G30:H30"/>
    <mergeCell ref="A41:B41"/>
    <mergeCell ref="C41:E41"/>
    <mergeCell ref="A19:D19"/>
    <mergeCell ref="B20:D20"/>
    <mergeCell ref="B21:D21"/>
    <mergeCell ref="B22:D22"/>
    <mergeCell ref="B23:D23"/>
    <mergeCell ref="A38:B38"/>
    <mergeCell ref="C38:E38"/>
    <mergeCell ref="A39:B39"/>
    <mergeCell ref="C39:E39"/>
    <mergeCell ref="A40:B40"/>
    <mergeCell ref="C40:E40"/>
    <mergeCell ref="A31:B31"/>
    <mergeCell ref="E31:F31"/>
    <mergeCell ref="A28:B28"/>
  </mergeCells>
  <printOptions horizontalCentered="1" verticalCentered="1"/>
  <pageMargins left="0.25" right="0.25" top="0.75" bottom="0.75" header="0.3" footer="0.3"/>
  <pageSetup paperSize="9" scale="73" orientation="landscape"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EE79-139D-41DA-96F0-F14924B8CA47}">
  <sheetPr>
    <pageSetUpPr fitToPage="1"/>
  </sheetPr>
  <dimension ref="A1:M34"/>
  <sheetViews>
    <sheetView topLeftCell="A8" workbookViewId="0">
      <selection sqref="A1:M35"/>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5.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549</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46092</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H19</f>
        <v>351000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539</v>
      </c>
      <c r="J11" s="3" t="s">
        <v>18</v>
      </c>
      <c r="K11" s="3" t="s">
        <v>19</v>
      </c>
      <c r="L11" s="3" t="s">
        <v>20</v>
      </c>
      <c r="M11" s="3" t="s">
        <v>84</v>
      </c>
    </row>
    <row r="12" spans="1:13" x14ac:dyDescent="0.35">
      <c r="A12" s="5">
        <v>1</v>
      </c>
      <c r="B12" s="14" t="s">
        <v>85</v>
      </c>
      <c r="C12" s="7" t="s">
        <v>86</v>
      </c>
      <c r="D12" s="8" t="s">
        <v>87</v>
      </c>
      <c r="E12" s="5" t="s">
        <v>24</v>
      </c>
      <c r="F12" s="5" t="s">
        <v>44</v>
      </c>
      <c r="G12" s="5">
        <v>35020062</v>
      </c>
      <c r="H12" s="228">
        <v>180000</v>
      </c>
      <c r="I12" s="10">
        <v>50130</v>
      </c>
      <c r="J12" s="10">
        <v>122805</v>
      </c>
      <c r="K12" s="35">
        <v>46056</v>
      </c>
      <c r="L12" s="247">
        <v>60000</v>
      </c>
      <c r="M12" s="48" t="s">
        <v>543</v>
      </c>
    </row>
    <row r="13" spans="1:13" x14ac:dyDescent="0.35">
      <c r="A13" s="5">
        <v>2</v>
      </c>
      <c r="B13" s="14" t="s">
        <v>89</v>
      </c>
      <c r="C13" s="7" t="s">
        <v>86</v>
      </c>
      <c r="D13" s="8" t="s">
        <v>90</v>
      </c>
      <c r="E13" s="5" t="s">
        <v>24</v>
      </c>
      <c r="F13" s="5" t="s">
        <v>44</v>
      </c>
      <c r="G13" s="13">
        <v>40021666</v>
      </c>
      <c r="H13" s="228">
        <v>60000</v>
      </c>
      <c r="I13" s="10">
        <v>42369</v>
      </c>
      <c r="J13" s="10">
        <v>73416</v>
      </c>
      <c r="K13" s="35">
        <v>46070</v>
      </c>
      <c r="L13" s="247">
        <v>60000</v>
      </c>
      <c r="M13" s="48" t="s">
        <v>325</v>
      </c>
    </row>
    <row r="14" spans="1:13" x14ac:dyDescent="0.35">
      <c r="A14" s="5">
        <v>3</v>
      </c>
      <c r="B14" s="14" t="s">
        <v>158</v>
      </c>
      <c r="C14" s="7" t="s">
        <v>86</v>
      </c>
      <c r="D14" s="8">
        <v>269</v>
      </c>
      <c r="E14" s="5" t="s">
        <v>24</v>
      </c>
      <c r="F14" s="5" t="s">
        <v>44</v>
      </c>
      <c r="G14" s="5">
        <v>74023856</v>
      </c>
      <c r="H14" s="228">
        <v>40000</v>
      </c>
      <c r="I14" s="10">
        <v>36405</v>
      </c>
      <c r="J14" s="10">
        <v>61440</v>
      </c>
      <c r="K14" s="35">
        <v>46070</v>
      </c>
      <c r="L14" s="247">
        <v>50000</v>
      </c>
      <c r="M14" s="12" t="s">
        <v>369</v>
      </c>
    </row>
    <row r="15" spans="1:13" x14ac:dyDescent="0.35">
      <c r="A15" s="5">
        <v>4</v>
      </c>
      <c r="B15" s="19" t="s">
        <v>255</v>
      </c>
      <c r="C15" s="20" t="s">
        <v>23</v>
      </c>
      <c r="D15" s="73" t="s">
        <v>256</v>
      </c>
      <c r="E15" s="22" t="s">
        <v>247</v>
      </c>
      <c r="F15" s="5" t="s">
        <v>44</v>
      </c>
      <c r="G15" s="73" t="s">
        <v>257</v>
      </c>
      <c r="H15" s="248">
        <v>15000</v>
      </c>
      <c r="I15" s="10">
        <v>16100</v>
      </c>
      <c r="J15" s="10">
        <v>24032</v>
      </c>
      <c r="K15" s="35">
        <v>46060</v>
      </c>
      <c r="L15" s="247">
        <v>15000</v>
      </c>
      <c r="M15" s="48" t="s">
        <v>96</v>
      </c>
    </row>
    <row r="16" spans="1:13" ht="27" x14ac:dyDescent="0.35">
      <c r="A16" s="5">
        <v>5</v>
      </c>
      <c r="B16" s="162" t="s">
        <v>149</v>
      </c>
      <c r="C16" s="20" t="s">
        <v>144</v>
      </c>
      <c r="D16" s="53" t="s">
        <v>146</v>
      </c>
      <c r="E16" s="22" t="s">
        <v>64</v>
      </c>
      <c r="F16" s="5" t="s">
        <v>145</v>
      </c>
      <c r="G16" s="21">
        <v>97017150</v>
      </c>
      <c r="H16" s="48">
        <v>20000</v>
      </c>
      <c r="I16" s="10">
        <v>34965</v>
      </c>
      <c r="J16" s="10">
        <v>59423</v>
      </c>
      <c r="K16" s="35">
        <v>46002</v>
      </c>
      <c r="L16" s="247">
        <v>40000</v>
      </c>
      <c r="M16" s="17" t="s">
        <v>544</v>
      </c>
    </row>
    <row r="17" spans="1:13" x14ac:dyDescent="0.35">
      <c r="A17" s="5">
        <v>6</v>
      </c>
      <c r="B17" s="19" t="s">
        <v>442</v>
      </c>
      <c r="C17" s="20" t="s">
        <v>443</v>
      </c>
      <c r="D17" s="53" t="s">
        <v>444</v>
      </c>
      <c r="E17" s="22" t="s">
        <v>24</v>
      </c>
      <c r="F17" s="5" t="s">
        <v>25</v>
      </c>
      <c r="G17" s="53" t="s">
        <v>445</v>
      </c>
      <c r="H17" s="48">
        <v>6000</v>
      </c>
      <c r="I17" s="10">
        <v>29100</v>
      </c>
      <c r="J17" s="10">
        <v>34049</v>
      </c>
      <c r="K17" s="35">
        <v>46061</v>
      </c>
      <c r="L17" s="247">
        <v>3000</v>
      </c>
      <c r="M17" s="48" t="s">
        <v>132</v>
      </c>
    </row>
    <row r="18" spans="1:13" x14ac:dyDescent="0.35">
      <c r="A18" s="5">
        <v>7</v>
      </c>
      <c r="B18" s="19" t="s">
        <v>261</v>
      </c>
      <c r="C18" s="20" t="s">
        <v>49</v>
      </c>
      <c r="D18" s="53" t="s">
        <v>262</v>
      </c>
      <c r="E18" s="22" t="s">
        <v>247</v>
      </c>
      <c r="F18" s="5" t="s">
        <v>130</v>
      </c>
      <c r="G18" s="53" t="s">
        <v>462</v>
      </c>
      <c r="H18" s="228">
        <v>30000</v>
      </c>
      <c r="I18" s="10">
        <v>62404</v>
      </c>
      <c r="J18" s="10">
        <v>64804</v>
      </c>
      <c r="K18" s="35">
        <v>46067</v>
      </c>
      <c r="L18" s="247">
        <v>50000</v>
      </c>
      <c r="M18" s="48" t="s">
        <v>365</v>
      </c>
    </row>
    <row r="19" spans="1:13" x14ac:dyDescent="0.35">
      <c r="A19" s="386" t="s">
        <v>8</v>
      </c>
      <c r="B19" s="386"/>
      <c r="C19" s="386"/>
      <c r="D19" s="386"/>
      <c r="E19" s="386"/>
      <c r="F19" s="386"/>
      <c r="G19" s="386"/>
      <c r="H19" s="23">
        <f>SUM(H12:H18)</f>
        <v>351000</v>
      </c>
      <c r="I19" s="24"/>
      <c r="J19" s="25"/>
      <c r="K19" s="25"/>
      <c r="L19" s="260"/>
      <c r="M19" s="260"/>
    </row>
    <row r="20" spans="1:13" x14ac:dyDescent="0.35">
      <c r="A20" s="260"/>
      <c r="B20" s="260"/>
      <c r="C20" s="260"/>
      <c r="D20" s="260"/>
      <c r="E20" s="260"/>
      <c r="F20" s="260"/>
      <c r="G20" s="260"/>
      <c r="H20" s="260"/>
      <c r="I20" s="38"/>
      <c r="J20" s="260"/>
      <c r="K20" s="260"/>
      <c r="L20" s="260"/>
      <c r="M20" s="260"/>
    </row>
    <row r="21" spans="1:13" x14ac:dyDescent="0.35">
      <c r="A21" s="260"/>
      <c r="B21" s="260" t="s">
        <v>550</v>
      </c>
      <c r="C21" s="260"/>
      <c r="D21" s="260"/>
      <c r="E21" s="260"/>
      <c r="F21" s="260"/>
      <c r="G21" s="260"/>
      <c r="H21" s="260"/>
      <c r="I21" s="38"/>
      <c r="J21" s="260"/>
      <c r="K21" s="260"/>
      <c r="L21" s="260"/>
      <c r="M21" s="260"/>
    </row>
    <row r="22" spans="1:13" x14ac:dyDescent="0.35">
      <c r="A22" s="260"/>
      <c r="B22" s="260"/>
      <c r="C22" s="260"/>
      <c r="D22" s="260"/>
      <c r="E22" s="260"/>
      <c r="F22" s="260"/>
      <c r="G22" s="260"/>
      <c r="H22" s="260"/>
      <c r="I22" s="38"/>
      <c r="J22" s="260"/>
      <c r="K22" s="260"/>
      <c r="L22" s="260"/>
      <c r="M22" s="260"/>
    </row>
    <row r="23" spans="1:13" x14ac:dyDescent="0.35">
      <c r="A23" s="260"/>
      <c r="B23" s="260"/>
      <c r="C23" s="260"/>
      <c r="D23" s="260"/>
      <c r="E23" s="260"/>
      <c r="F23" s="260"/>
      <c r="G23" s="260"/>
      <c r="H23" s="260"/>
      <c r="I23" s="38"/>
      <c r="J23" s="260"/>
      <c r="K23" s="260"/>
      <c r="L23" s="260"/>
      <c r="M23" s="260"/>
    </row>
    <row r="24" spans="1:13" x14ac:dyDescent="0.35">
      <c r="A24" s="260"/>
      <c r="B24" s="260"/>
      <c r="C24" s="260"/>
      <c r="D24" s="260"/>
      <c r="E24" s="260"/>
      <c r="F24" s="260"/>
      <c r="G24" s="260"/>
      <c r="H24" s="260"/>
      <c r="I24" s="38"/>
      <c r="J24" s="260"/>
      <c r="K24" s="260"/>
      <c r="L24" s="260"/>
      <c r="M24" s="260"/>
    </row>
    <row r="25" spans="1:13" x14ac:dyDescent="0.35">
      <c r="A25" s="260"/>
      <c r="B25" s="260"/>
      <c r="C25" s="260"/>
      <c r="D25" s="260"/>
      <c r="E25" s="260"/>
      <c r="F25" s="260"/>
      <c r="G25" s="260"/>
      <c r="H25" s="260"/>
      <c r="I25" s="38"/>
      <c r="J25" s="260"/>
      <c r="K25" s="260"/>
      <c r="L25" s="260"/>
      <c r="M25" s="260"/>
    </row>
    <row r="26" spans="1:13" x14ac:dyDescent="0.35">
      <c r="A26" s="260"/>
      <c r="B26" s="260"/>
      <c r="C26" s="260"/>
      <c r="D26" s="260"/>
      <c r="E26" s="260"/>
      <c r="F26" s="260"/>
      <c r="G26" s="260"/>
      <c r="H26" s="260"/>
      <c r="I26" s="38"/>
      <c r="J26" s="260"/>
      <c r="K26" s="260"/>
      <c r="L26" s="260"/>
      <c r="M26" s="260"/>
    </row>
    <row r="27" spans="1:13" x14ac:dyDescent="0.35">
      <c r="A27" s="260"/>
      <c r="B27" s="260"/>
      <c r="C27" s="260"/>
      <c r="D27" s="260"/>
      <c r="E27" s="260"/>
      <c r="F27" s="260"/>
      <c r="G27" s="260"/>
      <c r="H27" s="260"/>
      <c r="I27" s="38"/>
      <c r="J27" s="260"/>
      <c r="K27" s="260"/>
      <c r="L27" s="260"/>
      <c r="M27" s="260"/>
    </row>
    <row r="28" spans="1:13" x14ac:dyDescent="0.35">
      <c r="A28" s="260"/>
      <c r="B28" s="260"/>
      <c r="C28" s="260"/>
      <c r="D28" s="260"/>
      <c r="E28" s="260"/>
      <c r="F28" s="260"/>
      <c r="G28" s="260"/>
      <c r="H28" s="260"/>
      <c r="I28" s="38"/>
      <c r="J28" s="260"/>
      <c r="K28" s="260"/>
      <c r="L28" s="260"/>
      <c r="M28" s="260"/>
    </row>
    <row r="29" spans="1:13" x14ac:dyDescent="0.35">
      <c r="A29" s="260"/>
      <c r="B29" s="260"/>
      <c r="C29" s="260"/>
      <c r="D29" s="260"/>
      <c r="E29" s="260"/>
      <c r="F29" s="260"/>
      <c r="G29" s="260"/>
      <c r="H29" s="260"/>
      <c r="I29" s="38"/>
      <c r="J29" s="260"/>
      <c r="K29" s="260"/>
      <c r="L29" s="260"/>
      <c r="M29" s="260"/>
    </row>
    <row r="30" spans="1:13" x14ac:dyDescent="0.35">
      <c r="A30" s="407" t="s">
        <v>66</v>
      </c>
      <c r="B30" s="407"/>
      <c r="C30" s="260"/>
      <c r="D30" s="260"/>
      <c r="E30" s="407" t="s">
        <v>67</v>
      </c>
      <c r="F30" s="407"/>
      <c r="G30" s="408"/>
      <c r="H30" s="408"/>
      <c r="I30" s="256"/>
      <c r="J30" s="256"/>
      <c r="K30" s="256"/>
      <c r="L30" s="39"/>
      <c r="M30" s="261"/>
    </row>
    <row r="31" spans="1:13" x14ac:dyDescent="0.35">
      <c r="A31" s="421" t="s">
        <v>69</v>
      </c>
      <c r="B31" s="421"/>
      <c r="D31" s="257"/>
      <c r="E31" s="410" t="s">
        <v>70</v>
      </c>
      <c r="F31" s="410"/>
      <c r="G31" s="410" t="s">
        <v>71</v>
      </c>
      <c r="H31" s="410"/>
      <c r="I31" s="257"/>
      <c r="J31" s="257"/>
      <c r="K31" s="257" t="s">
        <v>72</v>
      </c>
      <c r="L31" s="259"/>
      <c r="M31" s="259"/>
    </row>
    <row r="32" spans="1:13" x14ac:dyDescent="0.35">
      <c r="A32" s="414" t="s">
        <v>92</v>
      </c>
      <c r="B32" s="414"/>
      <c r="D32" s="262"/>
      <c r="E32" s="414" t="s">
        <v>73</v>
      </c>
      <c r="F32" s="414"/>
      <c r="G32" s="414" t="s">
        <v>74</v>
      </c>
      <c r="H32" s="414"/>
      <c r="I32" s="259"/>
      <c r="J32" s="259"/>
      <c r="K32" s="259" t="s">
        <v>75</v>
      </c>
      <c r="L32" s="258"/>
      <c r="M32" s="258"/>
    </row>
    <row r="33" spans="1:13" x14ac:dyDescent="0.35">
      <c r="A33" s="414" t="s">
        <v>94</v>
      </c>
      <c r="B33" s="414"/>
      <c r="D33" s="263"/>
      <c r="E33" s="414" t="s">
        <v>78</v>
      </c>
      <c r="F33" s="414"/>
      <c r="G33" s="414" t="s">
        <v>414</v>
      </c>
      <c r="H33" s="414"/>
      <c r="I33" s="258"/>
      <c r="J33" s="258"/>
      <c r="K33" s="259" t="s">
        <v>80</v>
      </c>
      <c r="L33" s="263"/>
      <c r="M33" s="263"/>
    </row>
    <row r="34" spans="1:13" x14ac:dyDescent="0.35">
      <c r="A34" s="412" t="s">
        <v>76</v>
      </c>
      <c r="B34" s="412"/>
      <c r="D34" s="263"/>
      <c r="E34" s="412" t="s">
        <v>76</v>
      </c>
      <c r="F34" s="412"/>
      <c r="G34" s="412" t="s">
        <v>76</v>
      </c>
      <c r="H34" s="412"/>
      <c r="I34" s="258"/>
      <c r="J34" s="258"/>
      <c r="K34" s="258"/>
    </row>
  </sheetData>
  <mergeCells count="34">
    <mergeCell ref="A4:B4"/>
    <mergeCell ref="C4:M4"/>
    <mergeCell ref="A1:M1"/>
    <mergeCell ref="A2:B2"/>
    <mergeCell ref="C2:M2"/>
    <mergeCell ref="A3:B3"/>
    <mergeCell ref="C3:M3"/>
    <mergeCell ref="A19:G19"/>
    <mergeCell ref="A5:B5"/>
    <mergeCell ref="C5:M5"/>
    <mergeCell ref="A6:B6"/>
    <mergeCell ref="C6:M6"/>
    <mergeCell ref="A7:B7"/>
    <mergeCell ref="C7:M7"/>
    <mergeCell ref="A8:B8"/>
    <mergeCell ref="C8:M8"/>
    <mergeCell ref="A9:B9"/>
    <mergeCell ref="C9:M9"/>
    <mergeCell ref="A10:M10"/>
    <mergeCell ref="A30:B30"/>
    <mergeCell ref="E30:F30"/>
    <mergeCell ref="G30:H30"/>
    <mergeCell ref="A31:B31"/>
    <mergeCell ref="E31:F31"/>
    <mergeCell ref="G31:H31"/>
    <mergeCell ref="A34:B34"/>
    <mergeCell ref="E34:F34"/>
    <mergeCell ref="G34:H34"/>
    <mergeCell ref="A32:B32"/>
    <mergeCell ref="E32:F32"/>
    <mergeCell ref="G32:H32"/>
    <mergeCell ref="A33:B33"/>
    <mergeCell ref="E33:F33"/>
    <mergeCell ref="G33:H33"/>
  </mergeCells>
  <pageMargins left="0.25" right="0.25" top="0.75" bottom="0.75" header="0.3" footer="0.3"/>
  <pageSetup paperSize="9" scale="79" orientation="landscape"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66DDB-06B9-424F-BA61-0D73A623DE9C}">
  <sheetPr>
    <pageSetUpPr fitToPage="1"/>
  </sheetPr>
  <dimension ref="A1:M43"/>
  <sheetViews>
    <sheetView topLeftCell="A9" workbookViewId="0">
      <selection activeCell="B24" sqref="B24:E2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5" customHeight="1" x14ac:dyDescent="0.35">
      <c r="A1" s="473" t="s">
        <v>555</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547</v>
      </c>
      <c r="D3" s="403"/>
      <c r="E3" s="403"/>
      <c r="F3" s="403"/>
      <c r="G3" s="403"/>
      <c r="H3" s="403"/>
      <c r="I3" s="403"/>
      <c r="J3" s="403"/>
      <c r="K3" s="403"/>
      <c r="L3" s="403"/>
      <c r="M3" s="385"/>
    </row>
    <row r="4" spans="1:13" x14ac:dyDescent="0.35">
      <c r="A4" s="384" t="s">
        <v>4</v>
      </c>
      <c r="B4" s="385"/>
      <c r="C4" s="393" t="s">
        <v>535</v>
      </c>
      <c r="D4" s="394"/>
      <c r="E4" s="394"/>
      <c r="F4" s="394"/>
      <c r="G4" s="394"/>
      <c r="H4" s="394"/>
      <c r="I4" s="394"/>
      <c r="J4" s="394"/>
      <c r="K4" s="394"/>
      <c r="L4" s="394"/>
      <c r="M4" s="395"/>
    </row>
    <row r="5" spans="1:13" x14ac:dyDescent="0.35">
      <c r="A5" s="384" t="s">
        <v>5</v>
      </c>
      <c r="B5" s="385"/>
      <c r="C5" s="387">
        <v>46110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1600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539</v>
      </c>
      <c r="J11" s="3" t="s">
        <v>18</v>
      </c>
      <c r="K11" s="3" t="s">
        <v>19</v>
      </c>
      <c r="L11" s="3" t="s">
        <v>20</v>
      </c>
      <c r="M11" s="4" t="s">
        <v>21</v>
      </c>
    </row>
    <row r="12" spans="1:13" x14ac:dyDescent="0.35">
      <c r="A12" s="5">
        <v>1</v>
      </c>
      <c r="B12" s="16" t="s">
        <v>230</v>
      </c>
      <c r="C12" s="7" t="s">
        <v>49</v>
      </c>
      <c r="D12" s="8" t="s">
        <v>50</v>
      </c>
      <c r="E12" s="5" t="s">
        <v>24</v>
      </c>
      <c r="F12" s="5" t="s">
        <v>25</v>
      </c>
      <c r="G12" s="8" t="s">
        <v>51</v>
      </c>
      <c r="H12" s="80">
        <v>1600</v>
      </c>
      <c r="I12" s="10" t="s">
        <v>97</v>
      </c>
      <c r="J12" s="10" t="s">
        <v>97</v>
      </c>
      <c r="K12" s="11" t="s">
        <v>97</v>
      </c>
      <c r="L12" s="80" t="s">
        <v>97</v>
      </c>
      <c r="M12" s="17" t="s">
        <v>132</v>
      </c>
    </row>
    <row r="13" spans="1:13" x14ac:dyDescent="0.35">
      <c r="A13" s="268"/>
      <c r="B13" s="268"/>
      <c r="C13" s="268"/>
      <c r="D13" s="268"/>
      <c r="E13" s="268"/>
      <c r="F13" s="268"/>
      <c r="G13" s="272" t="s">
        <v>381</v>
      </c>
      <c r="H13" s="273">
        <f>SUM(H12:H12)</f>
        <v>1600</v>
      </c>
      <c r="I13" s="268"/>
      <c r="J13" s="268"/>
      <c r="K13" s="268"/>
      <c r="L13" s="268"/>
      <c r="M13" s="268"/>
    </row>
    <row r="14" spans="1:13" x14ac:dyDescent="0.35">
      <c r="A14" s="268"/>
      <c r="B14" s="268" t="s">
        <v>553</v>
      </c>
      <c r="C14" s="268"/>
      <c r="D14" s="268"/>
      <c r="E14" s="268"/>
      <c r="F14" s="268"/>
      <c r="G14" s="268"/>
      <c r="H14" s="268"/>
      <c r="I14" s="268"/>
      <c r="J14" s="268"/>
      <c r="K14" s="268"/>
      <c r="L14" s="268"/>
      <c r="M14" s="268"/>
    </row>
    <row r="15" spans="1:13" x14ac:dyDescent="0.35">
      <c r="A15" s="268"/>
      <c r="B15" s="268"/>
      <c r="C15" s="268"/>
      <c r="D15" s="268"/>
      <c r="E15" s="268"/>
      <c r="F15" s="268"/>
      <c r="G15" s="268"/>
      <c r="H15" s="268"/>
      <c r="I15" s="268"/>
      <c r="J15" s="268"/>
      <c r="K15" s="268"/>
      <c r="L15" s="268"/>
      <c r="M15" s="268"/>
    </row>
    <row r="16" spans="1:13" x14ac:dyDescent="0.35">
      <c r="A16" s="268"/>
      <c r="B16" s="268"/>
      <c r="C16" s="268"/>
      <c r="D16" s="268"/>
      <c r="E16" s="268"/>
      <c r="F16" s="268"/>
      <c r="G16" s="268"/>
      <c r="H16" s="268"/>
      <c r="I16" s="268"/>
      <c r="J16" s="268"/>
      <c r="K16" s="268"/>
      <c r="L16" s="268"/>
      <c r="M16" s="268"/>
    </row>
    <row r="17" spans="1:13" x14ac:dyDescent="0.35">
      <c r="A17" s="268"/>
      <c r="B17" s="268"/>
      <c r="C17" s="268"/>
      <c r="D17" s="268"/>
      <c r="E17" s="268"/>
      <c r="F17" s="268"/>
      <c r="G17" s="268"/>
      <c r="H17" s="268"/>
      <c r="I17" s="268"/>
      <c r="J17" s="268"/>
      <c r="K17" s="268"/>
      <c r="L17" s="268"/>
      <c r="M17" s="268"/>
    </row>
    <row r="18" spans="1:13" x14ac:dyDescent="0.35">
      <c r="A18" s="268"/>
      <c r="B18" s="407" t="s">
        <v>554</v>
      </c>
      <c r="C18" s="407"/>
      <c r="D18" s="407"/>
      <c r="E18" s="407"/>
      <c r="F18" s="407"/>
      <c r="G18" s="268"/>
      <c r="H18" s="268"/>
      <c r="I18" s="268"/>
      <c r="J18" s="268"/>
      <c r="K18" s="268"/>
      <c r="L18" s="268"/>
      <c r="M18" s="268"/>
    </row>
    <row r="19" spans="1:13" x14ac:dyDescent="0.35">
      <c r="A19" s="268"/>
      <c r="B19" s="268"/>
      <c r="C19" s="268"/>
      <c r="D19" s="268"/>
      <c r="E19" s="268"/>
      <c r="F19" s="268"/>
      <c r="G19" s="268"/>
      <c r="H19" s="268"/>
      <c r="I19" s="268"/>
      <c r="J19" s="268"/>
      <c r="K19" s="268"/>
      <c r="L19" s="268"/>
      <c r="M19" s="268"/>
    </row>
    <row r="20" spans="1:13" x14ac:dyDescent="0.35">
      <c r="A20" s="268"/>
      <c r="B20" s="268"/>
      <c r="C20" s="268"/>
      <c r="D20" s="268"/>
      <c r="E20" s="268"/>
      <c r="F20" s="268"/>
      <c r="G20" s="268"/>
      <c r="H20" s="268"/>
      <c r="I20" s="268"/>
      <c r="J20" s="268"/>
      <c r="K20" s="268"/>
      <c r="L20" s="268"/>
      <c r="M20" s="268"/>
    </row>
    <row r="21" spans="1:13" x14ac:dyDescent="0.35">
      <c r="A21" s="268"/>
      <c r="B21" s="268"/>
      <c r="C21" s="268"/>
      <c r="D21" s="268"/>
      <c r="E21" s="268"/>
      <c r="F21" s="268"/>
      <c r="G21" s="268"/>
      <c r="H21" s="268"/>
      <c r="I21" s="268"/>
      <c r="J21" s="268"/>
      <c r="K21" s="268"/>
      <c r="L21" s="268"/>
      <c r="M21" s="268"/>
    </row>
    <row r="22" spans="1:13" x14ac:dyDescent="0.35">
      <c r="A22" s="268"/>
      <c r="B22" s="268"/>
      <c r="C22" s="268"/>
      <c r="D22" s="268"/>
      <c r="E22" s="268"/>
      <c r="F22" s="268"/>
      <c r="G22" s="268"/>
      <c r="H22" s="268"/>
      <c r="I22" s="268"/>
      <c r="J22" s="268"/>
      <c r="K22" s="268"/>
      <c r="L22" s="268"/>
      <c r="M22" s="268"/>
    </row>
    <row r="23" spans="1:13" ht="15" thickBot="1" x14ac:dyDescent="0.4">
      <c r="A23" s="268"/>
      <c r="B23" s="268"/>
      <c r="C23" s="268"/>
      <c r="D23" s="268"/>
      <c r="E23" s="268"/>
      <c r="F23" s="268"/>
      <c r="G23" s="268"/>
      <c r="H23" s="268"/>
      <c r="I23" s="268"/>
      <c r="J23" s="268"/>
      <c r="K23" s="268"/>
      <c r="L23" s="268"/>
      <c r="M23" s="268"/>
    </row>
    <row r="24" spans="1:13" ht="15.5" thickTop="1" thickBot="1" x14ac:dyDescent="0.4">
      <c r="A24" s="268"/>
      <c r="B24" s="447" t="s">
        <v>267</v>
      </c>
      <c r="C24" s="448"/>
      <c r="D24" s="448"/>
      <c r="E24" s="448"/>
      <c r="F24" s="268"/>
      <c r="G24" s="268"/>
      <c r="H24" s="268"/>
      <c r="I24" s="268"/>
      <c r="J24" s="268"/>
      <c r="K24" s="268"/>
      <c r="L24" s="268"/>
      <c r="M24" s="268"/>
    </row>
    <row r="25" spans="1:13" ht="15.5" thickTop="1" thickBot="1" x14ac:dyDescent="0.4">
      <c r="A25" s="268"/>
      <c r="B25" s="448"/>
      <c r="C25" s="448"/>
      <c r="D25" s="448"/>
      <c r="E25" s="448"/>
      <c r="F25" s="268"/>
      <c r="G25" s="268"/>
      <c r="H25" s="268"/>
      <c r="I25" s="268"/>
      <c r="J25" s="268"/>
      <c r="K25" s="268"/>
      <c r="L25" s="268"/>
      <c r="M25" s="268"/>
    </row>
    <row r="26" spans="1:13" ht="29.5" customHeight="1" thickTop="1" thickBot="1" x14ac:dyDescent="0.4">
      <c r="A26" s="268"/>
      <c r="B26" s="448"/>
      <c r="C26" s="448"/>
      <c r="D26" s="448"/>
      <c r="E26" s="448"/>
      <c r="F26" s="268"/>
      <c r="G26" s="268"/>
      <c r="H26" s="268"/>
      <c r="I26" s="268"/>
      <c r="J26" s="268"/>
      <c r="K26" s="268"/>
      <c r="L26" s="268"/>
      <c r="M26" s="268"/>
    </row>
    <row r="27" spans="1:13" ht="15" thickTop="1" x14ac:dyDescent="0.35">
      <c r="A27" s="268"/>
      <c r="B27" s="268"/>
      <c r="C27" s="268"/>
      <c r="D27" s="268"/>
      <c r="E27" s="268"/>
      <c r="F27" s="268"/>
      <c r="G27" s="268"/>
      <c r="H27" s="268"/>
      <c r="I27" s="268"/>
      <c r="J27" s="268"/>
      <c r="K27" s="268"/>
      <c r="L27" s="268"/>
      <c r="M27" s="268"/>
    </row>
    <row r="28" spans="1:13" x14ac:dyDescent="0.35">
      <c r="A28" s="268"/>
      <c r="B28" s="268"/>
      <c r="C28" s="268"/>
      <c r="D28" s="268"/>
      <c r="E28" s="268"/>
      <c r="F28" s="268"/>
      <c r="G28" s="268"/>
      <c r="H28" s="268"/>
      <c r="I28" s="268"/>
      <c r="J28" s="268"/>
      <c r="K28" s="268"/>
      <c r="L28" s="268"/>
      <c r="M28" s="268"/>
    </row>
    <row r="29" spans="1:13" x14ac:dyDescent="0.35">
      <c r="A29" s="268"/>
      <c r="B29" s="268"/>
      <c r="C29" s="268"/>
      <c r="D29" s="268"/>
      <c r="E29" s="268"/>
      <c r="F29" s="268"/>
      <c r="G29" s="268"/>
      <c r="H29" s="268"/>
      <c r="I29" s="268"/>
      <c r="J29" s="268"/>
      <c r="K29" s="268"/>
      <c r="L29" s="268"/>
      <c r="M29" s="268"/>
    </row>
    <row r="30" spans="1:13" ht="15" thickBot="1" x14ac:dyDescent="0.4">
      <c r="A30" s="420" t="s">
        <v>66</v>
      </c>
      <c r="B30" s="420"/>
      <c r="C30" s="268"/>
      <c r="D30" s="268"/>
      <c r="E30" s="407" t="s">
        <v>67</v>
      </c>
      <c r="F30" s="407"/>
      <c r="G30" s="49"/>
      <c r="H30" s="49"/>
      <c r="I30" s="408"/>
      <c r="J30" s="408"/>
      <c r="K30" s="266"/>
      <c r="L30" s="267"/>
      <c r="M30" s="267"/>
    </row>
    <row r="31" spans="1:13" ht="15" thickTop="1" x14ac:dyDescent="0.35">
      <c r="A31" s="421" t="s">
        <v>69</v>
      </c>
      <c r="B31" s="421"/>
      <c r="D31" s="30"/>
      <c r="E31" s="410" t="s">
        <v>70</v>
      </c>
      <c r="F31" s="410"/>
      <c r="G31" s="410" t="s">
        <v>71</v>
      </c>
      <c r="H31" s="410"/>
      <c r="I31" s="267"/>
      <c r="J31" s="267"/>
      <c r="K31" s="267" t="s">
        <v>72</v>
      </c>
      <c r="L31" s="265"/>
      <c r="M31" s="265"/>
    </row>
    <row r="32" spans="1:13" x14ac:dyDescent="0.35">
      <c r="A32" s="414" t="s">
        <v>92</v>
      </c>
      <c r="B32" s="414"/>
      <c r="D32" s="270"/>
      <c r="E32" s="414" t="s">
        <v>73</v>
      </c>
      <c r="F32" s="414"/>
      <c r="G32" s="414" t="s">
        <v>74</v>
      </c>
      <c r="H32" s="414"/>
      <c r="I32" s="265"/>
      <c r="J32" s="265"/>
      <c r="K32" s="265" t="s">
        <v>75</v>
      </c>
      <c r="L32" s="264"/>
      <c r="M32" s="264"/>
    </row>
    <row r="33" spans="1:13" x14ac:dyDescent="0.35">
      <c r="A33" s="412" t="s">
        <v>94</v>
      </c>
      <c r="B33" s="412"/>
      <c r="D33" s="271"/>
      <c r="E33" s="414" t="s">
        <v>78</v>
      </c>
      <c r="F33" s="414"/>
      <c r="G33" s="414" t="s">
        <v>414</v>
      </c>
      <c r="H33" s="414"/>
      <c r="I33" s="264"/>
      <c r="J33" s="264"/>
      <c r="K33" s="264" t="s">
        <v>80</v>
      </c>
      <c r="L33" s="271"/>
      <c r="M33" s="271"/>
    </row>
    <row r="34" spans="1:13" x14ac:dyDescent="0.35">
      <c r="A34" s="412" t="s">
        <v>76</v>
      </c>
      <c r="B34" s="412"/>
      <c r="D34" s="271"/>
      <c r="E34" s="412" t="s">
        <v>76</v>
      </c>
      <c r="F34" s="412"/>
      <c r="G34" s="412" t="s">
        <v>76</v>
      </c>
      <c r="H34" s="412"/>
      <c r="I34" s="264"/>
      <c r="J34" s="264"/>
      <c r="K34" s="264"/>
    </row>
    <row r="39" spans="1:13" ht="15" thickBot="1" x14ac:dyDescent="0.4"/>
    <row r="40" spans="1:13" ht="15" thickTop="1" x14ac:dyDescent="0.35">
      <c r="A40" s="417" t="s">
        <v>114</v>
      </c>
      <c r="B40" s="417"/>
      <c r="C40" s="429" t="s">
        <v>282</v>
      </c>
      <c r="D40" s="429"/>
      <c r="E40" s="429"/>
    </row>
    <row r="41" spans="1:13" x14ac:dyDescent="0.35">
      <c r="A41" s="418" t="s">
        <v>115</v>
      </c>
      <c r="B41" s="418"/>
      <c r="C41" s="430" t="s">
        <v>7</v>
      </c>
      <c r="D41" s="430"/>
      <c r="E41" s="430"/>
    </row>
    <row r="42" spans="1:13" x14ac:dyDescent="0.35">
      <c r="A42" s="422" t="s">
        <v>116</v>
      </c>
      <c r="B42" s="418"/>
      <c r="C42" s="431" t="s">
        <v>77</v>
      </c>
      <c r="D42" s="431"/>
      <c r="E42" s="431"/>
    </row>
    <row r="43" spans="1:13" x14ac:dyDescent="0.35">
      <c r="A43" s="416" t="s">
        <v>117</v>
      </c>
      <c r="B43" s="416"/>
      <c r="C43" s="412" t="s">
        <v>81</v>
      </c>
      <c r="D43" s="412"/>
      <c r="E43" s="412"/>
    </row>
  </sheetData>
  <mergeCells count="43">
    <mergeCell ref="A43:B43"/>
    <mergeCell ref="C43:E43"/>
    <mergeCell ref="B24:E26"/>
    <mergeCell ref="B18:F18"/>
    <mergeCell ref="A40:B40"/>
    <mergeCell ref="C40:E40"/>
    <mergeCell ref="A41:B41"/>
    <mergeCell ref="C41:E41"/>
    <mergeCell ref="A42:B42"/>
    <mergeCell ref="C42:E42"/>
    <mergeCell ref="A33:B33"/>
    <mergeCell ref="E33:F33"/>
    <mergeCell ref="A30:B30"/>
    <mergeCell ref="E30:F30"/>
    <mergeCell ref="G33:H33"/>
    <mergeCell ref="A34:B34"/>
    <mergeCell ref="E34:F34"/>
    <mergeCell ref="G34:H34"/>
    <mergeCell ref="A31:B31"/>
    <mergeCell ref="E31:F31"/>
    <mergeCell ref="G31:H31"/>
    <mergeCell ref="A32:B32"/>
    <mergeCell ref="E32:F32"/>
    <mergeCell ref="G32:H32"/>
    <mergeCell ref="I30:J3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69" orientation="landscape"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9437-557D-4F6C-B70A-8BE70F0EE267}">
  <sheetPr>
    <pageSetUpPr fitToPage="1"/>
  </sheetPr>
  <dimension ref="A1:M40"/>
  <sheetViews>
    <sheetView topLeftCell="A8" workbookViewId="0">
      <selection sqref="A1:M41"/>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5" customHeight="1" x14ac:dyDescent="0.35">
      <c r="A1" s="402" t="s">
        <v>491</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547</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46128</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557</v>
      </c>
      <c r="J11" s="3" t="s">
        <v>18</v>
      </c>
      <c r="K11" s="3" t="s">
        <v>19</v>
      </c>
      <c r="L11" s="3" t="s">
        <v>20</v>
      </c>
      <c r="M11" s="3" t="s">
        <v>84</v>
      </c>
    </row>
    <row r="12" spans="1:13" x14ac:dyDescent="0.35">
      <c r="A12" s="5">
        <v>1</v>
      </c>
      <c r="B12" s="16" t="s">
        <v>95</v>
      </c>
      <c r="C12" s="7" t="s">
        <v>49</v>
      </c>
      <c r="D12" s="8">
        <v>183</v>
      </c>
      <c r="E12" s="5" t="s">
        <v>24</v>
      </c>
      <c r="F12" s="5" t="s">
        <v>25</v>
      </c>
      <c r="G12" s="73" t="s">
        <v>556</v>
      </c>
      <c r="H12" s="228">
        <v>60000</v>
      </c>
      <c r="I12" s="10">
        <v>816</v>
      </c>
      <c r="J12" s="10">
        <v>6112</v>
      </c>
      <c r="K12" s="35" t="s">
        <v>97</v>
      </c>
      <c r="L12" s="247">
        <v>1600</v>
      </c>
      <c r="M12" s="17" t="s">
        <v>213</v>
      </c>
    </row>
    <row r="13" spans="1:13" x14ac:dyDescent="0.35">
      <c r="A13" s="386" t="s">
        <v>8</v>
      </c>
      <c r="B13" s="386"/>
      <c r="C13" s="386"/>
      <c r="D13" s="386"/>
      <c r="E13" s="386"/>
      <c r="F13" s="386"/>
      <c r="G13" s="386"/>
      <c r="H13" s="23">
        <f>SUM(H12:H12)</f>
        <v>60000</v>
      </c>
      <c r="I13" s="24"/>
      <c r="J13" s="25"/>
      <c r="K13" s="25"/>
      <c r="L13" s="278"/>
      <c r="M13" s="278"/>
    </row>
    <row r="14" spans="1:13" x14ac:dyDescent="0.35">
      <c r="A14" s="278"/>
      <c r="B14" s="278"/>
      <c r="C14" s="278"/>
      <c r="D14" s="278"/>
      <c r="E14" s="278"/>
      <c r="F14" s="278"/>
      <c r="G14" s="278"/>
      <c r="H14" s="278"/>
      <c r="I14" s="38"/>
      <c r="J14" s="278"/>
      <c r="K14" s="278"/>
      <c r="L14" s="278"/>
      <c r="M14" s="278"/>
    </row>
    <row r="15" spans="1:13" x14ac:dyDescent="0.35">
      <c r="A15" s="278"/>
      <c r="B15" s="278" t="s">
        <v>558</v>
      </c>
      <c r="C15" s="278"/>
      <c r="D15" s="278"/>
      <c r="E15" s="278"/>
      <c r="F15" s="278"/>
      <c r="G15" s="278"/>
      <c r="H15" s="278"/>
      <c r="I15" s="38"/>
      <c r="J15" s="278"/>
      <c r="K15" s="278"/>
      <c r="L15" s="278"/>
      <c r="M15" s="278"/>
    </row>
    <row r="16" spans="1:13" x14ac:dyDescent="0.35">
      <c r="A16" s="278"/>
      <c r="B16" s="278"/>
      <c r="C16" s="278"/>
      <c r="D16" s="278"/>
      <c r="E16" s="278"/>
      <c r="F16" s="278"/>
      <c r="G16" s="278"/>
      <c r="H16" s="278"/>
      <c r="I16" s="38"/>
      <c r="J16" s="278"/>
      <c r="K16" s="278"/>
      <c r="L16" s="278"/>
      <c r="M16" s="278"/>
    </row>
    <row r="17" spans="1:13" x14ac:dyDescent="0.35">
      <c r="A17" s="278"/>
      <c r="B17" s="278"/>
      <c r="C17" s="278"/>
      <c r="D17" s="278"/>
      <c r="E17" s="278"/>
      <c r="F17" s="278"/>
      <c r="G17" s="278"/>
      <c r="H17" s="278"/>
      <c r="I17" s="38"/>
      <c r="J17" s="278"/>
      <c r="K17" s="278"/>
      <c r="L17" s="278"/>
      <c r="M17" s="278"/>
    </row>
    <row r="18" spans="1:13" x14ac:dyDescent="0.35">
      <c r="A18" s="278"/>
      <c r="B18" s="278"/>
      <c r="C18" s="278"/>
      <c r="D18" s="278"/>
      <c r="E18" s="278"/>
      <c r="F18" s="278"/>
      <c r="G18" s="278"/>
      <c r="H18" s="278"/>
      <c r="I18" s="38"/>
      <c r="J18" s="278"/>
      <c r="K18" s="278"/>
      <c r="L18" s="278"/>
      <c r="M18" s="278"/>
    </row>
    <row r="19" spans="1:13" x14ac:dyDescent="0.35">
      <c r="A19" s="278"/>
      <c r="B19" s="278"/>
      <c r="C19" s="278"/>
      <c r="D19" s="278"/>
      <c r="E19" s="278"/>
      <c r="F19" s="278"/>
      <c r="G19" s="278"/>
      <c r="H19" s="278"/>
      <c r="I19" s="38"/>
      <c r="J19" s="278"/>
      <c r="K19" s="278"/>
      <c r="L19" s="278"/>
      <c r="M19" s="278"/>
    </row>
    <row r="20" spans="1:13" x14ac:dyDescent="0.35">
      <c r="A20" s="278"/>
      <c r="B20" s="278"/>
      <c r="C20" s="278"/>
      <c r="D20" s="278"/>
      <c r="E20" s="278"/>
      <c r="F20" s="278"/>
      <c r="G20" s="278"/>
      <c r="H20" s="278"/>
      <c r="I20" s="38"/>
      <c r="J20" s="278"/>
      <c r="K20" s="278"/>
      <c r="L20" s="278"/>
      <c r="M20" s="278"/>
    </row>
    <row r="21" spans="1:13" x14ac:dyDescent="0.35">
      <c r="A21" s="278"/>
      <c r="B21" s="278"/>
      <c r="C21" s="278"/>
      <c r="D21" s="278"/>
      <c r="E21" s="278"/>
      <c r="F21" s="278"/>
      <c r="G21" s="278"/>
      <c r="H21" s="278"/>
      <c r="I21" s="38"/>
      <c r="J21" s="278"/>
      <c r="K21" s="278"/>
      <c r="L21" s="278"/>
      <c r="M21" s="278"/>
    </row>
    <row r="22" spans="1:13" x14ac:dyDescent="0.35">
      <c r="A22" s="278"/>
      <c r="B22" s="278"/>
      <c r="C22" s="278"/>
      <c r="D22" s="278"/>
      <c r="E22" s="278"/>
      <c r="F22" s="278"/>
      <c r="G22" s="278"/>
      <c r="H22" s="278"/>
      <c r="I22" s="38"/>
      <c r="J22" s="278"/>
      <c r="K22" s="278"/>
      <c r="L22" s="278"/>
      <c r="M22" s="278"/>
    </row>
    <row r="23" spans="1:13" x14ac:dyDescent="0.35">
      <c r="A23" s="278"/>
      <c r="B23" s="278"/>
      <c r="C23" s="278"/>
      <c r="D23" s="278"/>
      <c r="E23" s="278"/>
      <c r="F23" s="278"/>
      <c r="G23" s="278"/>
      <c r="H23" s="278"/>
      <c r="I23" s="38"/>
      <c r="J23" s="278"/>
      <c r="K23" s="278"/>
      <c r="L23" s="278"/>
      <c r="M23" s="278"/>
    </row>
    <row r="24" spans="1:13" x14ac:dyDescent="0.35">
      <c r="A24" s="278"/>
      <c r="B24" s="278"/>
      <c r="C24" s="278"/>
      <c r="D24" s="278"/>
      <c r="E24" s="278"/>
      <c r="F24" s="278"/>
      <c r="G24" s="278"/>
      <c r="H24" s="278"/>
      <c r="I24" s="38"/>
      <c r="J24" s="278"/>
      <c r="K24" s="278"/>
      <c r="L24" s="278"/>
      <c r="M24" s="278"/>
    </row>
    <row r="25" spans="1:13" x14ac:dyDescent="0.35">
      <c r="A25" s="278"/>
      <c r="B25" s="278"/>
      <c r="C25" s="278"/>
      <c r="D25" s="278"/>
      <c r="E25" s="278"/>
      <c r="F25" s="278"/>
      <c r="G25" s="278"/>
      <c r="H25" s="278"/>
      <c r="I25" s="38"/>
      <c r="J25" s="278"/>
      <c r="K25" s="278"/>
      <c r="L25" s="278"/>
      <c r="M25" s="278"/>
    </row>
    <row r="26" spans="1:13" x14ac:dyDescent="0.35">
      <c r="A26" s="278"/>
      <c r="B26" s="278"/>
      <c r="C26" s="278"/>
      <c r="D26" s="278"/>
      <c r="E26" s="278"/>
      <c r="F26" s="278"/>
      <c r="G26" s="278"/>
      <c r="H26" s="278"/>
      <c r="I26" s="38"/>
      <c r="J26" s="278"/>
      <c r="K26" s="278"/>
      <c r="L26" s="278"/>
      <c r="M26" s="278"/>
    </row>
    <row r="27" spans="1:13" x14ac:dyDescent="0.35">
      <c r="A27" s="278"/>
      <c r="B27" s="476"/>
      <c r="C27" s="472"/>
      <c r="D27" s="472"/>
      <c r="E27" s="472"/>
      <c r="F27" s="278"/>
      <c r="G27" s="278"/>
      <c r="H27" s="278"/>
      <c r="I27" s="38"/>
      <c r="J27" s="278"/>
      <c r="K27" s="278"/>
      <c r="L27" s="278"/>
      <c r="M27" s="278"/>
    </row>
    <row r="28" spans="1:13" x14ac:dyDescent="0.35">
      <c r="A28" s="278"/>
      <c r="B28" s="472"/>
      <c r="C28" s="472"/>
      <c r="D28" s="472"/>
      <c r="E28" s="472"/>
      <c r="F28" s="278"/>
      <c r="G28" s="278"/>
      <c r="H28" s="278"/>
      <c r="I28" s="38"/>
      <c r="J28" s="278"/>
      <c r="K28" s="278"/>
      <c r="L28" s="278"/>
      <c r="M28" s="278"/>
    </row>
    <row r="29" spans="1:13" x14ac:dyDescent="0.35">
      <c r="A29" s="278"/>
      <c r="B29" s="472"/>
      <c r="C29" s="472"/>
      <c r="D29" s="472"/>
      <c r="E29" s="472"/>
      <c r="F29" s="278"/>
      <c r="G29" s="278"/>
      <c r="H29" s="278"/>
      <c r="I29" s="38"/>
      <c r="J29" s="278"/>
      <c r="K29" s="278"/>
      <c r="L29" s="278"/>
      <c r="M29" s="278"/>
    </row>
    <row r="30" spans="1:13" x14ac:dyDescent="0.35">
      <c r="A30" s="278"/>
      <c r="B30" s="278"/>
      <c r="C30" s="278"/>
      <c r="D30" s="278"/>
      <c r="E30" s="278"/>
      <c r="F30" s="278"/>
      <c r="G30" s="278"/>
      <c r="H30" s="278"/>
      <c r="I30" s="38"/>
      <c r="J30" s="278"/>
      <c r="K30" s="278"/>
      <c r="L30" s="278"/>
      <c r="M30" s="278"/>
    </row>
    <row r="31" spans="1:13" x14ac:dyDescent="0.35">
      <c r="A31" s="278"/>
      <c r="B31" s="278"/>
      <c r="C31" s="278"/>
      <c r="D31" s="278"/>
      <c r="E31" s="278"/>
      <c r="F31" s="278"/>
      <c r="G31" s="278"/>
      <c r="H31" s="278"/>
      <c r="I31" s="38"/>
      <c r="J31" s="278"/>
      <c r="K31" s="278"/>
      <c r="L31" s="278"/>
      <c r="M31" s="278"/>
    </row>
    <row r="32" spans="1:13" x14ac:dyDescent="0.35">
      <c r="A32" s="278"/>
      <c r="B32" s="278"/>
      <c r="C32" s="278"/>
      <c r="D32" s="278"/>
      <c r="E32" s="278"/>
      <c r="F32" s="278"/>
      <c r="G32" s="278"/>
      <c r="H32" s="278"/>
      <c r="I32" s="38"/>
      <c r="J32" s="278"/>
      <c r="K32" s="278"/>
      <c r="L32" s="278"/>
      <c r="M32" s="278"/>
    </row>
    <row r="33" spans="1:13" x14ac:dyDescent="0.35">
      <c r="A33" s="278"/>
      <c r="B33" s="278"/>
      <c r="C33" s="278"/>
      <c r="D33" s="278"/>
      <c r="E33" s="278"/>
      <c r="F33" s="278"/>
      <c r="G33" s="278"/>
      <c r="H33" s="278"/>
      <c r="I33" s="38"/>
      <c r="J33" s="278"/>
      <c r="K33" s="278"/>
      <c r="L33" s="278"/>
      <c r="M33" s="278"/>
    </row>
    <row r="34" spans="1:13" x14ac:dyDescent="0.35">
      <c r="A34" s="278"/>
      <c r="B34" s="278"/>
      <c r="C34" s="278"/>
      <c r="D34" s="278"/>
      <c r="E34" s="278"/>
      <c r="F34" s="278"/>
      <c r="G34" s="278"/>
      <c r="H34" s="278"/>
      <c r="I34" s="38"/>
      <c r="J34" s="278"/>
      <c r="K34" s="278"/>
      <c r="L34" s="278"/>
      <c r="M34" s="278"/>
    </row>
    <row r="35" spans="1:13" x14ac:dyDescent="0.35">
      <c r="A35" s="278"/>
      <c r="B35" s="278"/>
      <c r="C35" s="278"/>
      <c r="D35" s="278"/>
      <c r="E35" s="278"/>
      <c r="F35" s="278"/>
      <c r="G35" s="278"/>
      <c r="H35" s="278"/>
      <c r="I35" s="38"/>
      <c r="J35" s="278"/>
      <c r="K35" s="278"/>
      <c r="L35" s="278"/>
      <c r="M35" s="278"/>
    </row>
    <row r="36" spans="1:13" x14ac:dyDescent="0.35">
      <c r="A36" s="407" t="s">
        <v>66</v>
      </c>
      <c r="B36" s="407"/>
      <c r="C36" s="278"/>
      <c r="D36" s="278"/>
      <c r="E36" s="407" t="s">
        <v>67</v>
      </c>
      <c r="F36" s="407"/>
      <c r="G36" s="408"/>
      <c r="H36" s="408"/>
      <c r="I36" s="274"/>
      <c r="J36" s="274"/>
      <c r="K36" s="274"/>
      <c r="L36" s="39"/>
      <c r="M36" s="279"/>
    </row>
    <row r="37" spans="1:13" x14ac:dyDescent="0.35">
      <c r="A37" s="421" t="s">
        <v>69</v>
      </c>
      <c r="B37" s="421"/>
      <c r="D37" s="275"/>
      <c r="E37" s="410" t="s">
        <v>70</v>
      </c>
      <c r="F37" s="410"/>
      <c r="G37" s="410" t="s">
        <v>71</v>
      </c>
      <c r="H37" s="410"/>
      <c r="I37" s="275"/>
      <c r="J37" s="275"/>
      <c r="K37" s="275" t="s">
        <v>72</v>
      </c>
      <c r="L37" s="277"/>
      <c r="M37" s="277"/>
    </row>
    <row r="38" spans="1:13" x14ac:dyDescent="0.35">
      <c r="A38" s="414" t="s">
        <v>92</v>
      </c>
      <c r="B38" s="414"/>
      <c r="D38" s="280"/>
      <c r="E38" s="414" t="s">
        <v>73</v>
      </c>
      <c r="F38" s="414"/>
      <c r="G38" s="414" t="s">
        <v>74</v>
      </c>
      <c r="H38" s="414"/>
      <c r="I38" s="277"/>
      <c r="J38" s="277"/>
      <c r="K38" s="277" t="s">
        <v>75</v>
      </c>
      <c r="L38" s="276"/>
      <c r="M38" s="276"/>
    </row>
    <row r="39" spans="1:13" x14ac:dyDescent="0.35">
      <c r="A39" s="414" t="s">
        <v>94</v>
      </c>
      <c r="B39" s="414"/>
      <c r="D39" s="281"/>
      <c r="E39" s="414" t="s">
        <v>78</v>
      </c>
      <c r="F39" s="414"/>
      <c r="G39" s="414" t="s">
        <v>414</v>
      </c>
      <c r="H39" s="414"/>
      <c r="I39" s="276"/>
      <c r="J39" s="276"/>
      <c r="K39" s="277" t="s">
        <v>80</v>
      </c>
      <c r="L39" s="281"/>
      <c r="M39" s="281"/>
    </row>
    <row r="40" spans="1:13" x14ac:dyDescent="0.35">
      <c r="A40" s="412" t="s">
        <v>76</v>
      </c>
      <c r="B40" s="412"/>
      <c r="D40" s="281"/>
      <c r="E40" s="412" t="s">
        <v>76</v>
      </c>
      <c r="F40" s="412"/>
      <c r="G40" s="412" t="s">
        <v>76</v>
      </c>
      <c r="H40" s="412"/>
      <c r="I40" s="276"/>
      <c r="J40" s="276"/>
      <c r="K40" s="276"/>
    </row>
  </sheetData>
  <mergeCells count="35">
    <mergeCell ref="A4:B4"/>
    <mergeCell ref="C4:M4"/>
    <mergeCell ref="A1:M1"/>
    <mergeCell ref="A2:B2"/>
    <mergeCell ref="C2:M2"/>
    <mergeCell ref="A3:B3"/>
    <mergeCell ref="C3:M3"/>
    <mergeCell ref="A13:G13"/>
    <mergeCell ref="A5:B5"/>
    <mergeCell ref="C5:M5"/>
    <mergeCell ref="A6:B6"/>
    <mergeCell ref="C6:M6"/>
    <mergeCell ref="A7:B7"/>
    <mergeCell ref="C7:M7"/>
    <mergeCell ref="A8:B8"/>
    <mergeCell ref="C8:M8"/>
    <mergeCell ref="A9:B9"/>
    <mergeCell ref="C9:M9"/>
    <mergeCell ref="A10:M10"/>
    <mergeCell ref="B27:E29"/>
    <mergeCell ref="A36:B36"/>
    <mergeCell ref="E36:F36"/>
    <mergeCell ref="G36:H36"/>
    <mergeCell ref="A37:B37"/>
    <mergeCell ref="E37:F37"/>
    <mergeCell ref="G37:H37"/>
    <mergeCell ref="A40:B40"/>
    <mergeCell ref="E40:F40"/>
    <mergeCell ref="G40:H40"/>
    <mergeCell ref="A38:B38"/>
    <mergeCell ref="E38:F38"/>
    <mergeCell ref="G38:H38"/>
    <mergeCell ref="A39:B39"/>
    <mergeCell ref="E39:F39"/>
    <mergeCell ref="G39:H39"/>
  </mergeCells>
  <pageMargins left="0.25" right="0.25" top="0.75" bottom="0.75" header="0.3" footer="0.3"/>
  <pageSetup paperSize="9" scale="77" orientation="landscape"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30B1D-442B-48ED-86C3-F3DFAE08286F}">
  <sheetPr>
    <pageSetUpPr fitToPage="1"/>
  </sheetPr>
  <dimension ref="A1:M50"/>
  <sheetViews>
    <sheetView topLeftCell="A14" workbookViewId="0">
      <selection activeCell="B18" sqref="B18:B2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7.5" customHeight="1" x14ac:dyDescent="0.35">
      <c r="A1" s="473" t="s">
        <v>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560</v>
      </c>
      <c r="D4" s="394"/>
      <c r="E4" s="394"/>
      <c r="F4" s="394"/>
      <c r="G4" s="394"/>
      <c r="H4" s="394"/>
      <c r="I4" s="394"/>
      <c r="J4" s="394"/>
      <c r="K4" s="394"/>
      <c r="L4" s="394"/>
      <c r="M4" s="395"/>
    </row>
    <row r="5" spans="1:13" x14ac:dyDescent="0.35">
      <c r="A5" s="384" t="s">
        <v>5</v>
      </c>
      <c r="B5" s="385"/>
      <c r="C5" s="387">
        <v>46133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H31</f>
        <v>427000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561</v>
      </c>
      <c r="J11" s="3" t="s">
        <v>18</v>
      </c>
      <c r="K11" s="3" t="s">
        <v>19</v>
      </c>
      <c r="L11" s="3" t="s">
        <v>20</v>
      </c>
      <c r="M11" s="4" t="s">
        <v>21</v>
      </c>
    </row>
    <row r="12" spans="1:13" x14ac:dyDescent="0.35">
      <c r="A12" s="5">
        <v>1</v>
      </c>
      <c r="B12" s="71" t="s">
        <v>227</v>
      </c>
      <c r="C12" s="72" t="s">
        <v>49</v>
      </c>
      <c r="D12" s="73" t="s">
        <v>54</v>
      </c>
      <c r="E12" s="44" t="s">
        <v>24</v>
      </c>
      <c r="F12" s="44" t="s">
        <v>25</v>
      </c>
      <c r="G12" s="73" t="s">
        <v>562</v>
      </c>
      <c r="H12" s="80">
        <v>25000</v>
      </c>
      <c r="I12" s="10">
        <v>24191</v>
      </c>
      <c r="J12" s="10">
        <v>8419</v>
      </c>
      <c r="K12" s="11">
        <v>46118</v>
      </c>
      <c r="L12" s="80">
        <v>5000</v>
      </c>
      <c r="M12" s="17" t="s">
        <v>204</v>
      </c>
    </row>
    <row r="13" spans="1:13" x14ac:dyDescent="0.35">
      <c r="A13" s="5">
        <v>2</v>
      </c>
      <c r="B13" s="323" t="s">
        <v>228</v>
      </c>
      <c r="C13" s="7" t="s">
        <v>49</v>
      </c>
      <c r="D13" s="8" t="s">
        <v>57</v>
      </c>
      <c r="E13" s="5" t="s">
        <v>24</v>
      </c>
      <c r="F13" s="5" t="s">
        <v>25</v>
      </c>
      <c r="G13" s="73" t="s">
        <v>359</v>
      </c>
      <c r="H13" s="80">
        <v>10000</v>
      </c>
      <c r="I13" s="10">
        <v>39683</v>
      </c>
      <c r="J13" s="10">
        <v>40083</v>
      </c>
      <c r="K13" s="11">
        <v>46132</v>
      </c>
      <c r="L13" s="80">
        <v>10000</v>
      </c>
      <c r="M13" s="17" t="s">
        <v>204</v>
      </c>
    </row>
    <row r="14" spans="1:13" x14ac:dyDescent="0.35">
      <c r="A14" s="5">
        <v>3</v>
      </c>
      <c r="B14" s="323" t="s">
        <v>231</v>
      </c>
      <c r="C14" s="7" t="s">
        <v>49</v>
      </c>
      <c r="D14" s="8" t="s">
        <v>60</v>
      </c>
      <c r="E14" s="5" t="s">
        <v>24</v>
      </c>
      <c r="F14" s="5" t="s">
        <v>25</v>
      </c>
      <c r="G14" s="8" t="s">
        <v>61</v>
      </c>
      <c r="H14" s="80">
        <v>10000</v>
      </c>
      <c r="I14" s="10">
        <v>32102</v>
      </c>
      <c r="J14" s="10">
        <v>32602</v>
      </c>
      <c r="K14" s="11">
        <v>46132</v>
      </c>
      <c r="L14" s="80">
        <v>10000</v>
      </c>
      <c r="M14" s="17" t="s">
        <v>132</v>
      </c>
    </row>
    <row r="15" spans="1:13" x14ac:dyDescent="0.35">
      <c r="A15" s="5">
        <v>4</v>
      </c>
      <c r="B15" s="71" t="s">
        <v>229</v>
      </c>
      <c r="C15" s="72" t="s">
        <v>49</v>
      </c>
      <c r="D15" s="44" t="s">
        <v>47</v>
      </c>
      <c r="E15" s="44" t="s">
        <v>24</v>
      </c>
      <c r="F15" s="44" t="s">
        <v>25</v>
      </c>
      <c r="G15" s="44" t="s">
        <v>102</v>
      </c>
      <c r="H15" s="80">
        <v>10000</v>
      </c>
      <c r="I15" s="10">
        <v>44175</v>
      </c>
      <c r="J15" s="10">
        <v>49375</v>
      </c>
      <c r="K15" s="11">
        <v>46133</v>
      </c>
      <c r="L15" s="80">
        <v>10000</v>
      </c>
      <c r="M15" s="17" t="s">
        <v>204</v>
      </c>
    </row>
    <row r="16" spans="1:13" x14ac:dyDescent="0.35">
      <c r="A16" s="5">
        <v>5</v>
      </c>
      <c r="B16" s="323" t="s">
        <v>230</v>
      </c>
      <c r="C16" s="7" t="s">
        <v>49</v>
      </c>
      <c r="D16" s="8" t="s">
        <v>50</v>
      </c>
      <c r="E16" s="5" t="s">
        <v>24</v>
      </c>
      <c r="F16" s="5" t="s">
        <v>25</v>
      </c>
      <c r="G16" s="8" t="s">
        <v>51</v>
      </c>
      <c r="H16" s="80">
        <v>20000</v>
      </c>
      <c r="I16" s="10">
        <v>24423</v>
      </c>
      <c r="J16" s="10">
        <v>25923</v>
      </c>
      <c r="K16" s="11">
        <v>46130</v>
      </c>
      <c r="L16" s="80">
        <v>20000</v>
      </c>
      <c r="M16" s="17" t="s">
        <v>132</v>
      </c>
    </row>
    <row r="17" spans="1:13" x14ac:dyDescent="0.35">
      <c r="A17" s="5">
        <v>6</v>
      </c>
      <c r="B17" s="71" t="s">
        <v>232</v>
      </c>
      <c r="C17" s="72" t="s">
        <v>233</v>
      </c>
      <c r="D17" s="44" t="s">
        <v>234</v>
      </c>
      <c r="E17" s="5" t="s">
        <v>24</v>
      </c>
      <c r="F17" s="5" t="s">
        <v>25</v>
      </c>
      <c r="G17" s="44" t="s">
        <v>235</v>
      </c>
      <c r="H17" s="80">
        <v>50000</v>
      </c>
      <c r="I17" s="10">
        <v>100054</v>
      </c>
      <c r="J17" s="10">
        <v>117554</v>
      </c>
      <c r="K17" s="11">
        <v>46126</v>
      </c>
      <c r="L17" s="80">
        <v>50000</v>
      </c>
      <c r="M17" s="17" t="s">
        <v>236</v>
      </c>
    </row>
    <row r="18" spans="1:13" x14ac:dyDescent="0.35">
      <c r="A18" s="5">
        <v>7</v>
      </c>
      <c r="B18" s="71" t="s">
        <v>30</v>
      </c>
      <c r="C18" s="72" t="s">
        <v>23</v>
      </c>
      <c r="D18" s="44" t="s">
        <v>31</v>
      </c>
      <c r="E18" s="44" t="s">
        <v>32</v>
      </c>
      <c r="F18" s="44" t="s">
        <v>25</v>
      </c>
      <c r="G18" s="44" t="s">
        <v>33</v>
      </c>
      <c r="H18" s="80">
        <v>40000</v>
      </c>
      <c r="I18" s="10">
        <v>33560</v>
      </c>
      <c r="J18" s="10">
        <v>94171</v>
      </c>
      <c r="K18" s="11">
        <v>46119</v>
      </c>
      <c r="L18" s="80">
        <v>50000</v>
      </c>
      <c r="M18" s="17" t="s">
        <v>104</v>
      </c>
    </row>
    <row r="19" spans="1:13" x14ac:dyDescent="0.35">
      <c r="A19" s="5">
        <v>8</v>
      </c>
      <c r="B19" s="71" t="s">
        <v>22</v>
      </c>
      <c r="C19" s="72" t="s">
        <v>23</v>
      </c>
      <c r="D19" s="44" t="s">
        <v>205</v>
      </c>
      <c r="E19" s="44" t="s">
        <v>24</v>
      </c>
      <c r="F19" s="44" t="s">
        <v>25</v>
      </c>
      <c r="G19" s="44" t="s">
        <v>105</v>
      </c>
      <c r="H19" s="80">
        <v>16000</v>
      </c>
      <c r="I19" s="10">
        <v>14746</v>
      </c>
      <c r="J19" s="10">
        <v>26746</v>
      </c>
      <c r="K19" s="11">
        <v>46111</v>
      </c>
      <c r="L19" s="80">
        <v>12000</v>
      </c>
      <c r="M19" s="17" t="s">
        <v>96</v>
      </c>
    </row>
    <row r="20" spans="1:13" x14ac:dyDescent="0.35">
      <c r="A20" s="5">
        <v>9</v>
      </c>
      <c r="B20" s="6" t="s">
        <v>34</v>
      </c>
      <c r="C20" s="14" t="s">
        <v>23</v>
      </c>
      <c r="D20" s="15">
        <v>1149</v>
      </c>
      <c r="E20" s="15" t="s">
        <v>24</v>
      </c>
      <c r="F20" s="15" t="s">
        <v>25</v>
      </c>
      <c r="G20" s="13" t="s">
        <v>35</v>
      </c>
      <c r="H20" s="80">
        <v>5000</v>
      </c>
      <c r="I20" s="10">
        <v>13544</v>
      </c>
      <c r="J20" s="10">
        <v>19544</v>
      </c>
      <c r="K20" s="11">
        <v>46110</v>
      </c>
      <c r="L20" s="80">
        <v>3000</v>
      </c>
      <c r="M20" s="17" t="s">
        <v>154</v>
      </c>
    </row>
    <row r="21" spans="1:13" x14ac:dyDescent="0.35">
      <c r="A21" s="5">
        <v>10</v>
      </c>
      <c r="B21" s="71" t="s">
        <v>36</v>
      </c>
      <c r="C21" s="72" t="s">
        <v>23</v>
      </c>
      <c r="D21" s="44">
        <v>1311</v>
      </c>
      <c r="E21" s="44" t="s">
        <v>24</v>
      </c>
      <c r="F21" s="44" t="s">
        <v>25</v>
      </c>
      <c r="G21" s="73" t="s">
        <v>37</v>
      </c>
      <c r="H21" s="80">
        <v>8000</v>
      </c>
      <c r="I21" s="10">
        <v>18108</v>
      </c>
      <c r="J21" s="10">
        <v>28108</v>
      </c>
      <c r="K21" s="11">
        <v>46111</v>
      </c>
      <c r="L21" s="80">
        <v>13000</v>
      </c>
      <c r="M21" s="17" t="s">
        <v>204</v>
      </c>
    </row>
    <row r="22" spans="1:13" x14ac:dyDescent="0.35">
      <c r="A22" s="5">
        <v>11</v>
      </c>
      <c r="B22" s="71" t="s">
        <v>38</v>
      </c>
      <c r="C22" s="72" t="s">
        <v>23</v>
      </c>
      <c r="D22" s="73" t="s">
        <v>39</v>
      </c>
      <c r="E22" s="44" t="s">
        <v>24</v>
      </c>
      <c r="F22" s="44" t="s">
        <v>25</v>
      </c>
      <c r="G22" s="73" t="s">
        <v>40</v>
      </c>
      <c r="H22" s="78">
        <v>8000</v>
      </c>
      <c r="I22" s="10">
        <v>15901</v>
      </c>
      <c r="J22" s="10">
        <v>21901</v>
      </c>
      <c r="K22" s="11">
        <v>46111</v>
      </c>
      <c r="L22" s="78">
        <v>10000</v>
      </c>
      <c r="M22" s="17" t="s">
        <v>154</v>
      </c>
    </row>
    <row r="23" spans="1:13" x14ac:dyDescent="0.35">
      <c r="A23" s="5">
        <v>12</v>
      </c>
      <c r="B23" s="97" t="s">
        <v>293</v>
      </c>
      <c r="C23" s="98" t="s">
        <v>23</v>
      </c>
      <c r="D23">
        <v>815</v>
      </c>
      <c r="E23" s="99" t="s">
        <v>24</v>
      </c>
      <c r="F23" s="99" t="s">
        <v>130</v>
      </c>
      <c r="G23" s="299" t="s">
        <v>287</v>
      </c>
      <c r="H23" s="245">
        <v>15000</v>
      </c>
      <c r="I23" s="102">
        <v>9128</v>
      </c>
      <c r="J23" s="102">
        <v>23128</v>
      </c>
      <c r="K23" s="11">
        <v>46112</v>
      </c>
      <c r="L23" s="245">
        <v>10000</v>
      </c>
      <c r="M23" s="64" t="s">
        <v>132</v>
      </c>
    </row>
    <row r="24" spans="1:13" x14ac:dyDescent="0.35">
      <c r="A24" s="5">
        <v>13</v>
      </c>
      <c r="B24" s="71" t="s">
        <v>522</v>
      </c>
      <c r="C24" s="72" t="s">
        <v>23</v>
      </c>
      <c r="D24" s="73" t="s">
        <v>523</v>
      </c>
      <c r="E24" s="44" t="s">
        <v>24</v>
      </c>
      <c r="F24" s="44" t="s">
        <v>130</v>
      </c>
      <c r="G24" s="73" t="s">
        <v>524</v>
      </c>
      <c r="H24" s="80">
        <v>6000</v>
      </c>
      <c r="I24" s="10">
        <v>20725</v>
      </c>
      <c r="J24" s="10">
        <v>25925</v>
      </c>
      <c r="K24" s="11">
        <v>46119</v>
      </c>
      <c r="L24" s="80">
        <v>12000</v>
      </c>
      <c r="M24" s="134" t="s">
        <v>132</v>
      </c>
    </row>
    <row r="25" spans="1:13" x14ac:dyDescent="0.35">
      <c r="A25" s="5">
        <v>14</v>
      </c>
      <c r="B25" s="85" t="s">
        <v>331</v>
      </c>
      <c r="C25" s="86" t="s">
        <v>332</v>
      </c>
      <c r="D25" s="53" t="s">
        <v>333</v>
      </c>
      <c r="E25" s="87" t="s">
        <v>24</v>
      </c>
      <c r="F25" s="87" t="s">
        <v>44</v>
      </c>
      <c r="G25" s="87" t="s">
        <v>335</v>
      </c>
      <c r="H25" s="78">
        <v>22000</v>
      </c>
      <c r="I25" s="42">
        <v>4728</v>
      </c>
      <c r="J25" s="42">
        <v>30388</v>
      </c>
      <c r="K25" s="11">
        <v>46093</v>
      </c>
      <c r="L25" s="78">
        <v>28000</v>
      </c>
      <c r="M25" s="12" t="s">
        <v>406</v>
      </c>
    </row>
    <row r="26" spans="1:13" ht="15" customHeight="1" x14ac:dyDescent="0.35">
      <c r="A26" s="5">
        <v>15</v>
      </c>
      <c r="B26" s="71" t="s">
        <v>419</v>
      </c>
      <c r="C26" s="72" t="s">
        <v>144</v>
      </c>
      <c r="D26" s="73" t="s">
        <v>424</v>
      </c>
      <c r="E26" s="44" t="s">
        <v>24</v>
      </c>
      <c r="F26" s="44" t="s">
        <v>44</v>
      </c>
      <c r="G26" s="73" t="s">
        <v>421</v>
      </c>
      <c r="H26" s="80">
        <v>60000</v>
      </c>
      <c r="I26" s="10">
        <v>60519</v>
      </c>
      <c r="J26" s="10">
        <v>128380</v>
      </c>
      <c r="K26" s="11">
        <v>46093</v>
      </c>
      <c r="L26" s="80">
        <v>60000</v>
      </c>
      <c r="M26" s="17" t="s">
        <v>503</v>
      </c>
    </row>
    <row r="27" spans="1:13" x14ac:dyDescent="0.35">
      <c r="A27" s="5">
        <v>16</v>
      </c>
      <c r="B27" s="69" t="s">
        <v>530</v>
      </c>
      <c r="C27" s="69" t="s">
        <v>332</v>
      </c>
      <c r="D27" s="70" t="s">
        <v>531</v>
      </c>
      <c r="E27" s="70" t="s">
        <v>24</v>
      </c>
      <c r="F27" s="68" t="s">
        <v>44</v>
      </c>
      <c r="G27" s="68" t="s">
        <v>532</v>
      </c>
      <c r="H27" s="79">
        <v>37000</v>
      </c>
      <c r="I27" s="10">
        <v>9994</v>
      </c>
      <c r="J27" s="10">
        <v>47279</v>
      </c>
      <c r="K27" s="11">
        <v>46089</v>
      </c>
      <c r="L27" s="80">
        <v>10000</v>
      </c>
      <c r="M27" s="17" t="s">
        <v>238</v>
      </c>
    </row>
    <row r="28" spans="1:13" x14ac:dyDescent="0.35">
      <c r="A28" s="5">
        <v>17</v>
      </c>
      <c r="B28" s="85" t="s">
        <v>485</v>
      </c>
      <c r="C28" s="86" t="s">
        <v>144</v>
      </c>
      <c r="D28" s="160">
        <v>452</v>
      </c>
      <c r="E28" s="87" t="s">
        <v>24</v>
      </c>
      <c r="F28" s="87" t="s">
        <v>44</v>
      </c>
      <c r="G28" s="179" t="s">
        <v>486</v>
      </c>
      <c r="H28" s="78">
        <v>50000</v>
      </c>
      <c r="I28" s="42">
        <v>80163</v>
      </c>
      <c r="J28" s="42">
        <v>133622</v>
      </c>
      <c r="K28" s="11">
        <v>46093</v>
      </c>
      <c r="L28" s="78">
        <v>60000</v>
      </c>
      <c r="M28" s="12" t="s">
        <v>503</v>
      </c>
    </row>
    <row r="29" spans="1:13" x14ac:dyDescent="0.35">
      <c r="A29" s="5">
        <v>18</v>
      </c>
      <c r="B29" s="85" t="s">
        <v>476</v>
      </c>
      <c r="C29" s="86" t="s">
        <v>144</v>
      </c>
      <c r="D29" s="180">
        <v>817</v>
      </c>
      <c r="E29" s="44" t="s">
        <v>24</v>
      </c>
      <c r="F29" s="44" t="s">
        <v>44</v>
      </c>
      <c r="G29" s="181" t="s">
        <v>477</v>
      </c>
      <c r="H29" s="78">
        <v>10000</v>
      </c>
      <c r="I29" s="42">
        <v>23669</v>
      </c>
      <c r="J29" s="42">
        <v>62687</v>
      </c>
      <c r="K29" s="11">
        <v>45993</v>
      </c>
      <c r="L29" s="78">
        <v>30000</v>
      </c>
      <c r="M29" s="12" t="s">
        <v>132</v>
      </c>
    </row>
    <row r="30" spans="1:13" x14ac:dyDescent="0.35">
      <c r="A30" s="5">
        <v>19</v>
      </c>
      <c r="B30" s="71" t="s">
        <v>513</v>
      </c>
      <c r="C30" s="72" t="s">
        <v>144</v>
      </c>
      <c r="D30" s="73" t="s">
        <v>514</v>
      </c>
      <c r="E30" s="44" t="s">
        <v>24</v>
      </c>
      <c r="F30" s="44" t="s">
        <v>44</v>
      </c>
      <c r="G30" s="73" t="s">
        <v>516</v>
      </c>
      <c r="H30" s="80">
        <v>25000</v>
      </c>
      <c r="I30" s="42">
        <v>22318</v>
      </c>
      <c r="J30" s="42">
        <v>42818</v>
      </c>
      <c r="K30" s="11">
        <v>46093</v>
      </c>
      <c r="L30" s="80">
        <v>15000</v>
      </c>
      <c r="M30" s="17" t="s">
        <v>364</v>
      </c>
    </row>
    <row r="31" spans="1:13" x14ac:dyDescent="0.35">
      <c r="A31" s="286"/>
      <c r="B31" s="286"/>
      <c r="C31" s="286"/>
      <c r="D31" s="286"/>
      <c r="E31" s="286"/>
      <c r="F31" s="286"/>
      <c r="G31" s="272" t="s">
        <v>381</v>
      </c>
      <c r="H31" s="273">
        <f>SUM(H12:H30)</f>
        <v>427000</v>
      </c>
      <c r="I31" s="286"/>
      <c r="J31" s="286"/>
      <c r="K31" s="286"/>
      <c r="L31" s="286"/>
      <c r="M31" s="286"/>
    </row>
    <row r="32" spans="1:13" x14ac:dyDescent="0.35">
      <c r="A32" s="286"/>
      <c r="B32" s="286" t="s">
        <v>407</v>
      </c>
      <c r="C32" s="286"/>
      <c r="D32" s="286"/>
      <c r="E32" s="286"/>
      <c r="F32" s="286"/>
      <c r="G32" s="286"/>
      <c r="H32" s="286"/>
      <c r="I32" s="286"/>
      <c r="J32" s="286"/>
      <c r="K32" s="286"/>
      <c r="L32" s="286"/>
      <c r="M32" s="286"/>
    </row>
    <row r="33" spans="1:13" x14ac:dyDescent="0.35">
      <c r="A33" s="286"/>
      <c r="B33" s="286"/>
      <c r="C33" s="286"/>
      <c r="D33" s="286"/>
      <c r="E33" s="286"/>
      <c r="F33" s="286"/>
      <c r="G33" s="286"/>
      <c r="H33" s="286"/>
      <c r="I33" s="286"/>
      <c r="J33" s="286"/>
      <c r="K33" s="286"/>
      <c r="L33" s="286"/>
      <c r="M33" s="286"/>
    </row>
    <row r="34" spans="1:13" x14ac:dyDescent="0.35">
      <c r="A34" s="286"/>
      <c r="B34" s="286"/>
      <c r="C34" s="286"/>
      <c r="D34" s="286"/>
      <c r="E34" s="286"/>
      <c r="F34" s="286"/>
      <c r="G34" s="286"/>
      <c r="H34" s="286"/>
      <c r="I34" s="286"/>
      <c r="J34" s="286"/>
      <c r="K34" s="286"/>
      <c r="L34" s="286"/>
      <c r="M34" s="286"/>
    </row>
    <row r="35" spans="1:13" x14ac:dyDescent="0.35">
      <c r="A35" s="286"/>
      <c r="B35" s="286"/>
      <c r="C35" s="286"/>
      <c r="D35" s="286"/>
      <c r="E35" s="286"/>
      <c r="F35" s="286"/>
      <c r="G35" s="286"/>
      <c r="H35" s="286"/>
      <c r="I35" s="286"/>
      <c r="J35" s="286"/>
      <c r="K35" s="286"/>
      <c r="L35" s="286"/>
      <c r="M35" s="286"/>
    </row>
    <row r="36" spans="1:13" x14ac:dyDescent="0.35">
      <c r="A36" s="286"/>
      <c r="B36" s="286"/>
      <c r="C36" s="286"/>
      <c r="D36" s="286"/>
      <c r="E36" s="286"/>
      <c r="F36" s="286"/>
      <c r="G36" s="286"/>
      <c r="H36" s="286"/>
      <c r="I36" s="286"/>
      <c r="J36" s="286"/>
      <c r="K36" s="286"/>
      <c r="L36" s="286"/>
      <c r="M36" s="286"/>
    </row>
    <row r="37" spans="1:13" ht="15" thickBot="1" x14ac:dyDescent="0.4">
      <c r="A37" s="420" t="s">
        <v>66</v>
      </c>
      <c r="B37" s="420"/>
      <c r="C37" s="286"/>
      <c r="D37" s="286"/>
      <c r="E37" s="407" t="s">
        <v>67</v>
      </c>
      <c r="F37" s="407"/>
      <c r="G37" s="49"/>
      <c r="H37" s="49"/>
      <c r="I37" s="408"/>
      <c r="J37" s="408"/>
      <c r="K37" s="284"/>
      <c r="L37" s="285"/>
      <c r="M37" s="285"/>
    </row>
    <row r="38" spans="1:13" ht="15" thickTop="1" x14ac:dyDescent="0.35">
      <c r="A38" s="421" t="s">
        <v>69</v>
      </c>
      <c r="B38" s="421"/>
      <c r="D38" s="30"/>
      <c r="E38" s="410" t="s">
        <v>70</v>
      </c>
      <c r="F38" s="410"/>
      <c r="G38" s="410" t="s">
        <v>71</v>
      </c>
      <c r="H38" s="410"/>
      <c r="I38" s="285"/>
      <c r="J38" s="285"/>
      <c r="K38" s="285" t="s">
        <v>72</v>
      </c>
      <c r="L38" s="283"/>
      <c r="M38" s="283"/>
    </row>
    <row r="39" spans="1:13" x14ac:dyDescent="0.35">
      <c r="A39" s="414" t="s">
        <v>92</v>
      </c>
      <c r="B39" s="414"/>
      <c r="D39" s="288"/>
      <c r="E39" s="414" t="s">
        <v>73</v>
      </c>
      <c r="F39" s="414"/>
      <c r="G39" s="414" t="s">
        <v>74</v>
      </c>
      <c r="H39" s="414"/>
      <c r="I39" s="283"/>
      <c r="J39" s="283"/>
      <c r="K39" s="283" t="s">
        <v>75</v>
      </c>
      <c r="L39" s="282"/>
      <c r="M39" s="282"/>
    </row>
    <row r="40" spans="1:13" x14ac:dyDescent="0.35">
      <c r="A40" s="412" t="s">
        <v>94</v>
      </c>
      <c r="B40" s="412"/>
      <c r="D40" s="289"/>
      <c r="E40" s="414" t="s">
        <v>78</v>
      </c>
      <c r="F40" s="414"/>
      <c r="G40" s="414" t="s">
        <v>414</v>
      </c>
      <c r="H40" s="414"/>
      <c r="I40" s="282"/>
      <c r="J40" s="282"/>
      <c r="K40" s="282" t="s">
        <v>80</v>
      </c>
      <c r="L40" s="289"/>
      <c r="M40" s="289"/>
    </row>
    <row r="41" spans="1:13" x14ac:dyDescent="0.35">
      <c r="A41" s="412" t="s">
        <v>76</v>
      </c>
      <c r="B41" s="412"/>
      <c r="D41" s="289"/>
      <c r="E41" s="412" t="s">
        <v>76</v>
      </c>
      <c r="F41" s="412"/>
      <c r="G41" s="412" t="s">
        <v>76</v>
      </c>
      <c r="H41" s="412"/>
      <c r="I41" s="282"/>
      <c r="J41" s="282"/>
      <c r="K41" s="282"/>
    </row>
    <row r="46" spans="1:13" ht="15" thickBot="1" x14ac:dyDescent="0.4"/>
    <row r="47" spans="1:13" ht="15" thickTop="1" x14ac:dyDescent="0.35">
      <c r="A47" s="417" t="s">
        <v>114</v>
      </c>
      <c r="B47" s="417"/>
      <c r="C47" s="429" t="s">
        <v>282</v>
      </c>
      <c r="D47" s="429"/>
      <c r="E47" s="429"/>
    </row>
    <row r="48" spans="1:13" x14ac:dyDescent="0.35">
      <c r="A48" s="418" t="s">
        <v>115</v>
      </c>
      <c r="B48" s="418"/>
      <c r="C48" s="430" t="s">
        <v>7</v>
      </c>
      <c r="D48" s="430"/>
      <c r="E48" s="430"/>
    </row>
    <row r="49" spans="1:5" x14ac:dyDescent="0.35">
      <c r="A49" s="422" t="s">
        <v>116</v>
      </c>
      <c r="B49" s="418"/>
      <c r="C49" s="431" t="s">
        <v>77</v>
      </c>
      <c r="D49" s="431"/>
      <c r="E49" s="431"/>
    </row>
    <row r="50" spans="1:5" x14ac:dyDescent="0.35">
      <c r="A50" s="416" t="s">
        <v>117</v>
      </c>
      <c r="B50" s="416"/>
      <c r="C50" s="412" t="s">
        <v>81</v>
      </c>
      <c r="D50" s="412"/>
      <c r="E50" s="412"/>
    </row>
  </sheetData>
  <mergeCells count="41">
    <mergeCell ref="A50:B50"/>
    <mergeCell ref="C50:E50"/>
    <mergeCell ref="A47:B47"/>
    <mergeCell ref="C47:E47"/>
    <mergeCell ref="A48:B48"/>
    <mergeCell ref="C48:E48"/>
    <mergeCell ref="A49:B49"/>
    <mergeCell ref="C49:E49"/>
    <mergeCell ref="A40:B40"/>
    <mergeCell ref="E40:F40"/>
    <mergeCell ref="G40:H40"/>
    <mergeCell ref="A41:B41"/>
    <mergeCell ref="E41:F41"/>
    <mergeCell ref="G41:H41"/>
    <mergeCell ref="A38:B38"/>
    <mergeCell ref="E38:F38"/>
    <mergeCell ref="G38:H38"/>
    <mergeCell ref="A39:B39"/>
    <mergeCell ref="E39:F39"/>
    <mergeCell ref="G39:H39"/>
    <mergeCell ref="A37:B37"/>
    <mergeCell ref="E37:F37"/>
    <mergeCell ref="I37:J37"/>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61" orientation="landscape"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99487-8842-4663-A71D-262E746A1851}">
  <sheetPr>
    <pageSetUpPr fitToPage="1"/>
  </sheetPr>
  <dimension ref="A1:M35"/>
  <sheetViews>
    <sheetView topLeftCell="A8" workbookViewId="0">
      <selection activeCell="H19" sqref="H19"/>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560</v>
      </c>
      <c r="D4" s="394"/>
      <c r="E4" s="394"/>
      <c r="F4" s="394"/>
      <c r="G4" s="394"/>
      <c r="H4" s="394"/>
      <c r="I4" s="394"/>
      <c r="J4" s="394"/>
      <c r="K4" s="394"/>
      <c r="L4" s="394"/>
      <c r="M4" s="395"/>
    </row>
    <row r="5" spans="1:13" x14ac:dyDescent="0.35">
      <c r="A5" s="384" t="s">
        <v>5</v>
      </c>
      <c r="B5" s="385"/>
      <c r="C5" s="387">
        <v>46133</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402000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563</v>
      </c>
      <c r="J11" s="3" t="s">
        <v>18</v>
      </c>
      <c r="K11" s="3" t="s">
        <v>19</v>
      </c>
      <c r="L11" s="3" t="s">
        <v>20</v>
      </c>
      <c r="M11" s="3" t="s">
        <v>84</v>
      </c>
    </row>
    <row r="12" spans="1:13" x14ac:dyDescent="0.35">
      <c r="A12" s="5">
        <v>1</v>
      </c>
      <c r="B12" s="14" t="s">
        <v>85</v>
      </c>
      <c r="C12" s="7" t="s">
        <v>86</v>
      </c>
      <c r="D12" s="8" t="s">
        <v>87</v>
      </c>
      <c r="E12" s="5" t="s">
        <v>24</v>
      </c>
      <c r="F12" s="5" t="s">
        <v>44</v>
      </c>
      <c r="G12" s="5">
        <v>35020062</v>
      </c>
      <c r="H12" s="228">
        <v>190000</v>
      </c>
      <c r="I12" s="10">
        <v>50130</v>
      </c>
      <c r="J12" s="10">
        <v>122805</v>
      </c>
      <c r="K12" s="35">
        <v>46110</v>
      </c>
      <c r="L12" s="247">
        <v>60000</v>
      </c>
      <c r="M12" s="48" t="s">
        <v>543</v>
      </c>
    </row>
    <row r="13" spans="1:13" x14ac:dyDescent="0.35">
      <c r="A13" s="5">
        <v>2</v>
      </c>
      <c r="B13" s="14" t="s">
        <v>89</v>
      </c>
      <c r="C13" s="7" t="s">
        <v>86</v>
      </c>
      <c r="D13" s="8" t="s">
        <v>90</v>
      </c>
      <c r="E13" s="5" t="s">
        <v>24</v>
      </c>
      <c r="F13" s="5" t="s">
        <v>44</v>
      </c>
      <c r="G13" s="13">
        <v>40021666</v>
      </c>
      <c r="H13" s="228">
        <v>60000</v>
      </c>
      <c r="I13" s="10">
        <v>42369</v>
      </c>
      <c r="J13" s="10">
        <v>73416</v>
      </c>
      <c r="K13" s="35">
        <v>46110</v>
      </c>
      <c r="L13" s="247">
        <v>60000</v>
      </c>
      <c r="M13" s="48" t="s">
        <v>325</v>
      </c>
    </row>
    <row r="14" spans="1:13" x14ac:dyDescent="0.35">
      <c r="A14" s="5">
        <v>3</v>
      </c>
      <c r="B14" s="14" t="s">
        <v>158</v>
      </c>
      <c r="C14" s="7" t="s">
        <v>86</v>
      </c>
      <c r="D14" s="8">
        <v>269</v>
      </c>
      <c r="E14" s="5" t="s">
        <v>24</v>
      </c>
      <c r="F14" s="5" t="s">
        <v>44</v>
      </c>
      <c r="G14" s="5">
        <v>74023856</v>
      </c>
      <c r="H14" s="228">
        <v>50000</v>
      </c>
      <c r="I14" s="10">
        <v>36405</v>
      </c>
      <c r="J14" s="10">
        <v>61440</v>
      </c>
      <c r="K14" s="35">
        <v>46063</v>
      </c>
      <c r="L14" s="247">
        <v>50000</v>
      </c>
      <c r="M14" s="12" t="s">
        <v>369</v>
      </c>
    </row>
    <row r="15" spans="1:13" x14ac:dyDescent="0.35">
      <c r="A15" s="5">
        <v>4</v>
      </c>
      <c r="B15" s="19" t="s">
        <v>255</v>
      </c>
      <c r="C15" s="20" t="s">
        <v>23</v>
      </c>
      <c r="D15" s="73" t="s">
        <v>256</v>
      </c>
      <c r="E15" s="22" t="s">
        <v>247</v>
      </c>
      <c r="F15" s="5" t="s">
        <v>44</v>
      </c>
      <c r="G15" s="73" t="s">
        <v>257</v>
      </c>
      <c r="H15" s="248">
        <v>6000</v>
      </c>
      <c r="I15" s="10">
        <v>2247</v>
      </c>
      <c r="J15" s="10">
        <v>3527</v>
      </c>
      <c r="K15" s="35">
        <v>46117</v>
      </c>
      <c r="L15" s="247">
        <v>15000</v>
      </c>
      <c r="M15" s="48" t="s">
        <v>96</v>
      </c>
    </row>
    <row r="16" spans="1:13" ht="27" x14ac:dyDescent="0.35">
      <c r="A16" s="5">
        <v>5</v>
      </c>
      <c r="B16" s="162" t="s">
        <v>149</v>
      </c>
      <c r="C16" s="20" t="s">
        <v>144</v>
      </c>
      <c r="D16" s="53" t="s">
        <v>146</v>
      </c>
      <c r="E16" s="22" t="s">
        <v>64</v>
      </c>
      <c r="F16" s="5" t="s">
        <v>145</v>
      </c>
      <c r="G16" s="21">
        <v>97017150</v>
      </c>
      <c r="H16" s="48">
        <v>20000</v>
      </c>
      <c r="I16" s="10">
        <v>34965</v>
      </c>
      <c r="J16" s="10">
        <v>47856</v>
      </c>
      <c r="K16" s="35">
        <v>46094</v>
      </c>
      <c r="L16" s="247">
        <v>40000</v>
      </c>
      <c r="M16" s="17" t="s">
        <v>544</v>
      </c>
    </row>
    <row r="17" spans="1:13" x14ac:dyDescent="0.35">
      <c r="A17" s="5">
        <v>6</v>
      </c>
      <c r="B17" s="19" t="s">
        <v>442</v>
      </c>
      <c r="C17" s="20" t="s">
        <v>443</v>
      </c>
      <c r="D17" s="53" t="s">
        <v>444</v>
      </c>
      <c r="E17" s="22" t="s">
        <v>24</v>
      </c>
      <c r="F17" s="5" t="s">
        <v>25</v>
      </c>
      <c r="G17" s="53" t="s">
        <v>445</v>
      </c>
      <c r="H17" s="48">
        <v>6000</v>
      </c>
      <c r="I17" s="10">
        <v>29100</v>
      </c>
      <c r="J17" s="10">
        <v>34049</v>
      </c>
      <c r="K17" s="35">
        <v>46061</v>
      </c>
      <c r="L17" s="247">
        <v>3000</v>
      </c>
      <c r="M17" s="48" t="s">
        <v>132</v>
      </c>
    </row>
    <row r="18" spans="1:13" x14ac:dyDescent="0.35">
      <c r="A18" s="5">
        <v>7</v>
      </c>
      <c r="B18" s="19" t="s">
        <v>261</v>
      </c>
      <c r="C18" s="20" t="s">
        <v>49</v>
      </c>
      <c r="D18" s="53" t="s">
        <v>262</v>
      </c>
      <c r="E18" s="22" t="s">
        <v>247</v>
      </c>
      <c r="F18" s="5" t="s">
        <v>130</v>
      </c>
      <c r="G18" s="53" t="s">
        <v>462</v>
      </c>
      <c r="H18" s="228">
        <v>40000</v>
      </c>
      <c r="I18" s="10">
        <v>39690</v>
      </c>
      <c r="J18" s="10">
        <v>55290</v>
      </c>
      <c r="K18" s="35">
        <v>46131</v>
      </c>
      <c r="L18" s="247">
        <v>60000</v>
      </c>
      <c r="M18" s="48" t="s">
        <v>365</v>
      </c>
    </row>
    <row r="19" spans="1:13" x14ac:dyDescent="0.35">
      <c r="A19" s="5">
        <v>8</v>
      </c>
      <c r="B19" s="16" t="s">
        <v>95</v>
      </c>
      <c r="C19" s="7" t="s">
        <v>49</v>
      </c>
      <c r="D19" s="8">
        <v>183</v>
      </c>
      <c r="E19" s="5" t="s">
        <v>24</v>
      </c>
      <c r="F19" s="5" t="s">
        <v>25</v>
      </c>
      <c r="G19" s="73" t="s">
        <v>556</v>
      </c>
      <c r="H19" s="228">
        <v>30000</v>
      </c>
      <c r="I19" s="10">
        <v>46987</v>
      </c>
      <c r="J19" s="10">
        <v>54987</v>
      </c>
      <c r="K19" s="35">
        <v>46128</v>
      </c>
      <c r="L19" s="113">
        <v>60000</v>
      </c>
      <c r="M19" s="48" t="s">
        <v>213</v>
      </c>
    </row>
    <row r="20" spans="1:13" x14ac:dyDescent="0.35">
      <c r="A20" s="386" t="s">
        <v>8</v>
      </c>
      <c r="B20" s="386"/>
      <c r="C20" s="386"/>
      <c r="D20" s="386"/>
      <c r="E20" s="386"/>
      <c r="F20" s="386"/>
      <c r="G20" s="386"/>
      <c r="H20" s="23">
        <f>SUM(H12:H19)</f>
        <v>402000</v>
      </c>
      <c r="I20" s="24"/>
      <c r="J20" s="25"/>
      <c r="K20" s="25"/>
      <c r="L20" s="286"/>
      <c r="M20" s="286"/>
    </row>
    <row r="21" spans="1:13" x14ac:dyDescent="0.35">
      <c r="A21" s="286"/>
      <c r="B21" s="286"/>
      <c r="C21" s="286"/>
      <c r="D21" s="286"/>
      <c r="E21" s="286"/>
      <c r="F21" s="286"/>
      <c r="G21" s="286"/>
      <c r="H21" s="286"/>
      <c r="I21" s="38"/>
      <c r="J21" s="286"/>
      <c r="K21" s="286"/>
      <c r="L21" s="286"/>
      <c r="M21" s="286"/>
    </row>
    <row r="22" spans="1:13" x14ac:dyDescent="0.35">
      <c r="A22" s="286"/>
      <c r="B22" s="286" t="s">
        <v>564</v>
      </c>
      <c r="C22" s="286"/>
      <c r="D22" s="286"/>
      <c r="E22" s="286"/>
      <c r="F22" s="286"/>
      <c r="G22" s="286"/>
      <c r="H22" s="286"/>
      <c r="I22" s="38"/>
      <c r="J22" s="286"/>
      <c r="K22" s="286"/>
      <c r="L22" s="286"/>
      <c r="M22" s="286"/>
    </row>
    <row r="23" spans="1:13" x14ac:dyDescent="0.35">
      <c r="A23" s="286"/>
      <c r="B23" s="286"/>
      <c r="C23" s="286"/>
      <c r="D23" s="286"/>
      <c r="E23" s="286"/>
      <c r="F23" s="286"/>
      <c r="G23" s="286"/>
      <c r="H23" s="286"/>
      <c r="I23" s="38"/>
      <c r="J23" s="286"/>
      <c r="K23" s="286"/>
      <c r="L23" s="286"/>
      <c r="M23" s="286"/>
    </row>
    <row r="24" spans="1:13" x14ac:dyDescent="0.35">
      <c r="A24" s="286"/>
      <c r="B24" s="286"/>
      <c r="C24" s="286"/>
      <c r="D24" s="286"/>
      <c r="E24" s="286"/>
      <c r="F24" s="286"/>
      <c r="G24" s="286"/>
      <c r="H24" s="286"/>
      <c r="I24" s="38"/>
      <c r="J24" s="286"/>
      <c r="K24" s="286"/>
      <c r="L24" s="286"/>
      <c r="M24" s="286"/>
    </row>
    <row r="25" spans="1:13" x14ac:dyDescent="0.35">
      <c r="A25" s="286"/>
      <c r="B25" s="286"/>
      <c r="C25" s="286"/>
      <c r="D25" s="286"/>
      <c r="E25" s="286"/>
      <c r="F25" s="286"/>
      <c r="G25" s="286"/>
      <c r="H25" s="286"/>
      <c r="I25" s="38"/>
      <c r="J25" s="286"/>
      <c r="K25" s="286"/>
      <c r="L25" s="286"/>
      <c r="M25" s="286"/>
    </row>
    <row r="26" spans="1:13" x14ac:dyDescent="0.35">
      <c r="A26" s="286"/>
      <c r="B26" s="286"/>
      <c r="C26" s="286"/>
      <c r="D26" s="286"/>
      <c r="E26" s="286"/>
      <c r="F26" s="286"/>
      <c r="G26" s="286"/>
      <c r="H26" s="286"/>
      <c r="I26" s="38"/>
      <c r="J26" s="286"/>
      <c r="K26" s="286"/>
      <c r="L26" s="286"/>
      <c r="M26" s="286"/>
    </row>
    <row r="27" spans="1:13" x14ac:dyDescent="0.35">
      <c r="A27" s="286"/>
      <c r="B27" s="286"/>
      <c r="C27" s="286"/>
      <c r="D27" s="286"/>
      <c r="E27" s="286"/>
      <c r="F27" s="286"/>
      <c r="G27" s="286"/>
      <c r="H27" s="286"/>
      <c r="I27" s="38"/>
      <c r="J27" s="286"/>
      <c r="K27" s="286"/>
      <c r="L27" s="286"/>
      <c r="M27" s="286"/>
    </row>
    <row r="28" spans="1:13" x14ac:dyDescent="0.35">
      <c r="A28" s="286"/>
      <c r="B28" s="286"/>
      <c r="C28" s="286"/>
      <c r="D28" s="286"/>
      <c r="E28" s="286"/>
      <c r="F28" s="286"/>
      <c r="G28" s="286"/>
      <c r="H28" s="286"/>
      <c r="I28" s="38"/>
      <c r="J28" s="286"/>
      <c r="K28" s="286"/>
      <c r="L28" s="286"/>
      <c r="M28" s="286"/>
    </row>
    <row r="29" spans="1:13" x14ac:dyDescent="0.35">
      <c r="A29" s="286"/>
      <c r="B29" s="286"/>
      <c r="C29" s="286"/>
      <c r="D29" s="286"/>
      <c r="E29" s="286"/>
      <c r="F29" s="286"/>
      <c r="G29" s="286"/>
      <c r="H29" s="286"/>
      <c r="I29" s="38"/>
      <c r="J29" s="286"/>
      <c r="K29" s="286"/>
      <c r="L29" s="286"/>
      <c r="M29" s="286"/>
    </row>
    <row r="30" spans="1:13" x14ac:dyDescent="0.35">
      <c r="A30" s="286"/>
      <c r="B30" s="286"/>
      <c r="C30" s="286"/>
      <c r="D30" s="286"/>
      <c r="E30" s="286"/>
      <c r="F30" s="286"/>
      <c r="G30" s="286"/>
      <c r="H30" s="286"/>
      <c r="I30" s="38"/>
      <c r="J30" s="286"/>
      <c r="K30" s="286"/>
      <c r="L30" s="286"/>
      <c r="M30" s="286"/>
    </row>
    <row r="31" spans="1:13" x14ac:dyDescent="0.35">
      <c r="A31" s="407" t="s">
        <v>66</v>
      </c>
      <c r="B31" s="407"/>
      <c r="C31" s="286"/>
      <c r="D31" s="286"/>
      <c r="E31" s="407" t="s">
        <v>67</v>
      </c>
      <c r="F31" s="407"/>
      <c r="G31" s="408"/>
      <c r="H31" s="408"/>
      <c r="I31" s="284"/>
      <c r="J31" s="284"/>
      <c r="K31" s="284"/>
      <c r="L31" s="39"/>
      <c r="M31" s="287"/>
    </row>
    <row r="32" spans="1:13" x14ac:dyDescent="0.35">
      <c r="A32" s="421" t="s">
        <v>69</v>
      </c>
      <c r="B32" s="421"/>
      <c r="D32" s="285"/>
      <c r="E32" s="410" t="s">
        <v>70</v>
      </c>
      <c r="F32" s="410"/>
      <c r="G32" s="410" t="s">
        <v>71</v>
      </c>
      <c r="H32" s="410"/>
      <c r="I32" s="285"/>
      <c r="J32" s="285"/>
      <c r="K32" s="285" t="s">
        <v>72</v>
      </c>
      <c r="L32" s="283"/>
      <c r="M32" s="283"/>
    </row>
    <row r="33" spans="1:13" x14ac:dyDescent="0.35">
      <c r="A33" s="414" t="s">
        <v>92</v>
      </c>
      <c r="B33" s="414"/>
      <c r="D33" s="288"/>
      <c r="E33" s="414" t="s">
        <v>73</v>
      </c>
      <c r="F33" s="414"/>
      <c r="G33" s="414" t="s">
        <v>74</v>
      </c>
      <c r="H33" s="414"/>
      <c r="I33" s="283"/>
      <c r="J33" s="283"/>
      <c r="K33" s="283" t="s">
        <v>75</v>
      </c>
      <c r="L33" s="282"/>
      <c r="M33" s="282"/>
    </row>
    <row r="34" spans="1:13" x14ac:dyDescent="0.35">
      <c r="A34" s="414" t="s">
        <v>94</v>
      </c>
      <c r="B34" s="414"/>
      <c r="D34" s="289"/>
      <c r="E34" s="414" t="s">
        <v>78</v>
      </c>
      <c r="F34" s="414"/>
      <c r="G34" s="414" t="s">
        <v>414</v>
      </c>
      <c r="H34" s="414"/>
      <c r="I34" s="282"/>
      <c r="J34" s="282"/>
      <c r="K34" s="283" t="s">
        <v>80</v>
      </c>
      <c r="L34" s="289"/>
      <c r="M34" s="289"/>
    </row>
    <row r="35" spans="1:13" x14ac:dyDescent="0.35">
      <c r="A35" s="412" t="s">
        <v>76</v>
      </c>
      <c r="B35" s="412"/>
      <c r="D35" s="289"/>
      <c r="E35" s="412" t="s">
        <v>76</v>
      </c>
      <c r="F35" s="412"/>
      <c r="G35" s="412" t="s">
        <v>76</v>
      </c>
      <c r="H35" s="412"/>
      <c r="I35" s="282"/>
      <c r="J35" s="282"/>
      <c r="K35" s="282"/>
    </row>
  </sheetData>
  <mergeCells count="34">
    <mergeCell ref="A35:B35"/>
    <mergeCell ref="E35:F35"/>
    <mergeCell ref="G35:H35"/>
    <mergeCell ref="A33:B33"/>
    <mergeCell ref="E33:F33"/>
    <mergeCell ref="G33:H33"/>
    <mergeCell ref="A34:B34"/>
    <mergeCell ref="E34:F34"/>
    <mergeCell ref="G34:H34"/>
    <mergeCell ref="A31:B31"/>
    <mergeCell ref="E31:F31"/>
    <mergeCell ref="G31:H31"/>
    <mergeCell ref="A32:B32"/>
    <mergeCell ref="E32:F32"/>
    <mergeCell ref="G32:H32"/>
    <mergeCell ref="A20: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ageMargins left="0.25" right="0.25" top="0.75" bottom="0.75" header="0.3" footer="0.3"/>
  <pageSetup paperSize="9" scale="79" orientation="landscape"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FF46-AD49-47E9-B72E-3B520E3B6FF3}">
  <sheetPr>
    <pageSetUpPr fitToPage="1"/>
  </sheetPr>
  <dimension ref="A1:M42"/>
  <sheetViews>
    <sheetView topLeftCell="A19" workbookViewId="0">
      <selection sqref="A1:M42"/>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0.5" customHeight="1" x14ac:dyDescent="0.35">
      <c r="A1" s="402" t="s">
        <v>352</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547</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46135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9000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557</v>
      </c>
      <c r="J11" s="3" t="s">
        <v>18</v>
      </c>
      <c r="K11" s="3" t="s">
        <v>19</v>
      </c>
      <c r="L11" s="3" t="s">
        <v>20</v>
      </c>
      <c r="M11" s="3" t="s">
        <v>84</v>
      </c>
    </row>
    <row r="12" spans="1:13" x14ac:dyDescent="0.35">
      <c r="A12" s="5">
        <v>1</v>
      </c>
      <c r="B12" s="16" t="s">
        <v>95</v>
      </c>
      <c r="C12" s="7" t="s">
        <v>49</v>
      </c>
      <c r="D12" s="8">
        <v>183</v>
      </c>
      <c r="E12" s="5" t="s">
        <v>24</v>
      </c>
      <c r="F12" s="5" t="s">
        <v>25</v>
      </c>
      <c r="G12" s="73" t="s">
        <v>556</v>
      </c>
      <c r="H12" s="228">
        <v>9000</v>
      </c>
      <c r="I12" s="10">
        <v>816</v>
      </c>
      <c r="J12" s="10">
        <v>6112</v>
      </c>
      <c r="K12" s="35" t="s">
        <v>97</v>
      </c>
      <c r="L12" s="247"/>
      <c r="M12" s="17" t="s">
        <v>213</v>
      </c>
    </row>
    <row r="13" spans="1:13" x14ac:dyDescent="0.35">
      <c r="A13" s="386" t="s">
        <v>8</v>
      </c>
      <c r="B13" s="386"/>
      <c r="C13" s="386"/>
      <c r="D13" s="386"/>
      <c r="E13" s="386"/>
      <c r="F13" s="386"/>
      <c r="G13" s="386"/>
      <c r="H13" s="23">
        <f>SUM(H12:H12)</f>
        <v>9000</v>
      </c>
      <c r="I13" s="24"/>
      <c r="J13" s="25"/>
      <c r="K13" s="25"/>
      <c r="L13" s="294"/>
      <c r="M13" s="294"/>
    </row>
    <row r="14" spans="1:13" x14ac:dyDescent="0.35">
      <c r="A14" s="294"/>
      <c r="B14" s="294"/>
      <c r="C14" s="294"/>
      <c r="D14" s="294"/>
      <c r="E14" s="294"/>
      <c r="F14" s="294"/>
      <c r="G14" s="294"/>
      <c r="H14" s="294"/>
      <c r="I14" s="38"/>
      <c r="J14" s="294"/>
      <c r="K14" s="294"/>
      <c r="L14" s="294"/>
      <c r="M14" s="294"/>
    </row>
    <row r="15" spans="1:13" x14ac:dyDescent="0.35">
      <c r="A15" s="294"/>
      <c r="B15" s="294" t="s">
        <v>565</v>
      </c>
      <c r="C15" s="294"/>
      <c r="D15" s="294"/>
      <c r="E15" s="294"/>
      <c r="F15" s="294"/>
      <c r="G15" s="294"/>
      <c r="H15" s="294"/>
      <c r="I15" s="38"/>
      <c r="J15" s="294"/>
      <c r="K15" s="294"/>
      <c r="L15" s="294"/>
      <c r="M15" s="294"/>
    </row>
    <row r="16" spans="1:13" x14ac:dyDescent="0.35">
      <c r="A16" s="294"/>
      <c r="B16" s="294"/>
      <c r="C16" s="294"/>
      <c r="D16" s="294"/>
      <c r="E16" s="294"/>
      <c r="F16" s="294"/>
      <c r="G16" s="294"/>
      <c r="H16" s="294"/>
      <c r="I16" s="38"/>
      <c r="J16" s="294"/>
      <c r="K16" s="294"/>
      <c r="L16" s="294"/>
      <c r="M16" s="294"/>
    </row>
    <row r="17" spans="1:13" x14ac:dyDescent="0.35">
      <c r="A17" s="294"/>
      <c r="B17" s="294"/>
      <c r="C17" s="294"/>
      <c r="D17" s="294"/>
      <c r="E17" s="294"/>
      <c r="F17" s="294"/>
      <c r="G17" s="294"/>
      <c r="H17" s="294"/>
      <c r="I17" s="38"/>
      <c r="J17" s="294"/>
      <c r="K17" s="294"/>
      <c r="L17" s="294"/>
      <c r="M17" s="294"/>
    </row>
    <row r="18" spans="1:13" x14ac:dyDescent="0.35">
      <c r="A18" s="294"/>
      <c r="B18" s="294"/>
      <c r="C18" s="294"/>
      <c r="D18" s="294"/>
      <c r="E18" s="294"/>
      <c r="F18" s="294"/>
      <c r="G18" s="294"/>
      <c r="H18" s="294"/>
      <c r="I18" s="38"/>
      <c r="J18" s="294"/>
      <c r="K18" s="294"/>
      <c r="L18" s="294"/>
      <c r="M18" s="294"/>
    </row>
    <row r="19" spans="1:13" x14ac:dyDescent="0.35">
      <c r="A19" s="294"/>
      <c r="B19" s="294"/>
      <c r="C19" s="294"/>
      <c r="D19" s="294"/>
      <c r="E19" s="294"/>
      <c r="F19" s="294"/>
      <c r="G19" s="294"/>
      <c r="H19" s="294"/>
      <c r="I19" s="38"/>
      <c r="J19" s="294"/>
      <c r="K19" s="294"/>
      <c r="L19" s="294"/>
      <c r="M19" s="294"/>
    </row>
    <row r="20" spans="1:13" x14ac:dyDescent="0.35">
      <c r="A20" s="294"/>
      <c r="B20" s="294"/>
      <c r="C20" s="294"/>
      <c r="D20" s="294"/>
      <c r="E20" s="294"/>
      <c r="F20" s="294"/>
      <c r="G20" s="294"/>
      <c r="H20" s="294"/>
      <c r="I20" s="38"/>
      <c r="J20" s="294"/>
      <c r="K20" s="294"/>
      <c r="L20" s="294"/>
      <c r="M20" s="294"/>
    </row>
    <row r="21" spans="1:13" x14ac:dyDescent="0.35">
      <c r="A21" s="294"/>
      <c r="B21" s="294"/>
      <c r="C21" s="294"/>
      <c r="D21" s="294"/>
      <c r="E21" s="294"/>
      <c r="F21" s="294"/>
      <c r="G21" s="294"/>
      <c r="H21" s="294"/>
      <c r="I21" s="38"/>
      <c r="J21" s="294"/>
      <c r="K21" s="294"/>
      <c r="L21" s="294"/>
      <c r="M21" s="294"/>
    </row>
    <row r="22" spans="1:13" x14ac:dyDescent="0.35">
      <c r="A22" s="294"/>
      <c r="B22" s="294"/>
      <c r="C22" s="294"/>
      <c r="D22" s="294"/>
      <c r="E22" s="294"/>
      <c r="F22" s="294"/>
      <c r="G22" s="294"/>
      <c r="H22" s="294"/>
      <c r="I22" s="38"/>
      <c r="J22" s="294"/>
      <c r="K22" s="294"/>
      <c r="L22" s="294"/>
      <c r="M22" s="294"/>
    </row>
    <row r="23" spans="1:13" x14ac:dyDescent="0.35">
      <c r="A23" s="294"/>
      <c r="B23" s="294"/>
      <c r="C23" s="294"/>
      <c r="D23" s="294"/>
      <c r="E23" s="294"/>
      <c r="F23" s="294"/>
      <c r="G23" s="294"/>
      <c r="H23" s="294"/>
      <c r="I23" s="38"/>
      <c r="J23" s="294"/>
      <c r="K23" s="294"/>
      <c r="L23" s="294"/>
      <c r="M23" s="294"/>
    </row>
    <row r="24" spans="1:13" x14ac:dyDescent="0.35">
      <c r="A24" s="294"/>
      <c r="B24" s="294"/>
      <c r="C24" s="294"/>
      <c r="D24" s="294"/>
      <c r="E24" s="294"/>
      <c r="F24" s="294"/>
      <c r="G24" s="294"/>
      <c r="H24" s="294"/>
      <c r="I24" s="38"/>
      <c r="J24" s="294"/>
      <c r="K24" s="294"/>
      <c r="L24" s="294"/>
      <c r="M24" s="294"/>
    </row>
    <row r="25" spans="1:13" x14ac:dyDescent="0.35">
      <c r="A25" s="294"/>
      <c r="B25" s="294"/>
      <c r="C25" s="294"/>
      <c r="D25" s="294"/>
      <c r="E25" s="294"/>
      <c r="F25" s="294"/>
      <c r="G25" s="294"/>
      <c r="H25" s="294"/>
      <c r="I25" s="38"/>
      <c r="J25" s="294"/>
      <c r="K25" s="294"/>
      <c r="L25" s="294"/>
      <c r="M25" s="294"/>
    </row>
    <row r="26" spans="1:13" x14ac:dyDescent="0.35">
      <c r="A26" s="294"/>
      <c r="B26" s="294"/>
      <c r="C26" s="294"/>
      <c r="D26" s="294"/>
      <c r="E26" s="294"/>
      <c r="F26" s="294"/>
      <c r="G26" s="294"/>
      <c r="H26" s="294"/>
      <c r="I26" s="38"/>
      <c r="J26" s="294"/>
      <c r="K26" s="294"/>
      <c r="L26" s="294"/>
      <c r="M26" s="294"/>
    </row>
    <row r="27" spans="1:13" x14ac:dyDescent="0.35">
      <c r="A27" s="294"/>
      <c r="B27" s="457" t="s">
        <v>167</v>
      </c>
      <c r="C27" s="457"/>
      <c r="D27" s="457"/>
      <c r="E27" s="457"/>
      <c r="F27" s="294"/>
      <c r="G27" s="294"/>
      <c r="H27" s="294"/>
      <c r="I27" s="38"/>
      <c r="J27" s="294"/>
      <c r="K27" s="294"/>
      <c r="L27" s="294"/>
      <c r="M27" s="294"/>
    </row>
    <row r="28" spans="1:13" x14ac:dyDescent="0.35">
      <c r="A28" s="294"/>
      <c r="B28" s="48" t="s">
        <v>7</v>
      </c>
      <c r="C28" s="433" t="s">
        <v>92</v>
      </c>
      <c r="D28" s="433"/>
      <c r="E28" s="433"/>
      <c r="F28" s="294"/>
      <c r="G28" s="294"/>
      <c r="H28" s="294"/>
      <c r="I28" s="38"/>
      <c r="J28" s="294"/>
      <c r="K28" s="294"/>
      <c r="L28" s="294"/>
      <c r="M28" s="294"/>
    </row>
    <row r="29" spans="1:13" x14ac:dyDescent="0.35">
      <c r="A29" s="294"/>
      <c r="B29" s="48" t="s">
        <v>305</v>
      </c>
      <c r="C29" s="456" t="s">
        <v>483</v>
      </c>
      <c r="D29" s="456"/>
      <c r="E29" s="456"/>
      <c r="F29" s="294"/>
      <c r="G29" s="294"/>
      <c r="H29" s="294"/>
      <c r="I29" s="38"/>
      <c r="J29" s="294"/>
      <c r="K29" s="294"/>
      <c r="L29" s="294"/>
      <c r="M29" s="294"/>
    </row>
    <row r="30" spans="1:13" x14ac:dyDescent="0.35">
      <c r="A30" s="294"/>
      <c r="B30" s="48" t="s">
        <v>307</v>
      </c>
      <c r="C30" s="433" t="s">
        <v>308</v>
      </c>
      <c r="D30" s="433"/>
      <c r="E30" s="433"/>
      <c r="F30" s="294"/>
      <c r="G30" s="294"/>
      <c r="H30" s="294"/>
      <c r="I30" s="38"/>
      <c r="J30" s="294"/>
      <c r="K30" s="294"/>
      <c r="L30" s="294"/>
      <c r="M30" s="294"/>
    </row>
    <row r="31" spans="1:13" x14ac:dyDescent="0.35">
      <c r="A31" s="294"/>
      <c r="B31" s="298" t="s">
        <v>309</v>
      </c>
      <c r="C31" s="438" t="s">
        <v>484</v>
      </c>
      <c r="D31" s="438"/>
      <c r="E31" s="438"/>
      <c r="F31" s="294"/>
      <c r="G31" s="294"/>
      <c r="H31" s="294"/>
      <c r="I31" s="38"/>
      <c r="J31" s="294"/>
      <c r="K31" s="294"/>
      <c r="L31" s="294"/>
      <c r="M31" s="294"/>
    </row>
    <row r="32" spans="1:13" x14ac:dyDescent="0.35">
      <c r="A32" s="294"/>
      <c r="B32" s="294"/>
      <c r="C32" s="294"/>
      <c r="D32" s="294"/>
      <c r="E32" s="294"/>
      <c r="F32" s="294"/>
      <c r="G32" s="294"/>
      <c r="H32" s="294"/>
      <c r="I32" s="38"/>
      <c r="J32" s="294"/>
      <c r="K32" s="294"/>
      <c r="L32" s="294"/>
      <c r="M32" s="294"/>
    </row>
    <row r="33" spans="1:13" x14ac:dyDescent="0.35">
      <c r="A33" s="294"/>
      <c r="B33" s="294"/>
      <c r="C33" s="294"/>
      <c r="D33" s="294"/>
      <c r="E33" s="294"/>
      <c r="F33" s="294"/>
      <c r="G33" s="294"/>
      <c r="H33" s="294"/>
      <c r="I33" s="38"/>
      <c r="J33" s="294"/>
      <c r="K33" s="294"/>
      <c r="L33" s="294"/>
      <c r="M33" s="294"/>
    </row>
    <row r="34" spans="1:13" x14ac:dyDescent="0.35">
      <c r="A34" s="294"/>
      <c r="B34" s="294"/>
      <c r="C34" s="294"/>
      <c r="D34" s="294"/>
      <c r="E34" s="294"/>
      <c r="F34" s="294"/>
      <c r="G34" s="294"/>
      <c r="H34" s="294"/>
      <c r="I34" s="38"/>
      <c r="J34" s="294"/>
      <c r="K34" s="294"/>
      <c r="L34" s="294"/>
      <c r="M34" s="294"/>
    </row>
    <row r="35" spans="1:13" x14ac:dyDescent="0.35">
      <c r="A35" s="294"/>
      <c r="B35" s="294"/>
      <c r="C35" s="294"/>
      <c r="D35" s="294"/>
      <c r="E35" s="294"/>
      <c r="F35" s="294"/>
      <c r="G35" s="294"/>
      <c r="H35" s="294"/>
      <c r="I35" s="38"/>
      <c r="J35" s="294"/>
      <c r="K35" s="294"/>
      <c r="L35" s="294"/>
      <c r="M35" s="294"/>
    </row>
    <row r="36" spans="1:13" x14ac:dyDescent="0.35">
      <c r="A36" s="294"/>
      <c r="B36" s="294"/>
      <c r="C36" s="294"/>
      <c r="D36" s="294"/>
      <c r="E36" s="294"/>
      <c r="F36" s="294"/>
      <c r="G36" s="294"/>
      <c r="H36" s="294"/>
      <c r="I36" s="38"/>
      <c r="J36" s="294"/>
      <c r="K36" s="294"/>
      <c r="L36" s="294"/>
      <c r="M36" s="294"/>
    </row>
    <row r="37" spans="1:13" x14ac:dyDescent="0.35">
      <c r="A37" s="294"/>
      <c r="B37" s="294"/>
      <c r="C37" s="294"/>
      <c r="D37" s="294"/>
      <c r="E37" s="294"/>
      <c r="F37" s="294"/>
      <c r="G37" s="294"/>
      <c r="H37" s="294"/>
      <c r="I37" s="38"/>
      <c r="J37" s="294"/>
      <c r="K37" s="294"/>
      <c r="L37" s="294"/>
      <c r="M37" s="294"/>
    </row>
    <row r="38" spans="1:13" x14ac:dyDescent="0.35">
      <c r="A38" s="407" t="s">
        <v>66</v>
      </c>
      <c r="B38" s="407"/>
      <c r="C38" s="294"/>
      <c r="D38" s="294"/>
      <c r="E38" s="407" t="s">
        <v>67</v>
      </c>
      <c r="F38" s="407"/>
      <c r="G38" s="408"/>
      <c r="H38" s="408"/>
      <c r="I38" s="290"/>
      <c r="J38" s="290"/>
      <c r="K38" s="290"/>
      <c r="L38" s="39"/>
      <c r="M38" s="295"/>
    </row>
    <row r="39" spans="1:13" x14ac:dyDescent="0.35">
      <c r="A39" s="421" t="s">
        <v>69</v>
      </c>
      <c r="B39" s="421"/>
      <c r="D39" s="291"/>
      <c r="E39" s="410" t="s">
        <v>70</v>
      </c>
      <c r="F39" s="410"/>
      <c r="G39" s="410" t="s">
        <v>71</v>
      </c>
      <c r="H39" s="410"/>
      <c r="I39" s="291"/>
      <c r="J39" s="291"/>
      <c r="K39" s="291" t="s">
        <v>72</v>
      </c>
      <c r="L39" s="293"/>
      <c r="M39" s="293"/>
    </row>
    <row r="40" spans="1:13" x14ac:dyDescent="0.35">
      <c r="A40" s="414" t="s">
        <v>92</v>
      </c>
      <c r="B40" s="414"/>
      <c r="D40" s="296"/>
      <c r="E40" s="414" t="s">
        <v>73</v>
      </c>
      <c r="F40" s="414"/>
      <c r="G40" s="414" t="s">
        <v>74</v>
      </c>
      <c r="H40" s="414"/>
      <c r="I40" s="293"/>
      <c r="J40" s="293"/>
      <c r="K40" s="293" t="s">
        <v>75</v>
      </c>
      <c r="L40" s="292"/>
      <c r="M40" s="292"/>
    </row>
    <row r="41" spans="1:13" x14ac:dyDescent="0.35">
      <c r="A41" s="414" t="s">
        <v>94</v>
      </c>
      <c r="B41" s="414"/>
      <c r="D41" s="297"/>
      <c r="E41" s="414" t="s">
        <v>78</v>
      </c>
      <c r="F41" s="414"/>
      <c r="G41" s="414" t="s">
        <v>414</v>
      </c>
      <c r="H41" s="414"/>
      <c r="I41" s="292"/>
      <c r="J41" s="292"/>
      <c r="K41" s="293" t="s">
        <v>80</v>
      </c>
      <c r="L41" s="297"/>
      <c r="M41" s="297"/>
    </row>
    <row r="42" spans="1:13" x14ac:dyDescent="0.35">
      <c r="A42" s="412" t="s">
        <v>76</v>
      </c>
      <c r="B42" s="412"/>
      <c r="D42" s="297"/>
      <c r="E42" s="412" t="s">
        <v>76</v>
      </c>
      <c r="F42" s="412"/>
      <c r="G42" s="412" t="s">
        <v>76</v>
      </c>
      <c r="H42" s="412"/>
      <c r="I42" s="292"/>
      <c r="J42" s="292"/>
      <c r="K42" s="292"/>
    </row>
  </sheetData>
  <mergeCells count="39">
    <mergeCell ref="A4:B4"/>
    <mergeCell ref="C4:M4"/>
    <mergeCell ref="A1:M1"/>
    <mergeCell ref="A2:B2"/>
    <mergeCell ref="C2:M2"/>
    <mergeCell ref="A3:B3"/>
    <mergeCell ref="C3:M3"/>
    <mergeCell ref="A5:B5"/>
    <mergeCell ref="C5:M5"/>
    <mergeCell ref="A6:B6"/>
    <mergeCell ref="C6:M6"/>
    <mergeCell ref="A7:B7"/>
    <mergeCell ref="C7:M7"/>
    <mergeCell ref="G38:H38"/>
    <mergeCell ref="A39:B39"/>
    <mergeCell ref="E39:F39"/>
    <mergeCell ref="G39:H39"/>
    <mergeCell ref="A8:B8"/>
    <mergeCell ref="C8:M8"/>
    <mergeCell ref="A9:B9"/>
    <mergeCell ref="C9:M9"/>
    <mergeCell ref="A10:M10"/>
    <mergeCell ref="A13:G13"/>
    <mergeCell ref="A42:B42"/>
    <mergeCell ref="E42:F42"/>
    <mergeCell ref="G42:H42"/>
    <mergeCell ref="B27:E27"/>
    <mergeCell ref="C28:E28"/>
    <mergeCell ref="C29:E29"/>
    <mergeCell ref="C30:E30"/>
    <mergeCell ref="C31:E31"/>
    <mergeCell ref="A40:B40"/>
    <mergeCell ref="E40:F40"/>
    <mergeCell ref="G40:H40"/>
    <mergeCell ref="A41:B41"/>
    <mergeCell ref="E41:F41"/>
    <mergeCell ref="G41:H41"/>
    <mergeCell ref="A38:B38"/>
    <mergeCell ref="E38:F38"/>
  </mergeCells>
  <pageMargins left="0.25" right="0.25" top="0.75" bottom="0.75" header="0.3" footer="0.3"/>
  <pageSetup paperSize="9" scale="73" orientation="landscape"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6E31-66B9-4E89-ADB7-05B60DDBDAE2}">
  <sheetPr>
    <pageSetUpPr fitToPage="1"/>
  </sheetPr>
  <dimension ref="A1:M45"/>
  <sheetViews>
    <sheetView topLeftCell="A10" workbookViewId="0">
      <selection activeCell="E20" sqref="E20"/>
    </sheetView>
  </sheetViews>
  <sheetFormatPr defaultRowHeight="14.5" x14ac:dyDescent="0.35"/>
  <cols>
    <col min="1" max="1" width="5.7265625" bestFit="1" customWidth="1"/>
    <col min="2" max="2" width="33.7265625" customWidth="1"/>
    <col min="3" max="3" width="18.54296875"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8.5" customHeight="1" x14ac:dyDescent="0.35">
      <c r="A1" s="473" t="s">
        <v>520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46145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H14</f>
        <v>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561</v>
      </c>
      <c r="J11" s="3" t="s">
        <v>18</v>
      </c>
      <c r="K11" s="3" t="s">
        <v>19</v>
      </c>
      <c r="L11" s="3" t="s">
        <v>20</v>
      </c>
      <c r="M11" s="4" t="s">
        <v>21</v>
      </c>
    </row>
    <row r="12" spans="1:13" x14ac:dyDescent="0.35">
      <c r="A12" s="5">
        <v>1</v>
      </c>
      <c r="B12" s="85" t="s">
        <v>331</v>
      </c>
      <c r="C12" s="86" t="s">
        <v>332</v>
      </c>
      <c r="D12" s="53" t="s">
        <v>333</v>
      </c>
      <c r="E12" s="87" t="s">
        <v>24</v>
      </c>
      <c r="F12" s="87" t="s">
        <v>44</v>
      </c>
      <c r="G12" s="87" t="s">
        <v>335</v>
      </c>
      <c r="H12" s="78">
        <v>5000</v>
      </c>
      <c r="I12" s="42"/>
      <c r="J12" s="42"/>
      <c r="K12" s="11"/>
      <c r="L12" s="78"/>
      <c r="M12" s="12" t="s">
        <v>406</v>
      </c>
    </row>
    <row r="13" spans="1:13" x14ac:dyDescent="0.35">
      <c r="A13" s="5">
        <v>2</v>
      </c>
      <c r="B13" s="85" t="s">
        <v>331</v>
      </c>
      <c r="C13" s="86" t="s">
        <v>332</v>
      </c>
      <c r="D13" s="53" t="s">
        <v>333</v>
      </c>
      <c r="E13" s="87" t="s">
        <v>24</v>
      </c>
      <c r="F13" s="87" t="s">
        <v>44</v>
      </c>
      <c r="G13" s="87" t="s">
        <v>335</v>
      </c>
      <c r="H13" s="78">
        <v>2000</v>
      </c>
      <c r="I13" s="42"/>
      <c r="J13" s="42"/>
      <c r="K13" s="11"/>
      <c r="L13" s="78"/>
      <c r="M13" s="12" t="s">
        <v>406</v>
      </c>
    </row>
    <row r="14" spans="1:13" x14ac:dyDescent="0.35">
      <c r="A14" s="304"/>
      <c r="B14" s="304"/>
      <c r="C14" s="304"/>
      <c r="D14" s="304"/>
      <c r="E14" s="304"/>
      <c r="F14" s="304"/>
      <c r="G14" s="272" t="s">
        <v>381</v>
      </c>
      <c r="H14" s="273">
        <v>7000</v>
      </c>
      <c r="I14" s="304"/>
      <c r="J14" s="304"/>
      <c r="K14" s="304"/>
      <c r="L14" s="304"/>
      <c r="M14" s="304"/>
    </row>
    <row r="15" spans="1:13" x14ac:dyDescent="0.35">
      <c r="A15" s="304"/>
      <c r="B15" s="304" t="s">
        <v>361</v>
      </c>
      <c r="C15" s="304"/>
      <c r="D15" s="304"/>
      <c r="E15" s="304"/>
      <c r="F15" s="304"/>
      <c r="G15" s="304"/>
      <c r="H15" s="304"/>
      <c r="I15" s="304"/>
      <c r="J15" s="304"/>
      <c r="K15" s="304"/>
      <c r="L15" s="304"/>
      <c r="M15" s="304"/>
    </row>
    <row r="16" spans="1:13" x14ac:dyDescent="0.35">
      <c r="A16" s="304"/>
      <c r="B16" s="304"/>
      <c r="C16" s="304"/>
      <c r="D16" s="304"/>
      <c r="E16" s="304"/>
      <c r="F16" s="304"/>
      <c r="G16" s="304"/>
      <c r="H16" s="304"/>
      <c r="I16" s="304"/>
      <c r="J16" s="304"/>
      <c r="K16" s="304"/>
      <c r="L16" s="304"/>
      <c r="M16" s="304"/>
    </row>
    <row r="17" spans="1:13" x14ac:dyDescent="0.35">
      <c r="A17" s="304"/>
      <c r="B17" s="304"/>
      <c r="C17" s="304"/>
      <c r="D17" s="304"/>
      <c r="E17" s="304"/>
      <c r="F17" s="304"/>
      <c r="G17" s="304"/>
      <c r="H17" s="304"/>
      <c r="I17" s="304"/>
      <c r="J17" s="304"/>
      <c r="K17" s="304"/>
      <c r="L17" s="304"/>
      <c r="M17" s="304"/>
    </row>
    <row r="18" spans="1:13" x14ac:dyDescent="0.35">
      <c r="A18" s="304"/>
      <c r="B18" s="304"/>
      <c r="C18" s="304"/>
      <c r="D18" s="304"/>
      <c r="E18" s="304"/>
      <c r="F18" s="304"/>
      <c r="G18" s="304"/>
      <c r="H18" s="304"/>
      <c r="I18" s="304"/>
      <c r="J18" s="304"/>
      <c r="K18" s="304"/>
      <c r="L18" s="304"/>
      <c r="M18" s="304"/>
    </row>
    <row r="19" spans="1:13" x14ac:dyDescent="0.35">
      <c r="A19" s="304"/>
      <c r="B19" s="304"/>
      <c r="C19" s="304"/>
      <c r="D19" s="304"/>
      <c r="E19" s="304"/>
      <c r="F19" s="304"/>
      <c r="G19" s="304"/>
      <c r="H19" s="304"/>
      <c r="I19" s="304"/>
      <c r="J19" s="304"/>
      <c r="K19" s="304"/>
      <c r="L19" s="304"/>
      <c r="M19" s="304"/>
    </row>
    <row r="20" spans="1:13" x14ac:dyDescent="0.35">
      <c r="A20" s="304"/>
      <c r="B20" s="304"/>
      <c r="C20" s="304"/>
      <c r="D20" s="304"/>
      <c r="E20" s="304"/>
      <c r="F20" s="304"/>
      <c r="G20" s="304"/>
      <c r="H20" s="304"/>
      <c r="I20" s="304"/>
      <c r="J20" s="304"/>
      <c r="K20" s="304"/>
      <c r="L20" s="304"/>
      <c r="M20" s="304"/>
    </row>
    <row r="21" spans="1:13" x14ac:dyDescent="0.35">
      <c r="A21" s="304"/>
      <c r="B21" s="304"/>
      <c r="C21" s="304"/>
      <c r="D21" s="304"/>
      <c r="E21" s="304"/>
      <c r="F21" s="304"/>
      <c r="G21" s="304"/>
      <c r="H21" s="304"/>
      <c r="I21" s="304"/>
      <c r="J21" s="304"/>
      <c r="K21" s="304"/>
      <c r="L21" s="304"/>
      <c r="M21" s="304"/>
    </row>
    <row r="22" spans="1:13" x14ac:dyDescent="0.35">
      <c r="A22" s="304"/>
      <c r="B22" s="304"/>
      <c r="C22" s="304"/>
      <c r="D22" s="304"/>
      <c r="E22" s="304"/>
      <c r="F22" s="304"/>
      <c r="G22" s="304"/>
      <c r="H22" s="304"/>
      <c r="I22" s="304"/>
      <c r="J22" s="304"/>
      <c r="K22" s="304"/>
      <c r="L22" s="304"/>
      <c r="M22" s="304"/>
    </row>
    <row r="23" spans="1:13" x14ac:dyDescent="0.35">
      <c r="A23" s="304"/>
      <c r="B23" s="453" t="s">
        <v>355</v>
      </c>
      <c r="C23" s="453"/>
      <c r="D23" s="304"/>
      <c r="E23" s="304"/>
      <c r="F23" s="304"/>
      <c r="G23" s="304"/>
      <c r="H23" s="304"/>
      <c r="I23" s="304"/>
      <c r="J23" s="304"/>
      <c r="K23" s="304"/>
      <c r="L23" s="304"/>
      <c r="M23" s="304"/>
    </row>
    <row r="24" spans="1:13" x14ac:dyDescent="0.35">
      <c r="A24" s="304"/>
      <c r="B24" s="111" t="s">
        <v>7</v>
      </c>
      <c r="C24" s="111" t="s">
        <v>356</v>
      </c>
      <c r="D24" s="304"/>
      <c r="E24" s="304"/>
      <c r="F24" s="304"/>
      <c r="G24" s="304"/>
      <c r="H24" s="304"/>
      <c r="I24" s="304"/>
      <c r="J24" s="304"/>
      <c r="K24" s="304"/>
      <c r="L24" s="304"/>
      <c r="M24" s="304"/>
    </row>
    <row r="25" spans="1:13" x14ac:dyDescent="0.35">
      <c r="A25" s="304"/>
      <c r="B25" s="111" t="s">
        <v>305</v>
      </c>
      <c r="C25" s="111">
        <v>559</v>
      </c>
      <c r="D25" s="304"/>
      <c r="E25" s="304"/>
      <c r="F25" s="304"/>
      <c r="G25" s="304"/>
      <c r="H25" s="304"/>
      <c r="I25" s="304"/>
      <c r="J25" s="304"/>
      <c r="K25" s="304"/>
      <c r="L25" s="304"/>
      <c r="M25" s="304"/>
    </row>
    <row r="26" spans="1:13" x14ac:dyDescent="0.35">
      <c r="A26" s="304"/>
      <c r="B26" s="111" t="s">
        <v>307</v>
      </c>
      <c r="C26" s="111" t="s">
        <v>308</v>
      </c>
      <c r="D26" s="304"/>
      <c r="E26" s="304"/>
      <c r="F26" s="304"/>
      <c r="G26" s="304"/>
      <c r="H26" s="304"/>
      <c r="I26" s="304"/>
      <c r="J26" s="304"/>
      <c r="K26" s="304"/>
      <c r="L26" s="304"/>
      <c r="M26" s="304"/>
    </row>
    <row r="27" spans="1:13" x14ac:dyDescent="0.35">
      <c r="A27" s="304"/>
      <c r="B27" s="111" t="s">
        <v>309</v>
      </c>
      <c r="C27" s="112" t="s">
        <v>357</v>
      </c>
      <c r="D27" s="304"/>
      <c r="E27" s="304"/>
      <c r="F27" s="304"/>
      <c r="G27" s="304"/>
      <c r="H27" s="304"/>
      <c r="I27" s="304"/>
      <c r="J27" s="304"/>
      <c r="K27" s="304"/>
      <c r="L27" s="304"/>
      <c r="M27" s="304"/>
    </row>
    <row r="28" spans="1:13" x14ac:dyDescent="0.35">
      <c r="A28" s="304"/>
      <c r="B28" s="304"/>
      <c r="C28" s="304"/>
      <c r="D28" s="304"/>
      <c r="E28" s="304"/>
      <c r="F28" s="304"/>
      <c r="G28" s="304"/>
      <c r="H28" s="304"/>
      <c r="I28" s="304"/>
      <c r="J28" s="304"/>
      <c r="K28" s="304"/>
      <c r="L28" s="304"/>
      <c r="M28" s="304"/>
    </row>
    <row r="29" spans="1:13" x14ac:dyDescent="0.35">
      <c r="A29" s="304"/>
      <c r="B29" s="304"/>
      <c r="C29" s="304"/>
      <c r="D29" s="304"/>
      <c r="E29" s="304"/>
      <c r="F29" s="304"/>
      <c r="G29" s="304"/>
      <c r="H29" s="304"/>
      <c r="I29" s="304"/>
      <c r="J29" s="304"/>
      <c r="K29" s="304"/>
      <c r="L29" s="304"/>
      <c r="M29" s="304"/>
    </row>
    <row r="30" spans="1:13" x14ac:dyDescent="0.35">
      <c r="A30" s="304"/>
      <c r="B30" s="304"/>
      <c r="C30" s="304"/>
      <c r="D30" s="304"/>
      <c r="E30" s="304"/>
      <c r="F30" s="304"/>
      <c r="G30" s="304"/>
      <c r="H30" s="304"/>
      <c r="I30" s="304"/>
      <c r="J30" s="304"/>
      <c r="K30" s="304"/>
      <c r="L30" s="304"/>
      <c r="M30" s="304"/>
    </row>
    <row r="31" spans="1:13" x14ac:dyDescent="0.35">
      <c r="A31" s="304"/>
      <c r="B31" s="304"/>
      <c r="C31" s="304"/>
      <c r="D31" s="304"/>
      <c r="E31" s="304"/>
      <c r="F31" s="304"/>
      <c r="G31" s="304"/>
      <c r="H31" s="304"/>
      <c r="I31" s="304"/>
      <c r="J31" s="304"/>
      <c r="K31" s="304"/>
      <c r="L31" s="304"/>
      <c r="M31" s="304"/>
    </row>
    <row r="32" spans="1:13" ht="15" thickBot="1" x14ac:dyDescent="0.4">
      <c r="A32" s="420" t="s">
        <v>66</v>
      </c>
      <c r="B32" s="420"/>
      <c r="C32" s="304"/>
      <c r="D32" s="304"/>
      <c r="E32" s="407" t="s">
        <v>67</v>
      </c>
      <c r="F32" s="407"/>
      <c r="G32" s="49"/>
      <c r="H32" s="49"/>
      <c r="I32" s="408"/>
      <c r="J32" s="408"/>
      <c r="K32" s="300"/>
      <c r="L32" s="301"/>
      <c r="M32" s="301"/>
    </row>
    <row r="33" spans="1:13" ht="15" thickTop="1" x14ac:dyDescent="0.35">
      <c r="A33" s="421" t="s">
        <v>69</v>
      </c>
      <c r="B33" s="421"/>
      <c r="D33" s="30"/>
      <c r="E33" s="410" t="s">
        <v>70</v>
      </c>
      <c r="F33" s="410"/>
      <c r="G33" s="410" t="s">
        <v>71</v>
      </c>
      <c r="H33" s="410"/>
      <c r="I33" s="301"/>
      <c r="J33" s="301"/>
      <c r="K33" s="301" t="s">
        <v>72</v>
      </c>
      <c r="L33" s="303"/>
      <c r="M33" s="303"/>
    </row>
    <row r="34" spans="1:13" x14ac:dyDescent="0.35">
      <c r="A34" s="414" t="s">
        <v>92</v>
      </c>
      <c r="B34" s="414"/>
      <c r="D34" s="305"/>
      <c r="E34" s="414" t="s">
        <v>73</v>
      </c>
      <c r="F34" s="414"/>
      <c r="G34" s="414" t="s">
        <v>74</v>
      </c>
      <c r="H34" s="414"/>
      <c r="I34" s="303"/>
      <c r="J34" s="303"/>
      <c r="K34" s="303" t="s">
        <v>75</v>
      </c>
      <c r="L34" s="302"/>
      <c r="M34" s="302"/>
    </row>
    <row r="35" spans="1:13" x14ac:dyDescent="0.35">
      <c r="A35" s="412" t="s">
        <v>94</v>
      </c>
      <c r="B35" s="412"/>
      <c r="D35" s="306"/>
      <c r="E35" s="414" t="s">
        <v>78</v>
      </c>
      <c r="F35" s="414"/>
      <c r="G35" s="414" t="s">
        <v>414</v>
      </c>
      <c r="H35" s="414"/>
      <c r="I35" s="302"/>
      <c r="J35" s="302"/>
      <c r="K35" s="302" t="s">
        <v>80</v>
      </c>
      <c r="L35" s="306"/>
      <c r="M35" s="306"/>
    </row>
    <row r="36" spans="1:13" x14ac:dyDescent="0.35">
      <c r="A36" s="412" t="s">
        <v>76</v>
      </c>
      <c r="B36" s="412"/>
      <c r="D36" s="306"/>
      <c r="E36" s="412" t="s">
        <v>76</v>
      </c>
      <c r="F36" s="412"/>
      <c r="G36" s="412" t="s">
        <v>76</v>
      </c>
      <c r="H36" s="412"/>
      <c r="I36" s="302"/>
      <c r="J36" s="302"/>
      <c r="K36" s="302"/>
    </row>
    <row r="42" spans="1:13" x14ac:dyDescent="0.35">
      <c r="A42" s="417" t="s">
        <v>114</v>
      </c>
      <c r="B42" s="417"/>
      <c r="C42" s="477"/>
      <c r="D42" s="477"/>
      <c r="E42" s="477"/>
    </row>
    <row r="43" spans="1:13" x14ac:dyDescent="0.35">
      <c r="A43" s="418" t="s">
        <v>115</v>
      </c>
      <c r="B43" s="418"/>
      <c r="C43" s="430"/>
      <c r="D43" s="430"/>
      <c r="E43" s="430"/>
    </row>
    <row r="44" spans="1:13" x14ac:dyDescent="0.35">
      <c r="A44" s="422" t="s">
        <v>116</v>
      </c>
      <c r="B44" s="418"/>
      <c r="C44" s="431"/>
      <c r="D44" s="431"/>
      <c r="E44" s="431"/>
    </row>
    <row r="45" spans="1:13" x14ac:dyDescent="0.35">
      <c r="A45" s="416" t="s">
        <v>117</v>
      </c>
      <c r="B45" s="416"/>
      <c r="C45" s="412"/>
      <c r="D45" s="412"/>
      <c r="E45" s="412"/>
    </row>
  </sheetData>
  <mergeCells count="42">
    <mergeCell ref="A4:B4"/>
    <mergeCell ref="C4:M4"/>
    <mergeCell ref="A1:M1"/>
    <mergeCell ref="A2:B2"/>
    <mergeCell ref="C2:M2"/>
    <mergeCell ref="A3:B3"/>
    <mergeCell ref="C3:M3"/>
    <mergeCell ref="I32:J32"/>
    <mergeCell ref="A5:B5"/>
    <mergeCell ref="C5:M5"/>
    <mergeCell ref="A6:B6"/>
    <mergeCell ref="C6:M6"/>
    <mergeCell ref="A7:B7"/>
    <mergeCell ref="C7:M7"/>
    <mergeCell ref="A8:B8"/>
    <mergeCell ref="C8:M8"/>
    <mergeCell ref="A9:B9"/>
    <mergeCell ref="C9:M9"/>
    <mergeCell ref="A10:M10"/>
    <mergeCell ref="G35:H35"/>
    <mergeCell ref="A36:B36"/>
    <mergeCell ref="E36:F36"/>
    <mergeCell ref="G36:H36"/>
    <mergeCell ref="A33:B33"/>
    <mergeCell ref="E33:F33"/>
    <mergeCell ref="G33:H33"/>
    <mergeCell ref="A34:B34"/>
    <mergeCell ref="E34:F34"/>
    <mergeCell ref="G34:H34"/>
    <mergeCell ref="A45:B45"/>
    <mergeCell ref="C45:E45"/>
    <mergeCell ref="B23:C23"/>
    <mergeCell ref="A42:B42"/>
    <mergeCell ref="C42:E42"/>
    <mergeCell ref="A43:B43"/>
    <mergeCell ref="C43:E43"/>
    <mergeCell ref="A44:B44"/>
    <mergeCell ref="C44:E44"/>
    <mergeCell ref="A35:B35"/>
    <mergeCell ref="E35:F35"/>
    <mergeCell ref="A32:B32"/>
    <mergeCell ref="E32:F32"/>
  </mergeCells>
  <printOptions horizontalCentered="1" verticalCentered="1"/>
  <pageMargins left="0.25" right="0.25" top="0.75" bottom="0.75" header="0.3" footer="0.3"/>
  <pageSetup paperSize="9" scale="67" orientation="landscape"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9E06-5D87-404D-AF71-BE6169D7A648}">
  <sheetPr>
    <pageSetUpPr fitToPage="1"/>
  </sheetPr>
  <dimension ref="A1:M45"/>
  <sheetViews>
    <sheetView topLeftCell="A10" workbookViewId="0">
      <selection activeCell="K16" sqref="K16"/>
    </sheetView>
  </sheetViews>
  <sheetFormatPr defaultRowHeight="14.5" x14ac:dyDescent="0.35"/>
  <cols>
    <col min="1" max="1" width="5.7265625" bestFit="1" customWidth="1"/>
    <col min="2" max="2" width="33.7265625" customWidth="1"/>
    <col min="3" max="3" width="18.36328125"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43.5" customHeight="1" x14ac:dyDescent="0.35">
      <c r="A1" s="473" t="s">
        <v>520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46145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6000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561</v>
      </c>
      <c r="J11" s="3" t="s">
        <v>18</v>
      </c>
      <c r="K11" s="3" t="s">
        <v>19</v>
      </c>
      <c r="L11" s="3" t="s">
        <v>20</v>
      </c>
      <c r="M11" s="4" t="s">
        <v>21</v>
      </c>
    </row>
    <row r="12" spans="1:13" x14ac:dyDescent="0.35">
      <c r="A12" s="5">
        <v>1</v>
      </c>
      <c r="B12" s="69" t="s">
        <v>530</v>
      </c>
      <c r="C12" s="69" t="s">
        <v>332</v>
      </c>
      <c r="D12" s="70" t="s">
        <v>531</v>
      </c>
      <c r="E12" s="70" t="s">
        <v>24</v>
      </c>
      <c r="F12" s="68" t="s">
        <v>44</v>
      </c>
      <c r="G12" s="68" t="s">
        <v>532</v>
      </c>
      <c r="H12" s="79">
        <v>6000</v>
      </c>
      <c r="I12" s="10" t="s">
        <v>97</v>
      </c>
      <c r="J12" s="10" t="s">
        <v>97</v>
      </c>
      <c r="K12" s="11" t="s">
        <v>97</v>
      </c>
      <c r="L12" s="80" t="s">
        <v>97</v>
      </c>
      <c r="M12" s="17" t="s">
        <v>238</v>
      </c>
    </row>
    <row r="13" spans="1:13" x14ac:dyDescent="0.35">
      <c r="A13" s="304"/>
      <c r="B13" s="304"/>
      <c r="C13" s="304"/>
      <c r="D13" s="304"/>
      <c r="E13" s="304"/>
      <c r="F13" s="304"/>
      <c r="G13" s="272" t="s">
        <v>381</v>
      </c>
      <c r="H13" s="273">
        <f>SUM(H12:H12)</f>
        <v>6000</v>
      </c>
      <c r="I13" s="304"/>
      <c r="J13" s="304"/>
      <c r="K13" s="304"/>
      <c r="L13" s="304"/>
      <c r="M13" s="304"/>
    </row>
    <row r="14" spans="1:13" x14ac:dyDescent="0.35">
      <c r="A14" s="304"/>
      <c r="B14" s="304" t="s">
        <v>566</v>
      </c>
      <c r="C14" s="304"/>
      <c r="D14" s="304"/>
      <c r="E14" s="304"/>
      <c r="F14" s="304"/>
      <c r="G14" s="304"/>
      <c r="H14" s="304"/>
      <c r="I14" s="304"/>
      <c r="J14" s="304"/>
      <c r="K14" s="304"/>
      <c r="L14" s="304"/>
      <c r="M14" s="304"/>
    </row>
    <row r="15" spans="1:13" x14ac:dyDescent="0.35">
      <c r="A15" s="304"/>
      <c r="B15" s="304"/>
      <c r="C15" s="304"/>
      <c r="D15" s="304"/>
      <c r="E15" s="304"/>
      <c r="F15" s="304"/>
      <c r="G15" s="304"/>
      <c r="H15" s="304"/>
      <c r="I15" s="304"/>
      <c r="J15" s="304"/>
      <c r="K15" s="304"/>
      <c r="L15" s="304"/>
      <c r="M15" s="304"/>
    </row>
    <row r="16" spans="1:13" x14ac:dyDescent="0.35">
      <c r="A16" s="304"/>
      <c r="B16" s="304"/>
      <c r="C16" s="304"/>
      <c r="D16" s="304"/>
      <c r="E16" s="304"/>
      <c r="F16" s="304"/>
      <c r="G16" s="304"/>
      <c r="H16" s="304"/>
      <c r="I16" s="304"/>
      <c r="J16" s="304"/>
      <c r="K16" s="304"/>
      <c r="L16" s="304"/>
      <c r="M16" s="304"/>
    </row>
    <row r="17" spans="1:13" x14ac:dyDescent="0.35">
      <c r="A17" s="304"/>
      <c r="B17" s="304"/>
      <c r="C17" s="304"/>
      <c r="D17" s="304"/>
      <c r="E17" s="304"/>
      <c r="F17" s="304"/>
      <c r="G17" s="304"/>
      <c r="H17" s="304"/>
      <c r="I17" s="304"/>
      <c r="J17" s="304"/>
      <c r="K17" s="304"/>
      <c r="L17" s="304"/>
      <c r="M17" s="304"/>
    </row>
    <row r="18" spans="1:13" x14ac:dyDescent="0.35">
      <c r="A18" s="304"/>
      <c r="B18" s="304"/>
      <c r="C18" s="304"/>
      <c r="D18" s="304"/>
      <c r="E18" s="304"/>
      <c r="F18" s="304"/>
      <c r="G18" s="304"/>
      <c r="H18" s="304"/>
      <c r="I18" s="304"/>
      <c r="J18" s="304"/>
      <c r="K18" s="304"/>
      <c r="L18" s="304"/>
      <c r="M18" s="304"/>
    </row>
    <row r="19" spans="1:13" x14ac:dyDescent="0.35">
      <c r="A19" s="304"/>
      <c r="B19" s="304"/>
      <c r="C19" s="304"/>
      <c r="D19" s="304"/>
      <c r="E19" s="304"/>
      <c r="F19" s="304"/>
      <c r="G19" s="304"/>
      <c r="H19" s="304"/>
      <c r="I19" s="304"/>
      <c r="J19" s="304"/>
      <c r="K19" s="304"/>
      <c r="L19" s="304"/>
      <c r="M19" s="304"/>
    </row>
    <row r="20" spans="1:13" x14ac:dyDescent="0.35">
      <c r="A20" s="304"/>
      <c r="B20" s="453" t="s">
        <v>355</v>
      </c>
      <c r="C20" s="453"/>
      <c r="D20" s="304"/>
      <c r="E20" s="304"/>
      <c r="F20" s="304"/>
      <c r="G20" s="304"/>
      <c r="H20" s="304"/>
      <c r="I20" s="304"/>
      <c r="J20" s="304"/>
      <c r="K20" s="304"/>
      <c r="L20" s="304"/>
      <c r="M20" s="304"/>
    </row>
    <row r="21" spans="1:13" x14ac:dyDescent="0.35">
      <c r="A21" s="304"/>
      <c r="B21" s="111" t="s">
        <v>7</v>
      </c>
      <c r="C21" s="111" t="s">
        <v>356</v>
      </c>
      <c r="D21" s="304"/>
      <c r="E21" s="304"/>
      <c r="F21" s="304"/>
      <c r="G21" s="304"/>
      <c r="H21" s="304"/>
      <c r="I21" s="304"/>
      <c r="J21" s="304"/>
      <c r="K21" s="304"/>
      <c r="L21" s="304"/>
      <c r="M21" s="304"/>
    </row>
    <row r="22" spans="1:13" x14ac:dyDescent="0.35">
      <c r="A22" s="304"/>
      <c r="B22" s="111" t="s">
        <v>305</v>
      </c>
      <c r="C22" s="111">
        <v>559</v>
      </c>
      <c r="D22" s="304"/>
      <c r="E22" s="304"/>
      <c r="F22" s="304"/>
      <c r="G22" s="304"/>
      <c r="H22" s="304"/>
      <c r="I22" s="304"/>
      <c r="J22" s="304"/>
      <c r="K22" s="304"/>
      <c r="L22" s="304"/>
      <c r="M22" s="304"/>
    </row>
    <row r="23" spans="1:13" x14ac:dyDescent="0.35">
      <c r="A23" s="304"/>
      <c r="B23" s="111" t="s">
        <v>307</v>
      </c>
      <c r="C23" s="111" t="s">
        <v>308</v>
      </c>
      <c r="D23" s="304"/>
      <c r="E23" s="304"/>
      <c r="F23" s="304"/>
      <c r="G23" s="304"/>
      <c r="H23" s="304"/>
      <c r="I23" s="304"/>
      <c r="J23" s="304"/>
      <c r="K23" s="304"/>
      <c r="L23" s="304"/>
      <c r="M23" s="304"/>
    </row>
    <row r="24" spans="1:13" x14ac:dyDescent="0.35">
      <c r="A24" s="304"/>
      <c r="B24" s="111" t="s">
        <v>309</v>
      </c>
      <c r="C24" s="112" t="s">
        <v>357</v>
      </c>
      <c r="D24" s="304"/>
      <c r="E24" s="304"/>
      <c r="F24" s="304"/>
      <c r="G24" s="304"/>
      <c r="H24" s="304"/>
      <c r="I24" s="304"/>
      <c r="J24" s="304"/>
      <c r="K24" s="304"/>
      <c r="L24" s="304"/>
      <c r="M24" s="304"/>
    </row>
    <row r="25" spans="1:13" x14ac:dyDescent="0.35">
      <c r="A25" s="304"/>
      <c r="B25" s="304"/>
      <c r="C25" s="304"/>
      <c r="D25" s="304"/>
      <c r="E25" s="304"/>
      <c r="F25" s="304"/>
      <c r="G25" s="304"/>
      <c r="H25" s="304"/>
      <c r="I25" s="304"/>
      <c r="J25" s="304"/>
      <c r="K25" s="304"/>
      <c r="L25" s="304"/>
      <c r="M25" s="304"/>
    </row>
    <row r="26" spans="1:13" x14ac:dyDescent="0.35">
      <c r="A26" s="304"/>
      <c r="B26" s="304"/>
      <c r="C26" s="304"/>
      <c r="D26" s="304"/>
      <c r="E26" s="304"/>
      <c r="F26" s="304"/>
      <c r="G26" s="304"/>
      <c r="H26" s="304"/>
      <c r="I26" s="304"/>
      <c r="J26" s="304"/>
      <c r="K26" s="304"/>
      <c r="L26" s="304"/>
      <c r="M26" s="304"/>
    </row>
    <row r="27" spans="1:13" x14ac:dyDescent="0.35">
      <c r="A27" s="304"/>
      <c r="B27" s="304"/>
      <c r="C27" s="304"/>
      <c r="D27" s="304"/>
      <c r="E27" s="304"/>
      <c r="F27" s="304"/>
      <c r="G27" s="304"/>
      <c r="H27" s="304"/>
      <c r="I27" s="304"/>
      <c r="J27" s="304"/>
      <c r="K27" s="304"/>
      <c r="L27" s="304"/>
      <c r="M27" s="304"/>
    </row>
    <row r="28" spans="1:13" x14ac:dyDescent="0.35">
      <c r="A28" s="304"/>
      <c r="B28" s="304"/>
      <c r="C28" s="304"/>
      <c r="D28" s="304"/>
      <c r="E28" s="304"/>
      <c r="F28" s="304"/>
      <c r="G28" s="304"/>
      <c r="H28" s="304"/>
      <c r="I28" s="304"/>
      <c r="J28" s="304"/>
      <c r="K28" s="304"/>
      <c r="L28" s="304"/>
      <c r="M28" s="304"/>
    </row>
    <row r="29" spans="1:13" x14ac:dyDescent="0.35">
      <c r="A29" s="304"/>
      <c r="B29" s="304"/>
      <c r="C29" s="304"/>
      <c r="D29" s="304"/>
      <c r="E29" s="304"/>
      <c r="F29" s="304"/>
      <c r="G29" s="304"/>
      <c r="H29" s="304"/>
      <c r="I29" s="304"/>
      <c r="J29" s="304"/>
      <c r="K29" s="304"/>
      <c r="L29" s="304"/>
      <c r="M29" s="304"/>
    </row>
    <row r="30" spans="1:13" x14ac:dyDescent="0.35">
      <c r="A30" s="304"/>
      <c r="B30" s="304"/>
      <c r="C30" s="304"/>
      <c r="D30" s="304"/>
      <c r="E30" s="304"/>
      <c r="F30" s="304"/>
      <c r="G30" s="304"/>
      <c r="H30" s="304"/>
      <c r="I30" s="304"/>
      <c r="J30" s="304"/>
      <c r="K30" s="304"/>
      <c r="L30" s="304"/>
      <c r="M30" s="304"/>
    </row>
    <row r="31" spans="1:13" x14ac:dyDescent="0.35">
      <c r="A31" s="304"/>
      <c r="B31" s="304"/>
      <c r="C31" s="304"/>
      <c r="D31" s="304"/>
      <c r="E31" s="304"/>
      <c r="F31" s="304"/>
      <c r="G31" s="304"/>
      <c r="H31" s="304"/>
      <c r="I31" s="304"/>
      <c r="J31" s="304"/>
      <c r="K31" s="304"/>
      <c r="L31" s="304"/>
      <c r="M31" s="304"/>
    </row>
    <row r="32" spans="1:13" ht="15" thickBot="1" x14ac:dyDescent="0.4">
      <c r="A32" s="420" t="s">
        <v>66</v>
      </c>
      <c r="B32" s="420"/>
      <c r="C32" s="304"/>
      <c r="D32" s="304"/>
      <c r="E32" s="407" t="s">
        <v>67</v>
      </c>
      <c r="F32" s="407"/>
      <c r="G32" s="49"/>
      <c r="H32" s="49"/>
      <c r="I32" s="408"/>
      <c r="J32" s="408"/>
      <c r="K32" s="300"/>
      <c r="L32" s="301"/>
      <c r="M32" s="301"/>
    </row>
    <row r="33" spans="1:13" ht="15" thickTop="1" x14ac:dyDescent="0.35">
      <c r="A33" s="421" t="s">
        <v>69</v>
      </c>
      <c r="B33" s="421"/>
      <c r="D33" s="30"/>
      <c r="E33" s="410" t="s">
        <v>70</v>
      </c>
      <c r="F33" s="410"/>
      <c r="G33" s="410" t="s">
        <v>71</v>
      </c>
      <c r="H33" s="410"/>
      <c r="I33" s="301"/>
      <c r="J33" s="301"/>
      <c r="K33" s="301" t="s">
        <v>72</v>
      </c>
      <c r="L33" s="303"/>
      <c r="M33" s="303"/>
    </row>
    <row r="34" spans="1:13" x14ac:dyDescent="0.35">
      <c r="A34" s="414" t="s">
        <v>92</v>
      </c>
      <c r="B34" s="414"/>
      <c r="D34" s="305"/>
      <c r="E34" s="414" t="s">
        <v>73</v>
      </c>
      <c r="F34" s="414"/>
      <c r="G34" s="414" t="s">
        <v>74</v>
      </c>
      <c r="H34" s="414"/>
      <c r="I34" s="303"/>
      <c r="J34" s="303"/>
      <c r="K34" s="303" t="s">
        <v>75</v>
      </c>
      <c r="L34" s="302"/>
      <c r="M34" s="302"/>
    </row>
    <row r="35" spans="1:13" x14ac:dyDescent="0.35">
      <c r="A35" s="412" t="s">
        <v>94</v>
      </c>
      <c r="B35" s="412"/>
      <c r="D35" s="306"/>
      <c r="E35" s="414" t="s">
        <v>78</v>
      </c>
      <c r="F35" s="414"/>
      <c r="G35" s="414" t="s">
        <v>414</v>
      </c>
      <c r="H35" s="414"/>
      <c r="I35" s="302"/>
      <c r="J35" s="302"/>
      <c r="K35" s="302" t="s">
        <v>80</v>
      </c>
      <c r="L35" s="306"/>
      <c r="M35" s="306"/>
    </row>
    <row r="36" spans="1:13" x14ac:dyDescent="0.35">
      <c r="A36" s="412" t="s">
        <v>76</v>
      </c>
      <c r="B36" s="412"/>
      <c r="D36" s="306"/>
      <c r="E36" s="412" t="s">
        <v>76</v>
      </c>
      <c r="F36" s="412"/>
      <c r="G36" s="412" t="s">
        <v>76</v>
      </c>
      <c r="H36" s="412"/>
      <c r="I36" s="302"/>
      <c r="J36" s="302"/>
      <c r="K36" s="302"/>
    </row>
    <row r="42" spans="1:13" x14ac:dyDescent="0.35">
      <c r="A42" s="417" t="s">
        <v>114</v>
      </c>
      <c r="B42" s="417"/>
      <c r="C42" s="477"/>
      <c r="D42" s="477"/>
      <c r="E42" s="477"/>
    </row>
    <row r="43" spans="1:13" x14ac:dyDescent="0.35">
      <c r="A43" s="418" t="s">
        <v>115</v>
      </c>
      <c r="B43" s="418"/>
      <c r="C43" s="430"/>
      <c r="D43" s="430"/>
      <c r="E43" s="430"/>
    </row>
    <row r="44" spans="1:13" x14ac:dyDescent="0.35">
      <c r="A44" s="422" t="s">
        <v>116</v>
      </c>
      <c r="B44" s="418"/>
      <c r="C44" s="431"/>
      <c r="D44" s="431"/>
      <c r="E44" s="431"/>
    </row>
    <row r="45" spans="1:13" x14ac:dyDescent="0.35">
      <c r="A45" s="416" t="s">
        <v>117</v>
      </c>
      <c r="B45" s="416"/>
      <c r="C45" s="412"/>
      <c r="D45" s="412"/>
      <c r="E45" s="412"/>
    </row>
  </sheetData>
  <mergeCells count="42">
    <mergeCell ref="A4:B4"/>
    <mergeCell ref="C4:M4"/>
    <mergeCell ref="A1:M1"/>
    <mergeCell ref="A2:B2"/>
    <mergeCell ref="C2:M2"/>
    <mergeCell ref="A3:B3"/>
    <mergeCell ref="C3:M3"/>
    <mergeCell ref="I32:J32"/>
    <mergeCell ref="A5:B5"/>
    <mergeCell ref="C5:M5"/>
    <mergeCell ref="A6:B6"/>
    <mergeCell ref="C6:M6"/>
    <mergeCell ref="A7:B7"/>
    <mergeCell ref="C7:M7"/>
    <mergeCell ref="A8:B8"/>
    <mergeCell ref="C8:M8"/>
    <mergeCell ref="A9:B9"/>
    <mergeCell ref="C9:M9"/>
    <mergeCell ref="A10:M10"/>
    <mergeCell ref="G35:H35"/>
    <mergeCell ref="A36:B36"/>
    <mergeCell ref="E36:F36"/>
    <mergeCell ref="G36:H36"/>
    <mergeCell ref="A33:B33"/>
    <mergeCell ref="E33:F33"/>
    <mergeCell ref="G33:H33"/>
    <mergeCell ref="A34:B34"/>
    <mergeCell ref="E34:F34"/>
    <mergeCell ref="G34:H34"/>
    <mergeCell ref="A45:B45"/>
    <mergeCell ref="C45:E45"/>
    <mergeCell ref="B20:C20"/>
    <mergeCell ref="A42:B42"/>
    <mergeCell ref="C42:E42"/>
    <mergeCell ref="A43:B43"/>
    <mergeCell ref="C43:E43"/>
    <mergeCell ref="A44:B44"/>
    <mergeCell ref="C44:E44"/>
    <mergeCell ref="A35:B35"/>
    <mergeCell ref="E35:F35"/>
    <mergeCell ref="A32:B32"/>
    <mergeCell ref="E32:F32"/>
  </mergeCells>
  <printOptions horizontalCentered="1" verticalCentered="1"/>
  <pageMargins left="0.25" right="0.25" top="0.75" bottom="0.75" header="0.3" footer="0.3"/>
  <pageSetup paperSize="9" scale="67" orientation="landscape"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0F34-3B34-4F75-850B-2DA2AF4D9524}">
  <sheetPr>
    <pageSetUpPr fitToPage="1"/>
  </sheetPr>
  <dimension ref="A1:M46"/>
  <sheetViews>
    <sheetView topLeftCell="A6" workbookViewId="0">
      <selection sqref="A1:M4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4.5" customHeight="1" x14ac:dyDescent="0.35">
      <c r="A1" s="473" t="s">
        <v>352</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46147</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H13</f>
        <v>10000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561</v>
      </c>
      <c r="J11" s="3" t="s">
        <v>18</v>
      </c>
      <c r="K11" s="3" t="s">
        <v>19</v>
      </c>
      <c r="L11" s="3" t="s">
        <v>20</v>
      </c>
      <c r="M11" s="4" t="s">
        <v>21</v>
      </c>
    </row>
    <row r="12" spans="1:13" x14ac:dyDescent="0.35">
      <c r="A12" s="5">
        <v>1</v>
      </c>
      <c r="B12" s="71" t="s">
        <v>227</v>
      </c>
      <c r="C12" s="72" t="s">
        <v>49</v>
      </c>
      <c r="D12" s="73" t="s">
        <v>54</v>
      </c>
      <c r="E12" s="44" t="s">
        <v>24</v>
      </c>
      <c r="F12" s="44" t="s">
        <v>25</v>
      </c>
      <c r="G12" s="73" t="s">
        <v>562</v>
      </c>
      <c r="H12" s="80">
        <v>10000</v>
      </c>
      <c r="I12" s="10" t="s">
        <v>97</v>
      </c>
      <c r="J12" s="10" t="s">
        <v>97</v>
      </c>
      <c r="K12" s="11" t="s">
        <v>97</v>
      </c>
      <c r="L12" s="80">
        <v>5000</v>
      </c>
      <c r="M12" s="17" t="s">
        <v>204</v>
      </c>
    </row>
    <row r="13" spans="1:13" x14ac:dyDescent="0.35">
      <c r="A13" s="311"/>
      <c r="B13" s="311"/>
      <c r="C13" s="311"/>
      <c r="D13" s="311"/>
      <c r="E13" s="311"/>
      <c r="F13" s="311"/>
      <c r="G13" s="272" t="s">
        <v>381</v>
      </c>
      <c r="H13" s="273">
        <f>SUM(H12:H12)</f>
        <v>10000</v>
      </c>
      <c r="I13" s="311"/>
      <c r="J13" s="311"/>
      <c r="K13" s="311"/>
      <c r="L13" s="311"/>
      <c r="M13" s="311"/>
    </row>
    <row r="14" spans="1:13" x14ac:dyDescent="0.35">
      <c r="A14" s="311"/>
      <c r="B14" s="311" t="s">
        <v>455</v>
      </c>
      <c r="C14" s="311"/>
      <c r="D14" s="311"/>
      <c r="E14" s="311"/>
      <c r="F14" s="311"/>
      <c r="G14" s="311"/>
      <c r="H14" s="311"/>
      <c r="I14" s="311"/>
      <c r="J14" s="311"/>
      <c r="K14" s="311"/>
      <c r="L14" s="311"/>
      <c r="M14" s="311"/>
    </row>
    <row r="15" spans="1:13" x14ac:dyDescent="0.35">
      <c r="A15" s="311"/>
      <c r="B15" s="311"/>
      <c r="C15" s="311"/>
      <c r="D15" s="311"/>
      <c r="E15" s="311"/>
      <c r="F15" s="311"/>
      <c r="G15" s="311"/>
      <c r="H15" s="311"/>
      <c r="I15" s="311"/>
      <c r="J15" s="311"/>
      <c r="K15" s="311"/>
      <c r="L15" s="311"/>
      <c r="M15" s="311"/>
    </row>
    <row r="16" spans="1:13" x14ac:dyDescent="0.35">
      <c r="A16" s="311"/>
      <c r="B16" s="311"/>
      <c r="C16" s="311"/>
      <c r="D16" s="311"/>
      <c r="E16" s="311"/>
      <c r="F16" s="311"/>
      <c r="G16" s="311"/>
      <c r="H16" s="311"/>
      <c r="I16" s="311"/>
      <c r="J16" s="311"/>
      <c r="K16" s="311"/>
      <c r="L16" s="311"/>
      <c r="M16" s="311"/>
    </row>
    <row r="17" spans="1:13" x14ac:dyDescent="0.35">
      <c r="A17" s="311"/>
      <c r="B17" s="412" t="s">
        <v>569</v>
      </c>
      <c r="C17" s="412"/>
      <c r="D17" s="412"/>
      <c r="E17" s="412"/>
      <c r="F17" s="412"/>
      <c r="G17" s="412"/>
      <c r="H17" s="311"/>
      <c r="I17" s="311"/>
      <c r="J17" s="311"/>
      <c r="K17" s="311"/>
      <c r="L17" s="311"/>
      <c r="M17" s="311"/>
    </row>
    <row r="18" spans="1:13" x14ac:dyDescent="0.35">
      <c r="A18" s="311"/>
      <c r="B18" s="412"/>
      <c r="C18" s="412"/>
      <c r="D18" s="412"/>
      <c r="E18" s="412"/>
      <c r="F18" s="412"/>
      <c r="G18" s="412"/>
      <c r="H18" s="311"/>
      <c r="I18" s="311"/>
      <c r="J18" s="311"/>
      <c r="K18" s="311"/>
      <c r="L18" s="311"/>
      <c r="M18" s="311"/>
    </row>
    <row r="19" spans="1:13" x14ac:dyDescent="0.35">
      <c r="A19" s="311"/>
      <c r="B19" s="311"/>
      <c r="C19" s="311"/>
      <c r="D19" s="311"/>
      <c r="E19" s="311"/>
      <c r="F19" s="311"/>
      <c r="G19" s="311"/>
      <c r="H19" s="311"/>
      <c r="I19" s="311"/>
      <c r="J19" s="311"/>
      <c r="K19" s="311"/>
      <c r="L19" s="311"/>
      <c r="M19" s="311"/>
    </row>
    <row r="20" spans="1:13" x14ac:dyDescent="0.35">
      <c r="A20" s="311"/>
      <c r="B20" s="311"/>
      <c r="C20" s="311"/>
      <c r="D20" s="311"/>
      <c r="E20" s="311"/>
      <c r="F20" s="311"/>
      <c r="G20" s="311"/>
      <c r="H20" s="311"/>
      <c r="I20" s="311"/>
      <c r="J20" s="311"/>
      <c r="K20" s="311"/>
      <c r="L20" s="311"/>
      <c r="M20" s="311"/>
    </row>
    <row r="21" spans="1:13" x14ac:dyDescent="0.35">
      <c r="A21" s="311"/>
      <c r="B21" s="432" t="s">
        <v>567</v>
      </c>
      <c r="C21" s="432"/>
      <c r="D21" s="432"/>
      <c r="E21" s="432"/>
      <c r="F21" s="311"/>
      <c r="G21" s="311"/>
      <c r="H21" s="311"/>
      <c r="I21" s="311"/>
      <c r="J21" s="311"/>
      <c r="K21" s="311"/>
      <c r="L21" s="311"/>
      <c r="M21" s="311"/>
    </row>
    <row r="22" spans="1:13" x14ac:dyDescent="0.35">
      <c r="A22" s="311"/>
      <c r="B22" s="48" t="s">
        <v>7</v>
      </c>
      <c r="C22" s="433" t="s">
        <v>92</v>
      </c>
      <c r="D22" s="433"/>
      <c r="E22" s="433"/>
      <c r="F22" s="311"/>
      <c r="G22" s="311"/>
      <c r="H22" s="311"/>
      <c r="I22" s="311"/>
      <c r="J22" s="311"/>
      <c r="K22" s="311"/>
      <c r="L22" s="311"/>
      <c r="M22" s="311"/>
    </row>
    <row r="23" spans="1:13" x14ac:dyDescent="0.35">
      <c r="A23" s="311"/>
      <c r="B23" s="48" t="s">
        <v>307</v>
      </c>
      <c r="C23" s="456" t="s">
        <v>483</v>
      </c>
      <c r="D23" s="456"/>
      <c r="E23" s="456"/>
      <c r="F23" s="311"/>
      <c r="G23" s="311"/>
      <c r="H23" s="311"/>
      <c r="I23" s="311"/>
      <c r="J23" s="311"/>
      <c r="K23" s="311"/>
      <c r="L23" s="311"/>
      <c r="M23" s="311"/>
    </row>
    <row r="24" spans="1:13" x14ac:dyDescent="0.35">
      <c r="A24" s="311"/>
      <c r="B24" s="314" t="s">
        <v>309</v>
      </c>
      <c r="C24" s="433" t="s">
        <v>308</v>
      </c>
      <c r="D24" s="433"/>
      <c r="E24" s="433"/>
      <c r="F24" s="311"/>
      <c r="G24" s="311"/>
      <c r="H24" s="311"/>
      <c r="I24" s="311"/>
      <c r="J24" s="311"/>
      <c r="K24" s="311"/>
      <c r="L24" s="311"/>
      <c r="M24" s="311"/>
    </row>
    <row r="25" spans="1:13" x14ac:dyDescent="0.35">
      <c r="A25" s="311"/>
      <c r="B25" s="314" t="s">
        <v>305</v>
      </c>
      <c r="C25" s="438" t="s">
        <v>568</v>
      </c>
      <c r="D25" s="438"/>
      <c r="E25" s="438"/>
      <c r="F25" s="311"/>
      <c r="G25" s="311"/>
      <c r="H25" s="311"/>
      <c r="I25" s="311"/>
      <c r="J25" s="311"/>
      <c r="K25" s="311"/>
      <c r="L25" s="311"/>
      <c r="M25" s="311"/>
    </row>
    <row r="26" spans="1:13" x14ac:dyDescent="0.35">
      <c r="A26" s="311"/>
      <c r="B26" s="311"/>
      <c r="C26" s="311"/>
      <c r="D26" s="311"/>
      <c r="E26" s="311"/>
      <c r="F26" s="311"/>
      <c r="G26" s="311"/>
      <c r="H26" s="311"/>
      <c r="I26" s="311"/>
      <c r="J26" s="311"/>
      <c r="K26" s="311"/>
      <c r="L26" s="311"/>
      <c r="M26" s="311"/>
    </row>
    <row r="27" spans="1:13" x14ac:dyDescent="0.35">
      <c r="A27" s="311"/>
      <c r="B27" s="311"/>
      <c r="C27" s="311"/>
      <c r="D27" s="311"/>
      <c r="E27" s="311"/>
      <c r="F27" s="311"/>
      <c r="G27" s="311"/>
      <c r="H27" s="311"/>
      <c r="I27" s="311"/>
      <c r="J27" s="311"/>
      <c r="K27" s="311"/>
      <c r="L27" s="311"/>
      <c r="M27" s="311"/>
    </row>
    <row r="28" spans="1:13" x14ac:dyDescent="0.35">
      <c r="A28" s="311"/>
      <c r="B28" s="311"/>
      <c r="C28" s="311"/>
      <c r="D28" s="311"/>
      <c r="E28" s="311"/>
      <c r="F28" s="311"/>
      <c r="G28" s="311"/>
      <c r="H28" s="311"/>
      <c r="I28" s="311"/>
      <c r="J28" s="311"/>
      <c r="K28" s="311"/>
      <c r="L28" s="311"/>
      <c r="M28" s="311"/>
    </row>
    <row r="29" spans="1:13" x14ac:dyDescent="0.35">
      <c r="A29" s="311"/>
      <c r="B29" s="311"/>
      <c r="C29" s="311"/>
      <c r="D29" s="311"/>
      <c r="E29" s="311"/>
      <c r="F29" s="311"/>
      <c r="G29" s="311"/>
      <c r="H29" s="311"/>
      <c r="I29" s="311"/>
      <c r="J29" s="311"/>
      <c r="K29" s="311"/>
      <c r="L29" s="311"/>
      <c r="M29" s="311"/>
    </row>
    <row r="30" spans="1:13" x14ac:dyDescent="0.35">
      <c r="A30" s="311"/>
      <c r="B30" s="311"/>
      <c r="C30" s="311"/>
      <c r="D30" s="311"/>
      <c r="E30" s="311"/>
      <c r="F30" s="311"/>
      <c r="G30" s="311"/>
      <c r="H30" s="311"/>
      <c r="I30" s="311"/>
      <c r="J30" s="311"/>
      <c r="K30" s="311"/>
      <c r="L30" s="311"/>
      <c r="M30" s="311"/>
    </row>
    <row r="31" spans="1:13" x14ac:dyDescent="0.35">
      <c r="A31" s="311"/>
      <c r="B31" s="311"/>
      <c r="C31" s="311"/>
      <c r="D31" s="311"/>
      <c r="E31" s="311"/>
      <c r="F31" s="311"/>
      <c r="G31" s="311"/>
      <c r="H31" s="311"/>
      <c r="I31" s="311"/>
      <c r="J31" s="311"/>
      <c r="K31" s="311"/>
      <c r="L31" s="311"/>
      <c r="M31" s="311"/>
    </row>
    <row r="32" spans="1:13" x14ac:dyDescent="0.35">
      <c r="A32" s="311"/>
      <c r="B32" s="311"/>
      <c r="C32" s="311"/>
      <c r="D32" s="311"/>
      <c r="E32" s="311"/>
      <c r="F32" s="311"/>
      <c r="G32" s="311"/>
      <c r="H32" s="311"/>
      <c r="I32" s="311"/>
      <c r="J32" s="311"/>
      <c r="K32" s="311"/>
      <c r="L32" s="311"/>
      <c r="M32" s="311"/>
    </row>
    <row r="33" spans="1:13" ht="15" thickBot="1" x14ac:dyDescent="0.4">
      <c r="A33" s="420" t="s">
        <v>66</v>
      </c>
      <c r="B33" s="420"/>
      <c r="C33" s="311"/>
      <c r="D33" s="311"/>
      <c r="E33" s="407" t="s">
        <v>67</v>
      </c>
      <c r="F33" s="407"/>
      <c r="G33" s="49"/>
      <c r="H33" s="49"/>
      <c r="I33" s="408"/>
      <c r="J33" s="408"/>
      <c r="K33" s="307"/>
      <c r="L33" s="308"/>
      <c r="M33" s="308"/>
    </row>
    <row r="34" spans="1:13" ht="15" thickTop="1" x14ac:dyDescent="0.35">
      <c r="A34" s="421" t="s">
        <v>69</v>
      </c>
      <c r="B34" s="421"/>
      <c r="D34" s="30"/>
      <c r="E34" s="410" t="s">
        <v>70</v>
      </c>
      <c r="F34" s="410"/>
      <c r="G34" s="410" t="s">
        <v>71</v>
      </c>
      <c r="H34" s="410"/>
      <c r="I34" s="308"/>
      <c r="J34" s="308"/>
      <c r="K34" s="308" t="s">
        <v>72</v>
      </c>
      <c r="L34" s="310"/>
      <c r="M34" s="310"/>
    </row>
    <row r="35" spans="1:13" x14ac:dyDescent="0.35">
      <c r="A35" s="414" t="s">
        <v>92</v>
      </c>
      <c r="B35" s="414"/>
      <c r="D35" s="312"/>
      <c r="E35" s="414" t="s">
        <v>73</v>
      </c>
      <c r="F35" s="414"/>
      <c r="G35" s="414" t="s">
        <v>74</v>
      </c>
      <c r="H35" s="414"/>
      <c r="I35" s="310"/>
      <c r="J35" s="310"/>
      <c r="K35" s="310" t="s">
        <v>75</v>
      </c>
      <c r="L35" s="309"/>
      <c r="M35" s="309"/>
    </row>
    <row r="36" spans="1:13" x14ac:dyDescent="0.35">
      <c r="A36" s="412" t="s">
        <v>94</v>
      </c>
      <c r="B36" s="412"/>
      <c r="D36" s="313"/>
      <c r="E36" s="414" t="s">
        <v>78</v>
      </c>
      <c r="F36" s="414"/>
      <c r="G36" s="414" t="s">
        <v>414</v>
      </c>
      <c r="H36" s="414"/>
      <c r="I36" s="309"/>
      <c r="J36" s="309"/>
      <c r="K36" s="309" t="s">
        <v>80</v>
      </c>
      <c r="L36" s="313"/>
      <c r="M36" s="313"/>
    </row>
    <row r="37" spans="1:13" x14ac:dyDescent="0.35">
      <c r="A37" s="412" t="s">
        <v>76</v>
      </c>
      <c r="B37" s="412"/>
      <c r="D37" s="313"/>
      <c r="E37" s="412" t="s">
        <v>76</v>
      </c>
      <c r="F37" s="412"/>
      <c r="G37" s="412" t="s">
        <v>76</v>
      </c>
      <c r="H37" s="412"/>
      <c r="I37" s="309"/>
      <c r="J37" s="309"/>
      <c r="K37" s="309"/>
    </row>
    <row r="43" spans="1:13" x14ac:dyDescent="0.35">
      <c r="A43" s="417" t="s">
        <v>114</v>
      </c>
      <c r="B43" s="417"/>
      <c r="C43" s="477"/>
      <c r="D43" s="477"/>
      <c r="E43" s="477"/>
    </row>
    <row r="44" spans="1:13" x14ac:dyDescent="0.35">
      <c r="A44" s="418" t="s">
        <v>115</v>
      </c>
      <c r="B44" s="418"/>
      <c r="C44" s="430"/>
      <c r="D44" s="430"/>
      <c r="E44" s="430"/>
    </row>
    <row r="45" spans="1:13" x14ac:dyDescent="0.35">
      <c r="A45" s="422" t="s">
        <v>116</v>
      </c>
      <c r="B45" s="418"/>
      <c r="C45" s="431"/>
      <c r="D45" s="431"/>
      <c r="E45" s="431"/>
    </row>
    <row r="46" spans="1:13" x14ac:dyDescent="0.35">
      <c r="A46" s="416" t="s">
        <v>117</v>
      </c>
      <c r="B46" s="416"/>
      <c r="C46" s="412"/>
      <c r="D46" s="412"/>
      <c r="E46" s="412"/>
    </row>
  </sheetData>
  <mergeCells count="47">
    <mergeCell ref="A4:B4"/>
    <mergeCell ref="C4:M4"/>
    <mergeCell ref="A1:M1"/>
    <mergeCell ref="A2:B2"/>
    <mergeCell ref="C2:M2"/>
    <mergeCell ref="A3:B3"/>
    <mergeCell ref="C3:M3"/>
    <mergeCell ref="E33:F33"/>
    <mergeCell ref="I33:J33"/>
    <mergeCell ref="B17:G18"/>
    <mergeCell ref="A5:B5"/>
    <mergeCell ref="C5:M5"/>
    <mergeCell ref="A6:B6"/>
    <mergeCell ref="C6:M6"/>
    <mergeCell ref="A7:B7"/>
    <mergeCell ref="C7:M7"/>
    <mergeCell ref="A8:B8"/>
    <mergeCell ref="C8:M8"/>
    <mergeCell ref="A9:B9"/>
    <mergeCell ref="C9:M9"/>
    <mergeCell ref="A10:M10"/>
    <mergeCell ref="G36:H36"/>
    <mergeCell ref="A37:B37"/>
    <mergeCell ref="E37:F37"/>
    <mergeCell ref="G37:H37"/>
    <mergeCell ref="A34:B34"/>
    <mergeCell ref="E34:F34"/>
    <mergeCell ref="G34:H34"/>
    <mergeCell ref="A35:B35"/>
    <mergeCell ref="E35:F35"/>
    <mergeCell ref="G35:H35"/>
    <mergeCell ref="A46:B46"/>
    <mergeCell ref="C46:E46"/>
    <mergeCell ref="B21:E21"/>
    <mergeCell ref="C22:E22"/>
    <mergeCell ref="C23:E23"/>
    <mergeCell ref="C24:E24"/>
    <mergeCell ref="C25:E25"/>
    <mergeCell ref="A43:B43"/>
    <mergeCell ref="C43:E43"/>
    <mergeCell ref="A44:B44"/>
    <mergeCell ref="C44:E44"/>
    <mergeCell ref="A45:B45"/>
    <mergeCell ref="C45:E45"/>
    <mergeCell ref="A36:B36"/>
    <mergeCell ref="E36:F36"/>
    <mergeCell ref="A33:B33"/>
  </mergeCells>
  <printOptions horizontalCentered="1" verticalCentered="1"/>
  <pageMargins left="0.25" right="0.25" top="0.75" bottom="0.75" header="0.3" footer="0.3"/>
  <pageSetup paperSize="9" scale="66" orientation="landscape"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8A4-5F17-4391-95A9-891BCDF47D50}">
  <sheetPr>
    <pageSetUpPr fitToPage="1"/>
  </sheetPr>
  <dimension ref="A1:M57"/>
  <sheetViews>
    <sheetView topLeftCell="A25" workbookViewId="0">
      <selection activeCell="B34" sqref="B34"/>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41" customHeight="1" x14ac:dyDescent="0.35">
      <c r="A1" s="473" t="s">
        <v>0</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560</v>
      </c>
      <c r="D4" s="394"/>
      <c r="E4" s="394"/>
      <c r="F4" s="394"/>
      <c r="G4" s="394"/>
      <c r="H4" s="394"/>
      <c r="I4" s="394"/>
      <c r="J4" s="394"/>
      <c r="K4" s="394"/>
      <c r="L4" s="394"/>
      <c r="M4" s="395"/>
    </row>
    <row r="5" spans="1:13" x14ac:dyDescent="0.35">
      <c r="A5" s="384" t="s">
        <v>5</v>
      </c>
      <c r="B5" s="385"/>
      <c r="C5" s="387">
        <v>46160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H38</f>
        <v>632000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571</v>
      </c>
      <c r="J11" s="3" t="s">
        <v>18</v>
      </c>
      <c r="K11" s="3" t="s">
        <v>19</v>
      </c>
      <c r="L11" s="3" t="s">
        <v>20</v>
      </c>
      <c r="M11" s="4" t="s">
        <v>21</v>
      </c>
    </row>
    <row r="12" spans="1:13" x14ac:dyDescent="0.35">
      <c r="A12" s="5">
        <v>1</v>
      </c>
      <c r="B12" s="71" t="s">
        <v>227</v>
      </c>
      <c r="C12" s="72" t="s">
        <v>49</v>
      </c>
      <c r="D12" s="73" t="s">
        <v>54</v>
      </c>
      <c r="E12" s="44" t="s">
        <v>24</v>
      </c>
      <c r="F12" s="44" t="s">
        <v>25</v>
      </c>
      <c r="G12" s="73" t="s">
        <v>562</v>
      </c>
      <c r="H12" s="80">
        <v>30000</v>
      </c>
      <c r="I12" s="10">
        <v>24191</v>
      </c>
      <c r="J12" s="10">
        <v>8419</v>
      </c>
      <c r="K12" s="11">
        <v>46150</v>
      </c>
      <c r="L12" s="80">
        <v>25000</v>
      </c>
      <c r="M12" s="17" t="s">
        <v>204</v>
      </c>
    </row>
    <row r="13" spans="1:13" x14ac:dyDescent="0.35">
      <c r="A13" s="5">
        <v>2</v>
      </c>
      <c r="B13" s="16" t="s">
        <v>228</v>
      </c>
      <c r="C13" s="7" t="s">
        <v>49</v>
      </c>
      <c r="D13" s="8" t="s">
        <v>57</v>
      </c>
      <c r="E13" s="5" t="s">
        <v>24</v>
      </c>
      <c r="F13" s="5" t="s">
        <v>25</v>
      </c>
      <c r="G13" s="73" t="s">
        <v>359</v>
      </c>
      <c r="H13" s="80">
        <v>20000</v>
      </c>
      <c r="I13" s="10">
        <v>31698</v>
      </c>
      <c r="J13" s="10">
        <v>40083</v>
      </c>
      <c r="K13" s="11">
        <v>46150</v>
      </c>
      <c r="L13" s="80">
        <v>10000</v>
      </c>
      <c r="M13" s="17" t="s">
        <v>204</v>
      </c>
    </row>
    <row r="14" spans="1:13" x14ac:dyDescent="0.35">
      <c r="A14" s="5">
        <v>3</v>
      </c>
      <c r="B14" s="16" t="s">
        <v>231</v>
      </c>
      <c r="C14" s="7" t="s">
        <v>49</v>
      </c>
      <c r="D14" s="8" t="s">
        <v>60</v>
      </c>
      <c r="E14" s="5" t="s">
        <v>24</v>
      </c>
      <c r="F14" s="5" t="s">
        <v>25</v>
      </c>
      <c r="G14" s="8" t="s">
        <v>61</v>
      </c>
      <c r="H14" s="80">
        <v>20000</v>
      </c>
      <c r="I14" s="10">
        <v>32102</v>
      </c>
      <c r="J14" s="10">
        <v>32602</v>
      </c>
      <c r="K14" s="11">
        <v>46155</v>
      </c>
      <c r="L14" s="80">
        <v>10000</v>
      </c>
      <c r="M14" s="17" t="s">
        <v>132</v>
      </c>
    </row>
    <row r="15" spans="1:13" x14ac:dyDescent="0.35">
      <c r="A15" s="5">
        <v>4</v>
      </c>
      <c r="B15" s="71" t="s">
        <v>229</v>
      </c>
      <c r="C15" s="72" t="s">
        <v>49</v>
      </c>
      <c r="D15" s="44" t="s">
        <v>47</v>
      </c>
      <c r="E15" s="44" t="s">
        <v>24</v>
      </c>
      <c r="F15" s="44" t="s">
        <v>25</v>
      </c>
      <c r="G15" s="44" t="s">
        <v>102</v>
      </c>
      <c r="H15" s="80">
        <v>15000</v>
      </c>
      <c r="I15" s="10">
        <v>44175</v>
      </c>
      <c r="J15" s="10">
        <v>49375</v>
      </c>
      <c r="K15" s="11">
        <v>46150</v>
      </c>
      <c r="L15" s="80">
        <v>10000</v>
      </c>
      <c r="M15" s="17" t="s">
        <v>204</v>
      </c>
    </row>
    <row r="16" spans="1:13" x14ac:dyDescent="0.35">
      <c r="A16" s="5">
        <v>5</v>
      </c>
      <c r="B16" s="16" t="s">
        <v>230</v>
      </c>
      <c r="C16" s="7" t="s">
        <v>49</v>
      </c>
      <c r="D16" s="8" t="s">
        <v>50</v>
      </c>
      <c r="E16" s="5" t="s">
        <v>24</v>
      </c>
      <c r="F16" s="5" t="s">
        <v>25</v>
      </c>
      <c r="G16" s="8" t="s">
        <v>51</v>
      </c>
      <c r="H16" s="80">
        <v>20000</v>
      </c>
      <c r="I16" s="10">
        <v>24423</v>
      </c>
      <c r="J16" s="10">
        <v>25923</v>
      </c>
      <c r="K16" s="11">
        <v>46155</v>
      </c>
      <c r="L16" s="80">
        <v>20000</v>
      </c>
      <c r="M16" s="17" t="s">
        <v>132</v>
      </c>
    </row>
    <row r="17" spans="1:13" x14ac:dyDescent="0.35">
      <c r="A17" s="5">
        <v>6</v>
      </c>
      <c r="B17" s="71" t="s">
        <v>232</v>
      </c>
      <c r="C17" s="72" t="s">
        <v>233</v>
      </c>
      <c r="D17" s="44" t="s">
        <v>234</v>
      </c>
      <c r="E17" s="5" t="s">
        <v>24</v>
      </c>
      <c r="F17" s="5" t="s">
        <v>25</v>
      </c>
      <c r="G17" s="44" t="s">
        <v>235</v>
      </c>
      <c r="H17" s="80">
        <v>60000</v>
      </c>
      <c r="I17" s="10">
        <v>100054</v>
      </c>
      <c r="J17" s="10">
        <v>117554</v>
      </c>
      <c r="K17" s="11">
        <v>46156</v>
      </c>
      <c r="L17" s="80">
        <v>50000</v>
      </c>
      <c r="M17" s="17" t="s">
        <v>236</v>
      </c>
    </row>
    <row r="18" spans="1:13" s="359" customFormat="1" x14ac:dyDescent="0.35">
      <c r="A18" s="350">
        <v>7</v>
      </c>
      <c r="B18" s="351" t="s">
        <v>30</v>
      </c>
      <c r="C18" s="352" t="s">
        <v>23</v>
      </c>
      <c r="D18" s="353" t="s">
        <v>31</v>
      </c>
      <c r="E18" s="353" t="s">
        <v>32</v>
      </c>
      <c r="F18" s="353" t="s">
        <v>25</v>
      </c>
      <c r="G18" s="353" t="s">
        <v>33</v>
      </c>
      <c r="H18" s="355">
        <v>50000</v>
      </c>
      <c r="I18" s="356">
        <v>33560</v>
      </c>
      <c r="J18" s="356">
        <v>94171</v>
      </c>
      <c r="K18" s="357">
        <v>46150</v>
      </c>
      <c r="L18" s="355">
        <v>40000</v>
      </c>
      <c r="M18" s="358" t="s">
        <v>104</v>
      </c>
    </row>
    <row r="19" spans="1:13" x14ac:dyDescent="0.35">
      <c r="A19" s="5">
        <v>8</v>
      </c>
      <c r="B19" s="71" t="s">
        <v>22</v>
      </c>
      <c r="C19" s="72" t="s">
        <v>23</v>
      </c>
      <c r="D19" s="44" t="s">
        <v>205</v>
      </c>
      <c r="E19" s="44" t="s">
        <v>24</v>
      </c>
      <c r="F19" s="44" t="s">
        <v>25</v>
      </c>
      <c r="G19" s="44" t="s">
        <v>105</v>
      </c>
      <c r="H19" s="80">
        <v>25000</v>
      </c>
      <c r="I19" s="10">
        <v>14746</v>
      </c>
      <c r="J19" s="10">
        <v>26746</v>
      </c>
      <c r="K19" s="11">
        <v>46156</v>
      </c>
      <c r="L19" s="80">
        <v>16000</v>
      </c>
      <c r="M19" s="17" t="s">
        <v>96</v>
      </c>
    </row>
    <row r="20" spans="1:13" x14ac:dyDescent="0.35">
      <c r="A20" s="5">
        <v>9</v>
      </c>
      <c r="B20" s="6" t="s">
        <v>34</v>
      </c>
      <c r="C20" s="14" t="s">
        <v>23</v>
      </c>
      <c r="D20" s="15">
        <v>1149</v>
      </c>
      <c r="E20" s="15" t="s">
        <v>24</v>
      </c>
      <c r="F20" s="15" t="s">
        <v>25</v>
      </c>
      <c r="G20" s="13" t="s">
        <v>35</v>
      </c>
      <c r="H20" s="80">
        <v>7000</v>
      </c>
      <c r="I20" s="10">
        <v>13544</v>
      </c>
      <c r="J20" s="10">
        <v>19544</v>
      </c>
      <c r="K20" s="11">
        <v>46150</v>
      </c>
      <c r="L20" s="80">
        <v>5000</v>
      </c>
      <c r="M20" s="17" t="s">
        <v>154</v>
      </c>
    </row>
    <row r="21" spans="1:13" s="359" customFormat="1" x14ac:dyDescent="0.35">
      <c r="A21" s="350">
        <v>10</v>
      </c>
      <c r="B21" s="351" t="s">
        <v>36</v>
      </c>
      <c r="C21" s="352" t="s">
        <v>23</v>
      </c>
      <c r="D21" s="353">
        <v>1311</v>
      </c>
      <c r="E21" s="353" t="s">
        <v>24</v>
      </c>
      <c r="F21" s="353" t="s">
        <v>25</v>
      </c>
      <c r="G21" s="354" t="s">
        <v>37</v>
      </c>
      <c r="H21" s="355">
        <v>24000</v>
      </c>
      <c r="I21" s="356">
        <v>18108</v>
      </c>
      <c r="J21" s="356">
        <v>28108</v>
      </c>
      <c r="K21" s="357">
        <v>46156</v>
      </c>
      <c r="L21" s="355">
        <v>8000</v>
      </c>
      <c r="M21" s="358" t="s">
        <v>204</v>
      </c>
    </row>
    <row r="22" spans="1:13" x14ac:dyDescent="0.35">
      <c r="A22" s="5">
        <v>11</v>
      </c>
      <c r="B22" s="71" t="s">
        <v>38</v>
      </c>
      <c r="C22" s="72" t="s">
        <v>23</v>
      </c>
      <c r="D22" s="73" t="s">
        <v>39</v>
      </c>
      <c r="E22" s="44" t="s">
        <v>24</v>
      </c>
      <c r="F22" s="44" t="s">
        <v>25</v>
      </c>
      <c r="G22" s="73" t="s">
        <v>40</v>
      </c>
      <c r="H22" s="78">
        <v>10000</v>
      </c>
      <c r="I22" s="10">
        <v>15901</v>
      </c>
      <c r="J22" s="10">
        <v>21901</v>
      </c>
      <c r="K22" s="11">
        <v>46156</v>
      </c>
      <c r="L22" s="78">
        <v>8000</v>
      </c>
      <c r="M22" s="17" t="s">
        <v>154</v>
      </c>
    </row>
    <row r="23" spans="1:13" x14ac:dyDescent="0.35">
      <c r="A23" s="5">
        <v>12</v>
      </c>
      <c r="B23" s="97" t="s">
        <v>293</v>
      </c>
      <c r="C23" s="98" t="s">
        <v>23</v>
      </c>
      <c r="D23">
        <v>815</v>
      </c>
      <c r="E23" s="99" t="s">
        <v>24</v>
      </c>
      <c r="F23" s="99" t="s">
        <v>130</v>
      </c>
      <c r="G23" s="299" t="s">
        <v>287</v>
      </c>
      <c r="H23" s="245">
        <v>25000</v>
      </c>
      <c r="I23" s="102">
        <v>9128</v>
      </c>
      <c r="J23" s="102">
        <v>23128</v>
      </c>
      <c r="K23" s="11">
        <v>46147</v>
      </c>
      <c r="L23" s="245">
        <v>15000</v>
      </c>
      <c r="M23" s="64" t="s">
        <v>132</v>
      </c>
    </row>
    <row r="24" spans="1:13" x14ac:dyDescent="0.35">
      <c r="A24" s="5">
        <v>13</v>
      </c>
      <c r="B24" s="71" t="s">
        <v>522</v>
      </c>
      <c r="C24" s="72" t="s">
        <v>23</v>
      </c>
      <c r="D24" s="73" t="s">
        <v>523</v>
      </c>
      <c r="E24" s="44" t="s">
        <v>24</v>
      </c>
      <c r="F24" s="44" t="s">
        <v>130</v>
      </c>
      <c r="G24" s="73" t="s">
        <v>524</v>
      </c>
      <c r="H24" s="80">
        <v>8000</v>
      </c>
      <c r="I24" s="10">
        <v>20725</v>
      </c>
      <c r="J24" s="10">
        <v>25925</v>
      </c>
      <c r="K24" s="11">
        <v>46150</v>
      </c>
      <c r="L24" s="80">
        <v>6000</v>
      </c>
      <c r="M24" s="134" t="s">
        <v>132</v>
      </c>
    </row>
    <row r="25" spans="1:13" x14ac:dyDescent="0.35">
      <c r="A25" s="5">
        <v>14</v>
      </c>
      <c r="B25" s="71" t="s">
        <v>457</v>
      </c>
      <c r="C25" s="72" t="s">
        <v>23</v>
      </c>
      <c r="D25" s="73" t="s">
        <v>444</v>
      </c>
      <c r="E25" s="44" t="s">
        <v>24</v>
      </c>
      <c r="F25" s="44" t="s">
        <v>130</v>
      </c>
      <c r="G25" s="73" t="s">
        <v>458</v>
      </c>
      <c r="H25" s="80">
        <v>50000</v>
      </c>
      <c r="I25" s="10">
        <v>50013</v>
      </c>
      <c r="J25" s="10">
        <v>74368</v>
      </c>
      <c r="K25" s="124" t="s">
        <v>572</v>
      </c>
      <c r="L25" s="80">
        <v>65000</v>
      </c>
      <c r="M25" s="134" t="s">
        <v>104</v>
      </c>
    </row>
    <row r="26" spans="1:13" x14ac:dyDescent="0.35">
      <c r="A26" s="5">
        <v>15</v>
      </c>
      <c r="B26" s="85" t="s">
        <v>472</v>
      </c>
      <c r="C26" s="86" t="s">
        <v>23</v>
      </c>
      <c r="D26" s="135">
        <v>1170</v>
      </c>
      <c r="E26" s="87" t="s">
        <v>24</v>
      </c>
      <c r="F26" s="87" t="s">
        <v>130</v>
      </c>
      <c r="G26" s="161" t="s">
        <v>473</v>
      </c>
      <c r="H26" s="339">
        <v>7000</v>
      </c>
      <c r="I26" s="10">
        <v>15100</v>
      </c>
      <c r="J26" s="10">
        <v>17760</v>
      </c>
      <c r="K26" s="124" t="s">
        <v>572</v>
      </c>
      <c r="L26" s="80">
        <v>8000</v>
      </c>
      <c r="M26" s="134" t="s">
        <v>204</v>
      </c>
    </row>
    <row r="27" spans="1:13" x14ac:dyDescent="0.35">
      <c r="A27" s="5">
        <v>16</v>
      </c>
      <c r="B27" s="71" t="s">
        <v>450</v>
      </c>
      <c r="C27" s="72" t="s">
        <v>23</v>
      </c>
      <c r="D27" s="73" t="s">
        <v>451</v>
      </c>
      <c r="E27" s="44" t="s">
        <v>24</v>
      </c>
      <c r="F27" s="44" t="s">
        <v>130</v>
      </c>
      <c r="G27" s="73" t="s">
        <v>452</v>
      </c>
      <c r="H27" s="80">
        <v>7000</v>
      </c>
      <c r="I27" s="10">
        <v>18100</v>
      </c>
      <c r="J27" s="10">
        <v>24224</v>
      </c>
      <c r="K27" s="11">
        <v>46126</v>
      </c>
      <c r="L27" s="80">
        <v>8000</v>
      </c>
      <c r="M27" s="17" t="s">
        <v>364</v>
      </c>
    </row>
    <row r="28" spans="1:13" s="359" customFormat="1" x14ac:dyDescent="0.35">
      <c r="A28" s="350">
        <v>17</v>
      </c>
      <c r="B28" s="360" t="s">
        <v>398</v>
      </c>
      <c r="C28" s="360" t="s">
        <v>23</v>
      </c>
      <c r="D28" s="361">
        <v>741</v>
      </c>
      <c r="E28" s="350" t="s">
        <v>24</v>
      </c>
      <c r="F28" s="350" t="s">
        <v>25</v>
      </c>
      <c r="G28" s="362" t="s">
        <v>399</v>
      </c>
      <c r="H28" s="363">
        <v>6000</v>
      </c>
      <c r="I28" s="356">
        <v>18500</v>
      </c>
      <c r="J28" s="356">
        <v>23326</v>
      </c>
      <c r="K28" s="357">
        <v>46126</v>
      </c>
      <c r="L28" s="363">
        <v>10000</v>
      </c>
      <c r="M28" s="358" t="s">
        <v>204</v>
      </c>
    </row>
    <row r="29" spans="1:13" x14ac:dyDescent="0.35">
      <c r="A29" s="5">
        <v>18</v>
      </c>
      <c r="B29" s="71" t="s">
        <v>26</v>
      </c>
      <c r="C29" s="72" t="s">
        <v>23</v>
      </c>
      <c r="D29" s="73" t="s">
        <v>27</v>
      </c>
      <c r="E29" s="44" t="s">
        <v>24</v>
      </c>
      <c r="F29" s="44" t="s">
        <v>25</v>
      </c>
      <c r="G29" s="73" t="s">
        <v>28</v>
      </c>
      <c r="H29" s="80">
        <v>7000</v>
      </c>
      <c r="I29" s="10">
        <v>29000</v>
      </c>
      <c r="J29" s="10">
        <v>32711</v>
      </c>
      <c r="K29" s="11">
        <v>46126</v>
      </c>
      <c r="L29" s="80">
        <v>5000</v>
      </c>
      <c r="M29" s="17" t="s">
        <v>154</v>
      </c>
    </row>
    <row r="30" spans="1:13" x14ac:dyDescent="0.35">
      <c r="A30" s="5">
        <v>19</v>
      </c>
      <c r="B30" s="71" t="s">
        <v>155</v>
      </c>
      <c r="C30" s="72" t="s">
        <v>23</v>
      </c>
      <c r="D30" s="73">
        <v>731</v>
      </c>
      <c r="E30" s="44" t="s">
        <v>24</v>
      </c>
      <c r="F30" s="44" t="s">
        <v>25</v>
      </c>
      <c r="G30" s="73" t="s">
        <v>131</v>
      </c>
      <c r="H30" s="80">
        <v>10000</v>
      </c>
      <c r="I30" s="10">
        <v>15100</v>
      </c>
      <c r="J30" s="10">
        <v>17624</v>
      </c>
      <c r="K30" s="11">
        <v>46058</v>
      </c>
      <c r="L30" s="80">
        <v>10000</v>
      </c>
      <c r="M30" s="17" t="s">
        <v>154</v>
      </c>
    </row>
    <row r="31" spans="1:13" x14ac:dyDescent="0.35">
      <c r="A31" s="5">
        <v>20</v>
      </c>
      <c r="B31" s="85" t="s">
        <v>331</v>
      </c>
      <c r="C31" s="86" t="s">
        <v>332</v>
      </c>
      <c r="D31" s="53" t="s">
        <v>333</v>
      </c>
      <c r="E31" s="87" t="s">
        <v>24</v>
      </c>
      <c r="F31" s="87" t="s">
        <v>44</v>
      </c>
      <c r="G31" s="87" t="s">
        <v>335</v>
      </c>
      <c r="H31" s="78">
        <v>28000</v>
      </c>
      <c r="I31" s="42">
        <v>4728</v>
      </c>
      <c r="J31" s="42">
        <v>30388</v>
      </c>
      <c r="K31" s="11">
        <v>46141</v>
      </c>
      <c r="L31" s="78">
        <v>22000</v>
      </c>
      <c r="M31" s="12" t="s">
        <v>406</v>
      </c>
    </row>
    <row r="32" spans="1:13" x14ac:dyDescent="0.35">
      <c r="A32" s="5">
        <v>21</v>
      </c>
      <c r="B32" s="71" t="s">
        <v>419</v>
      </c>
      <c r="C32" s="72" t="s">
        <v>144</v>
      </c>
      <c r="D32" s="73" t="s">
        <v>424</v>
      </c>
      <c r="E32" s="44" t="s">
        <v>24</v>
      </c>
      <c r="F32" s="44" t="s">
        <v>44</v>
      </c>
      <c r="G32" s="73" t="s">
        <v>421</v>
      </c>
      <c r="H32" s="80">
        <v>60000</v>
      </c>
      <c r="I32" s="10">
        <v>60519</v>
      </c>
      <c r="J32" s="10">
        <v>128380</v>
      </c>
      <c r="K32" s="11">
        <v>46141</v>
      </c>
      <c r="L32" s="80">
        <v>60000</v>
      </c>
      <c r="M32" s="17" t="s">
        <v>503</v>
      </c>
    </row>
    <row r="33" spans="1:13" x14ac:dyDescent="0.35">
      <c r="A33" s="5">
        <v>22</v>
      </c>
      <c r="B33" s="69" t="s">
        <v>530</v>
      </c>
      <c r="C33" s="69" t="s">
        <v>332</v>
      </c>
      <c r="D33" s="70" t="s">
        <v>531</v>
      </c>
      <c r="E33" s="70" t="s">
        <v>24</v>
      </c>
      <c r="F33" s="68" t="s">
        <v>44</v>
      </c>
      <c r="G33" s="68" t="s">
        <v>532</v>
      </c>
      <c r="H33" s="79">
        <v>38000</v>
      </c>
      <c r="I33" s="10">
        <v>9994</v>
      </c>
      <c r="J33" s="10">
        <v>47279</v>
      </c>
      <c r="K33" s="11">
        <v>46141</v>
      </c>
      <c r="L33" s="79">
        <v>37000</v>
      </c>
      <c r="M33" s="17" t="s">
        <v>238</v>
      </c>
    </row>
    <row r="34" spans="1:13" x14ac:dyDescent="0.35">
      <c r="A34" s="5">
        <v>23</v>
      </c>
      <c r="B34" s="85" t="s">
        <v>485</v>
      </c>
      <c r="C34" s="86" t="s">
        <v>144</v>
      </c>
      <c r="D34" s="160">
        <v>452</v>
      </c>
      <c r="E34" s="87" t="s">
        <v>24</v>
      </c>
      <c r="F34" s="87" t="s">
        <v>44</v>
      </c>
      <c r="G34" s="179" t="s">
        <v>486</v>
      </c>
      <c r="H34" s="78">
        <v>50000</v>
      </c>
      <c r="I34" s="42">
        <v>80163</v>
      </c>
      <c r="J34" s="42">
        <v>133622</v>
      </c>
      <c r="K34" s="11">
        <v>46146</v>
      </c>
      <c r="L34" s="78">
        <v>50000</v>
      </c>
      <c r="M34" s="12" t="s">
        <v>503</v>
      </c>
    </row>
    <row r="35" spans="1:13" x14ac:dyDescent="0.35">
      <c r="A35" s="5">
        <v>24</v>
      </c>
      <c r="B35" s="85" t="s">
        <v>476</v>
      </c>
      <c r="C35" s="86" t="s">
        <v>144</v>
      </c>
      <c r="D35" s="180">
        <v>817</v>
      </c>
      <c r="E35" s="44" t="s">
        <v>24</v>
      </c>
      <c r="F35" s="44" t="s">
        <v>44</v>
      </c>
      <c r="G35" s="181" t="s">
        <v>477</v>
      </c>
      <c r="H35" s="78">
        <v>30000</v>
      </c>
      <c r="I35" s="42">
        <v>23669</v>
      </c>
      <c r="J35" s="42">
        <v>62687</v>
      </c>
      <c r="K35" s="11">
        <v>46141</v>
      </c>
      <c r="L35" s="78">
        <v>10000</v>
      </c>
      <c r="M35" s="12" t="s">
        <v>132</v>
      </c>
    </row>
    <row r="36" spans="1:13" x14ac:dyDescent="0.35">
      <c r="A36" s="5">
        <v>25</v>
      </c>
      <c r="B36" s="85" t="s">
        <v>206</v>
      </c>
      <c r="C36" s="86" t="s">
        <v>144</v>
      </c>
      <c r="D36" s="53" t="s">
        <v>207</v>
      </c>
      <c r="E36" s="87" t="s">
        <v>24</v>
      </c>
      <c r="F36" s="87" t="s">
        <v>44</v>
      </c>
      <c r="G36" s="87" t="s">
        <v>208</v>
      </c>
      <c r="H36" s="78">
        <v>20000</v>
      </c>
      <c r="I36" s="42">
        <v>42420</v>
      </c>
      <c r="J36" s="42">
        <v>56070</v>
      </c>
      <c r="K36" s="11">
        <v>45993</v>
      </c>
      <c r="L36" s="78">
        <v>20000</v>
      </c>
      <c r="M36" s="12" t="s">
        <v>504</v>
      </c>
    </row>
    <row r="37" spans="1:13" x14ac:dyDescent="0.35">
      <c r="A37" s="5">
        <v>26</v>
      </c>
      <c r="B37" s="71" t="s">
        <v>513</v>
      </c>
      <c r="C37" s="72" t="s">
        <v>144</v>
      </c>
      <c r="D37" s="73" t="s">
        <v>514</v>
      </c>
      <c r="E37" s="44" t="s">
        <v>24</v>
      </c>
      <c r="F37" s="44" t="s">
        <v>44</v>
      </c>
      <c r="G37" s="73" t="s">
        <v>516</v>
      </c>
      <c r="H37" s="80">
        <v>5000</v>
      </c>
      <c r="I37" s="42">
        <v>22318</v>
      </c>
      <c r="J37" s="42">
        <v>42818</v>
      </c>
      <c r="K37" s="11">
        <v>46093</v>
      </c>
      <c r="L37" s="80">
        <v>25000</v>
      </c>
      <c r="M37" s="17" t="s">
        <v>364</v>
      </c>
    </row>
    <row r="38" spans="1:13" x14ac:dyDescent="0.35">
      <c r="A38" s="328"/>
      <c r="B38" s="328"/>
      <c r="C38" s="328"/>
      <c r="D38" s="328"/>
      <c r="E38" s="328"/>
      <c r="F38" s="328"/>
      <c r="G38" s="272" t="s">
        <v>381</v>
      </c>
      <c r="H38" s="273">
        <f>SUM(H12:H37)</f>
        <v>632000</v>
      </c>
      <c r="I38" s="328"/>
      <c r="J38" s="328"/>
      <c r="K38" s="328"/>
      <c r="L38" s="328"/>
      <c r="M38" s="328"/>
    </row>
    <row r="39" spans="1:13" x14ac:dyDescent="0.35">
      <c r="A39" s="328"/>
      <c r="B39" s="328" t="s">
        <v>573</v>
      </c>
      <c r="C39" s="328"/>
      <c r="D39" s="328"/>
      <c r="E39" s="328"/>
      <c r="F39" s="328"/>
      <c r="G39" s="328"/>
      <c r="H39" s="328"/>
      <c r="I39" s="328"/>
      <c r="J39" s="328"/>
      <c r="K39" s="328"/>
      <c r="L39" s="328"/>
      <c r="M39" s="328"/>
    </row>
    <row r="40" spans="1:13" x14ac:dyDescent="0.35">
      <c r="A40" s="328"/>
      <c r="B40" s="328"/>
      <c r="C40" s="328"/>
      <c r="D40" s="328"/>
      <c r="E40" s="328"/>
      <c r="F40" s="328"/>
      <c r="G40" s="328"/>
      <c r="H40" s="328"/>
      <c r="I40" s="328"/>
      <c r="J40" s="328"/>
      <c r="K40" s="328"/>
      <c r="L40" s="328"/>
      <c r="M40" s="328"/>
    </row>
    <row r="41" spans="1:13" x14ac:dyDescent="0.35">
      <c r="A41" s="328"/>
      <c r="B41" s="328"/>
      <c r="C41" s="328"/>
      <c r="D41" s="328"/>
      <c r="E41" s="328"/>
      <c r="F41" s="328"/>
      <c r="G41" s="328"/>
      <c r="H41" s="328"/>
      <c r="I41" s="328"/>
      <c r="J41" s="328"/>
      <c r="K41" s="328"/>
      <c r="L41" s="328"/>
      <c r="M41" s="328"/>
    </row>
    <row r="42" spans="1:13" x14ac:dyDescent="0.35">
      <c r="A42" s="328"/>
      <c r="B42" s="328"/>
      <c r="C42" s="328"/>
      <c r="D42" s="328"/>
      <c r="E42" s="328"/>
      <c r="F42" s="328"/>
      <c r="G42" s="328"/>
      <c r="H42" s="328"/>
      <c r="I42" s="328"/>
      <c r="J42" s="328"/>
      <c r="K42" s="328"/>
      <c r="L42" s="328"/>
      <c r="M42" s="328"/>
    </row>
    <row r="43" spans="1:13" x14ac:dyDescent="0.35">
      <c r="A43" s="328"/>
      <c r="B43" s="328"/>
      <c r="C43" s="328"/>
      <c r="D43" s="328"/>
      <c r="E43" s="328"/>
      <c r="F43" s="328"/>
      <c r="G43" s="328"/>
      <c r="H43" s="328"/>
      <c r="I43" s="328"/>
      <c r="J43" s="328"/>
      <c r="K43" s="328"/>
      <c r="L43" s="328"/>
      <c r="M43" s="328"/>
    </row>
    <row r="44" spans="1:13" ht="15" thickBot="1" x14ac:dyDescent="0.4">
      <c r="A44" s="420" t="s">
        <v>66</v>
      </c>
      <c r="B44" s="420"/>
      <c r="C44" s="328"/>
      <c r="D44" s="328"/>
      <c r="E44" s="407" t="s">
        <v>67</v>
      </c>
      <c r="F44" s="407"/>
      <c r="G44" s="49"/>
      <c r="H44" s="49"/>
      <c r="I44" s="408"/>
      <c r="J44" s="408"/>
      <c r="K44" s="326"/>
      <c r="L44" s="327"/>
      <c r="M44" s="327"/>
    </row>
    <row r="45" spans="1:13" ht="15" thickTop="1" x14ac:dyDescent="0.35">
      <c r="A45" s="421" t="s">
        <v>69</v>
      </c>
      <c r="B45" s="421"/>
      <c r="D45" s="30"/>
      <c r="E45" s="410" t="s">
        <v>70</v>
      </c>
      <c r="F45" s="410"/>
      <c r="G45" s="410" t="s">
        <v>71</v>
      </c>
      <c r="H45" s="410"/>
      <c r="I45" s="327"/>
      <c r="J45" s="327"/>
      <c r="K45" s="327" t="s">
        <v>72</v>
      </c>
      <c r="L45" s="325"/>
      <c r="M45" s="325"/>
    </row>
    <row r="46" spans="1:13" x14ac:dyDescent="0.35">
      <c r="A46" s="414" t="s">
        <v>92</v>
      </c>
      <c r="B46" s="414"/>
      <c r="D46" s="329"/>
      <c r="E46" s="414" t="s">
        <v>73</v>
      </c>
      <c r="F46" s="414"/>
      <c r="G46" s="414" t="s">
        <v>74</v>
      </c>
      <c r="H46" s="414"/>
      <c r="I46" s="325"/>
      <c r="J46" s="325"/>
      <c r="K46" s="325" t="s">
        <v>75</v>
      </c>
      <c r="L46" s="324"/>
      <c r="M46" s="324"/>
    </row>
    <row r="47" spans="1:13" x14ac:dyDescent="0.35">
      <c r="A47" s="412" t="s">
        <v>94</v>
      </c>
      <c r="B47" s="412"/>
      <c r="D47" s="330"/>
      <c r="E47" s="414" t="s">
        <v>78</v>
      </c>
      <c r="F47" s="414"/>
      <c r="G47" s="414" t="s">
        <v>414</v>
      </c>
      <c r="H47" s="414"/>
      <c r="I47" s="324"/>
      <c r="J47" s="324"/>
      <c r="K47" s="324" t="s">
        <v>80</v>
      </c>
      <c r="L47" s="330"/>
      <c r="M47" s="330"/>
    </row>
    <row r="48" spans="1:13" x14ac:dyDescent="0.35">
      <c r="A48" s="412" t="s">
        <v>76</v>
      </c>
      <c r="B48" s="412"/>
      <c r="D48" s="330"/>
      <c r="E48" s="412" t="s">
        <v>76</v>
      </c>
      <c r="F48" s="412"/>
      <c r="G48" s="412" t="s">
        <v>76</v>
      </c>
      <c r="H48" s="412"/>
      <c r="I48" s="324"/>
      <c r="J48" s="324"/>
      <c r="K48" s="324"/>
    </row>
    <row r="53" spans="1:5" ht="15" thickBot="1" x14ac:dyDescent="0.4"/>
    <row r="54" spans="1:5" ht="15" thickTop="1" x14ac:dyDescent="0.35">
      <c r="A54" s="417" t="s">
        <v>114</v>
      </c>
      <c r="B54" s="417"/>
      <c r="C54" s="429" t="s">
        <v>282</v>
      </c>
      <c r="D54" s="429"/>
      <c r="E54" s="429"/>
    </row>
    <row r="55" spans="1:5" x14ac:dyDescent="0.35">
      <c r="A55" s="418" t="s">
        <v>115</v>
      </c>
      <c r="B55" s="418"/>
      <c r="C55" s="430" t="s">
        <v>7</v>
      </c>
      <c r="D55" s="430"/>
      <c r="E55" s="430"/>
    </row>
    <row r="56" spans="1:5" x14ac:dyDescent="0.35">
      <c r="A56" s="422" t="s">
        <v>116</v>
      </c>
      <c r="B56" s="418"/>
      <c r="C56" s="431" t="s">
        <v>77</v>
      </c>
      <c r="D56" s="431"/>
      <c r="E56" s="431"/>
    </row>
    <row r="57" spans="1:5" x14ac:dyDescent="0.35">
      <c r="A57" s="416" t="s">
        <v>117</v>
      </c>
      <c r="B57" s="416"/>
      <c r="C57" s="412" t="s">
        <v>81</v>
      </c>
      <c r="D57" s="412"/>
      <c r="E57" s="412"/>
    </row>
  </sheetData>
  <mergeCells count="41">
    <mergeCell ref="A57:B57"/>
    <mergeCell ref="C57:E57"/>
    <mergeCell ref="A54:B54"/>
    <mergeCell ref="C54:E54"/>
    <mergeCell ref="A55:B55"/>
    <mergeCell ref="C55:E55"/>
    <mergeCell ref="A56:B56"/>
    <mergeCell ref="C56:E56"/>
    <mergeCell ref="A47:B47"/>
    <mergeCell ref="E47:F47"/>
    <mergeCell ref="G47:H47"/>
    <mergeCell ref="A48:B48"/>
    <mergeCell ref="E48:F48"/>
    <mergeCell ref="G48:H48"/>
    <mergeCell ref="A45:B45"/>
    <mergeCell ref="E45:F45"/>
    <mergeCell ref="G45:H45"/>
    <mergeCell ref="A46:B46"/>
    <mergeCell ref="E46:F46"/>
    <mergeCell ref="G46:H46"/>
    <mergeCell ref="A44:B44"/>
    <mergeCell ref="E44:F44"/>
    <mergeCell ref="I44:J44"/>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54" orientation="landscape"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DA23-065A-43DD-B193-1AB01C2CB183}">
  <sheetPr>
    <pageSetUpPr fitToPage="1"/>
  </sheetPr>
  <dimension ref="A1:M35"/>
  <sheetViews>
    <sheetView tabSelected="1" topLeftCell="A17" workbookViewId="0">
      <selection sqref="A1:M36"/>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40.5" customHeight="1" x14ac:dyDescent="0.35">
      <c r="A1" s="402" t="s">
        <v>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578</v>
      </c>
      <c r="D3" s="403"/>
      <c r="E3" s="403"/>
      <c r="F3" s="403"/>
      <c r="G3" s="403"/>
      <c r="H3" s="403"/>
      <c r="I3" s="403"/>
      <c r="J3" s="403"/>
      <c r="K3" s="403"/>
      <c r="L3" s="403"/>
      <c r="M3" s="385"/>
    </row>
    <row r="4" spans="1:13" x14ac:dyDescent="0.35">
      <c r="A4" s="384" t="s">
        <v>4</v>
      </c>
      <c r="B4" s="385"/>
      <c r="C4" s="393" t="s">
        <v>577</v>
      </c>
      <c r="D4" s="394"/>
      <c r="E4" s="394"/>
      <c r="F4" s="394"/>
      <c r="G4" s="394"/>
      <c r="H4" s="394"/>
      <c r="I4" s="394"/>
      <c r="J4" s="394"/>
      <c r="K4" s="394"/>
      <c r="L4" s="394"/>
      <c r="M4" s="395"/>
    </row>
    <row r="5" spans="1:13" x14ac:dyDescent="0.35">
      <c r="A5" s="384" t="s">
        <v>5</v>
      </c>
      <c r="B5" s="385"/>
      <c r="C5" s="387">
        <v>46160</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H20</f>
        <v>458000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563</v>
      </c>
      <c r="J11" s="3" t="s">
        <v>18</v>
      </c>
      <c r="K11" s="3" t="s">
        <v>19</v>
      </c>
      <c r="L11" s="3" t="s">
        <v>20</v>
      </c>
      <c r="M11" s="3" t="s">
        <v>84</v>
      </c>
    </row>
    <row r="12" spans="1:13" x14ac:dyDescent="0.35">
      <c r="A12" s="5">
        <v>1</v>
      </c>
      <c r="B12" s="14" t="s">
        <v>85</v>
      </c>
      <c r="C12" s="7" t="s">
        <v>86</v>
      </c>
      <c r="D12" s="8" t="s">
        <v>87</v>
      </c>
      <c r="E12" s="5" t="s">
        <v>24</v>
      </c>
      <c r="F12" s="5" t="s">
        <v>44</v>
      </c>
      <c r="G12" s="5">
        <v>35020062</v>
      </c>
      <c r="H12" s="228">
        <v>220000</v>
      </c>
      <c r="I12" s="10">
        <v>50130</v>
      </c>
      <c r="J12" s="10">
        <v>122805</v>
      </c>
      <c r="K12" s="35">
        <v>46147</v>
      </c>
      <c r="L12" s="228">
        <v>190000</v>
      </c>
      <c r="M12" s="48" t="s">
        <v>574</v>
      </c>
    </row>
    <row r="13" spans="1:13" x14ac:dyDescent="0.35">
      <c r="A13" s="5">
        <v>2</v>
      </c>
      <c r="B13" s="14" t="s">
        <v>89</v>
      </c>
      <c r="C13" s="7" t="s">
        <v>86</v>
      </c>
      <c r="D13" s="8" t="s">
        <v>90</v>
      </c>
      <c r="E13" s="5" t="s">
        <v>24</v>
      </c>
      <c r="F13" s="5" t="s">
        <v>44</v>
      </c>
      <c r="G13" s="13">
        <v>40021666</v>
      </c>
      <c r="H13" s="228">
        <v>60000</v>
      </c>
      <c r="I13" s="10">
        <v>42369</v>
      </c>
      <c r="J13" s="10">
        <v>73416</v>
      </c>
      <c r="K13" s="35">
        <v>46147</v>
      </c>
      <c r="L13" s="228">
        <v>60000</v>
      </c>
      <c r="M13" s="48" t="s">
        <v>575</v>
      </c>
    </row>
    <row r="14" spans="1:13" x14ac:dyDescent="0.35">
      <c r="A14" s="5">
        <v>3</v>
      </c>
      <c r="B14" s="14" t="s">
        <v>158</v>
      </c>
      <c r="C14" s="7" t="s">
        <v>86</v>
      </c>
      <c r="D14" s="8">
        <v>269</v>
      </c>
      <c r="E14" s="5" t="s">
        <v>24</v>
      </c>
      <c r="F14" s="5" t="s">
        <v>44</v>
      </c>
      <c r="G14" s="5">
        <v>74023856</v>
      </c>
      <c r="H14" s="228">
        <v>70000</v>
      </c>
      <c r="I14" s="10">
        <v>36405</v>
      </c>
      <c r="J14" s="10">
        <v>61440</v>
      </c>
      <c r="K14" s="35">
        <v>46147</v>
      </c>
      <c r="L14" s="228">
        <v>50000</v>
      </c>
      <c r="M14" s="12" t="s">
        <v>369</v>
      </c>
    </row>
    <row r="15" spans="1:13" x14ac:dyDescent="0.35">
      <c r="A15" s="5">
        <v>4</v>
      </c>
      <c r="B15" s="85" t="s">
        <v>487</v>
      </c>
      <c r="C15" s="86" t="s">
        <v>488</v>
      </c>
      <c r="D15" s="342">
        <v>2046</v>
      </c>
      <c r="E15" s="87" t="s">
        <v>24</v>
      </c>
      <c r="F15" s="87" t="s">
        <v>44</v>
      </c>
      <c r="G15" s="136" t="s">
        <v>489</v>
      </c>
      <c r="H15" s="341">
        <v>20000</v>
      </c>
      <c r="I15" s="42">
        <v>20042</v>
      </c>
      <c r="J15" s="42" t="s">
        <v>97</v>
      </c>
      <c r="K15" s="35">
        <v>45936</v>
      </c>
      <c r="L15" s="10">
        <v>50000</v>
      </c>
      <c r="M15" s="12" t="s">
        <v>344</v>
      </c>
    </row>
    <row r="16" spans="1:13" s="359" customFormat="1" x14ac:dyDescent="0.35">
      <c r="A16" s="350">
        <v>5</v>
      </c>
      <c r="B16" s="364" t="s">
        <v>255</v>
      </c>
      <c r="C16" s="365" t="s">
        <v>23</v>
      </c>
      <c r="D16" s="354" t="s">
        <v>256</v>
      </c>
      <c r="E16" s="366" t="s">
        <v>247</v>
      </c>
      <c r="F16" s="350" t="s">
        <v>44</v>
      </c>
      <c r="G16" s="354" t="s">
        <v>257</v>
      </c>
      <c r="H16" s="367">
        <v>12000</v>
      </c>
      <c r="I16" s="356">
        <v>18120</v>
      </c>
      <c r="J16" s="356">
        <v>26551</v>
      </c>
      <c r="K16" s="368">
        <v>46151</v>
      </c>
      <c r="L16" s="367">
        <v>6000</v>
      </c>
      <c r="M16" s="369" t="s">
        <v>96</v>
      </c>
    </row>
    <row r="17" spans="1:13" x14ac:dyDescent="0.35">
      <c r="A17" s="5">
        <v>7</v>
      </c>
      <c r="B17" s="19" t="s">
        <v>442</v>
      </c>
      <c r="C17" s="20" t="s">
        <v>443</v>
      </c>
      <c r="D17" s="53" t="s">
        <v>444</v>
      </c>
      <c r="E17" s="22" t="s">
        <v>24</v>
      </c>
      <c r="F17" s="5" t="s">
        <v>25</v>
      </c>
      <c r="G17" s="53" t="s">
        <v>445</v>
      </c>
      <c r="H17" s="48">
        <v>6000</v>
      </c>
      <c r="I17" s="10">
        <v>29100</v>
      </c>
      <c r="J17" s="10">
        <v>34049</v>
      </c>
      <c r="K17" s="35">
        <v>46117</v>
      </c>
      <c r="L17" s="48">
        <v>6000</v>
      </c>
      <c r="M17" s="48" t="s">
        <v>132</v>
      </c>
    </row>
    <row r="18" spans="1:13" x14ac:dyDescent="0.35">
      <c r="A18" s="5">
        <v>8</v>
      </c>
      <c r="B18" s="19" t="s">
        <v>261</v>
      </c>
      <c r="C18" s="20" t="s">
        <v>49</v>
      </c>
      <c r="D18" s="53" t="s">
        <v>262</v>
      </c>
      <c r="E18" s="22" t="s">
        <v>247</v>
      </c>
      <c r="F18" s="5" t="s">
        <v>130</v>
      </c>
      <c r="G18" s="53" t="s">
        <v>462</v>
      </c>
      <c r="H18" s="228">
        <v>30000</v>
      </c>
      <c r="I18" s="10">
        <v>39690</v>
      </c>
      <c r="J18" s="10">
        <v>55290</v>
      </c>
      <c r="K18" s="35">
        <v>46156</v>
      </c>
      <c r="L18" s="228">
        <v>40000</v>
      </c>
      <c r="M18" s="48" t="s">
        <v>365</v>
      </c>
    </row>
    <row r="19" spans="1:13" x14ac:dyDescent="0.35">
      <c r="A19" s="5">
        <v>9</v>
      </c>
      <c r="B19" s="16" t="s">
        <v>95</v>
      </c>
      <c r="C19" s="7" t="s">
        <v>49</v>
      </c>
      <c r="D19" s="8">
        <v>183</v>
      </c>
      <c r="E19" s="5" t="s">
        <v>24</v>
      </c>
      <c r="F19" s="5" t="s">
        <v>25</v>
      </c>
      <c r="G19" s="73" t="s">
        <v>556</v>
      </c>
      <c r="H19" s="228">
        <v>40000</v>
      </c>
      <c r="I19" s="10">
        <v>46987</v>
      </c>
      <c r="J19" s="10">
        <v>54987</v>
      </c>
      <c r="K19" s="35">
        <v>46126</v>
      </c>
      <c r="L19" s="228">
        <v>30000</v>
      </c>
      <c r="M19" s="48" t="s">
        <v>213</v>
      </c>
    </row>
    <row r="20" spans="1:13" x14ac:dyDescent="0.35">
      <c r="A20" s="386" t="s">
        <v>8</v>
      </c>
      <c r="B20" s="386"/>
      <c r="C20" s="386"/>
      <c r="D20" s="386"/>
      <c r="E20" s="386"/>
      <c r="F20" s="386"/>
      <c r="G20" s="386"/>
      <c r="H20" s="23">
        <f>SUM(H12:H19)</f>
        <v>458000</v>
      </c>
      <c r="I20" s="24"/>
      <c r="J20" s="25"/>
      <c r="K20" s="25"/>
      <c r="L20" s="335"/>
      <c r="M20" s="335"/>
    </row>
    <row r="21" spans="1:13" x14ac:dyDescent="0.35">
      <c r="A21" s="335"/>
      <c r="B21" s="335"/>
      <c r="C21" s="335"/>
      <c r="D21" s="335"/>
      <c r="E21" s="335"/>
      <c r="F21" s="335"/>
      <c r="G21" s="335"/>
      <c r="H21" s="335"/>
      <c r="I21" s="38"/>
      <c r="J21" s="335"/>
      <c r="K21" s="335"/>
      <c r="L21" s="335"/>
      <c r="M21" s="335"/>
    </row>
    <row r="22" spans="1:13" x14ac:dyDescent="0.35">
      <c r="A22" s="335"/>
      <c r="B22" s="335" t="s">
        <v>576</v>
      </c>
      <c r="C22" s="335"/>
      <c r="D22" s="335"/>
      <c r="E22" s="335"/>
      <c r="F22" s="335"/>
      <c r="G22" s="335"/>
      <c r="H22" s="335"/>
      <c r="I22" s="38"/>
      <c r="J22" s="335"/>
      <c r="K22" s="335"/>
      <c r="L22" s="335"/>
      <c r="M22" s="335"/>
    </row>
    <row r="23" spans="1:13" x14ac:dyDescent="0.35">
      <c r="A23" s="335"/>
      <c r="B23" s="335"/>
      <c r="C23" s="335"/>
      <c r="D23" s="335"/>
      <c r="E23" s="335"/>
      <c r="F23" s="335"/>
      <c r="G23" s="335"/>
      <c r="H23" s="335"/>
      <c r="I23" s="38"/>
      <c r="J23" s="335"/>
      <c r="K23" s="335"/>
      <c r="L23" s="335"/>
      <c r="M23" s="335"/>
    </row>
    <row r="24" spans="1:13" x14ac:dyDescent="0.35">
      <c r="A24" s="335"/>
      <c r="B24" s="335"/>
      <c r="C24" s="335"/>
      <c r="D24" s="335"/>
      <c r="E24" s="335"/>
      <c r="F24" s="335"/>
      <c r="G24" s="335"/>
      <c r="H24" s="335"/>
      <c r="I24" s="38"/>
      <c r="J24" s="335"/>
      <c r="K24" s="335"/>
      <c r="L24" s="335"/>
      <c r="M24" s="335"/>
    </row>
    <row r="25" spans="1:13" x14ac:dyDescent="0.35">
      <c r="A25" s="335"/>
      <c r="B25" s="335"/>
      <c r="C25" s="335"/>
      <c r="D25" s="335"/>
      <c r="E25" s="335"/>
      <c r="F25" s="335"/>
      <c r="G25" s="335"/>
      <c r="H25" s="335"/>
      <c r="I25" s="38"/>
      <c r="J25" s="335"/>
      <c r="K25" s="335"/>
      <c r="L25" s="335"/>
      <c r="M25" s="335"/>
    </row>
    <row r="26" spans="1:13" x14ac:dyDescent="0.35">
      <c r="A26" s="335"/>
      <c r="B26" s="335"/>
      <c r="C26" s="335"/>
      <c r="D26" s="335"/>
      <c r="E26" s="335"/>
      <c r="F26" s="335"/>
      <c r="G26" s="335"/>
      <c r="H26" s="335"/>
      <c r="I26" s="38"/>
      <c r="J26" s="335"/>
      <c r="K26" s="335"/>
      <c r="L26" s="335"/>
      <c r="M26" s="335"/>
    </row>
    <row r="27" spans="1:13" x14ac:dyDescent="0.35">
      <c r="A27" s="335"/>
      <c r="B27" s="335"/>
      <c r="C27" s="335"/>
      <c r="D27" s="335"/>
      <c r="E27" s="335"/>
      <c r="F27" s="335"/>
      <c r="G27" s="335"/>
      <c r="H27" s="335"/>
      <c r="I27" s="38"/>
      <c r="J27" s="335"/>
      <c r="K27" s="335"/>
      <c r="L27" s="335"/>
      <c r="M27" s="335"/>
    </row>
    <row r="28" spans="1:13" x14ac:dyDescent="0.35">
      <c r="A28" s="335"/>
      <c r="B28" s="335"/>
      <c r="C28" s="335"/>
      <c r="D28" s="335"/>
      <c r="E28" s="335"/>
      <c r="F28" s="335"/>
      <c r="G28" s="335"/>
      <c r="H28" s="335"/>
      <c r="I28" s="38"/>
      <c r="J28" s="335"/>
      <c r="K28" s="335"/>
      <c r="L28" s="335"/>
      <c r="M28" s="335"/>
    </row>
    <row r="29" spans="1:13" x14ac:dyDescent="0.35">
      <c r="A29" s="335"/>
      <c r="B29" s="335"/>
      <c r="C29" s="335"/>
      <c r="D29" s="335"/>
      <c r="E29" s="335"/>
      <c r="F29" s="335"/>
      <c r="G29" s="335"/>
      <c r="H29" s="335"/>
      <c r="I29" s="38"/>
      <c r="J29" s="335"/>
      <c r="K29" s="335"/>
      <c r="L29" s="335"/>
      <c r="M29" s="335"/>
    </row>
    <row r="30" spans="1:13" x14ac:dyDescent="0.35">
      <c r="A30" s="335"/>
      <c r="B30" s="335"/>
      <c r="C30" s="335"/>
      <c r="D30" s="335"/>
      <c r="E30" s="335"/>
      <c r="F30" s="335"/>
      <c r="G30" s="335"/>
      <c r="H30" s="335"/>
      <c r="I30" s="38"/>
      <c r="J30" s="335"/>
      <c r="K30" s="335"/>
      <c r="L30" s="335"/>
      <c r="M30" s="335"/>
    </row>
    <row r="31" spans="1:13" x14ac:dyDescent="0.35">
      <c r="A31" s="407" t="s">
        <v>66</v>
      </c>
      <c r="B31" s="407"/>
      <c r="C31" s="335"/>
      <c r="D31" s="335"/>
      <c r="E31" s="407" t="s">
        <v>67</v>
      </c>
      <c r="F31" s="407"/>
      <c r="G31" s="408"/>
      <c r="H31" s="408"/>
      <c r="I31" s="331"/>
      <c r="J31" s="331"/>
      <c r="K31" s="331"/>
      <c r="L31" s="39"/>
      <c r="M31" s="336"/>
    </row>
    <row r="32" spans="1:13" x14ac:dyDescent="0.35">
      <c r="A32" s="421" t="s">
        <v>69</v>
      </c>
      <c r="B32" s="421"/>
      <c r="D32" s="332"/>
      <c r="E32" s="410" t="s">
        <v>70</v>
      </c>
      <c r="F32" s="410"/>
      <c r="G32" s="410" t="s">
        <v>71</v>
      </c>
      <c r="H32" s="410"/>
      <c r="I32" s="332"/>
      <c r="J32" s="332"/>
      <c r="K32" s="332" t="s">
        <v>72</v>
      </c>
      <c r="L32" s="334"/>
      <c r="M32" s="334"/>
    </row>
    <row r="33" spans="1:13" x14ac:dyDescent="0.35">
      <c r="A33" s="414" t="s">
        <v>92</v>
      </c>
      <c r="B33" s="414"/>
      <c r="D33" s="337"/>
      <c r="E33" s="414" t="s">
        <v>73</v>
      </c>
      <c r="F33" s="414"/>
      <c r="G33" s="414" t="s">
        <v>74</v>
      </c>
      <c r="H33" s="414"/>
      <c r="I33" s="334"/>
      <c r="J33" s="334"/>
      <c r="K33" s="334" t="s">
        <v>75</v>
      </c>
      <c r="L33" s="333"/>
      <c r="M33" s="333"/>
    </row>
    <row r="34" spans="1:13" x14ac:dyDescent="0.35">
      <c r="A34" s="414" t="s">
        <v>94</v>
      </c>
      <c r="B34" s="414"/>
      <c r="D34" s="338"/>
      <c r="E34" s="414" t="s">
        <v>78</v>
      </c>
      <c r="F34" s="414"/>
      <c r="G34" s="414" t="s">
        <v>414</v>
      </c>
      <c r="H34" s="414"/>
      <c r="I34" s="333"/>
      <c r="J34" s="333"/>
      <c r="K34" s="334" t="s">
        <v>80</v>
      </c>
      <c r="L34" s="338"/>
      <c r="M34" s="338"/>
    </row>
    <row r="35" spans="1:13" x14ac:dyDescent="0.35">
      <c r="A35" s="412" t="s">
        <v>76</v>
      </c>
      <c r="B35" s="412"/>
      <c r="D35" s="338"/>
      <c r="E35" s="412" t="s">
        <v>76</v>
      </c>
      <c r="F35" s="412"/>
      <c r="G35" s="412" t="s">
        <v>76</v>
      </c>
      <c r="H35" s="412"/>
      <c r="I35" s="333"/>
      <c r="J35" s="333"/>
      <c r="K35" s="333"/>
    </row>
  </sheetData>
  <mergeCells count="34">
    <mergeCell ref="A4:B4"/>
    <mergeCell ref="C4:M4"/>
    <mergeCell ref="A1:M1"/>
    <mergeCell ref="A2:B2"/>
    <mergeCell ref="C2:M2"/>
    <mergeCell ref="A3:B3"/>
    <mergeCell ref="C3:M3"/>
    <mergeCell ref="A20:G20"/>
    <mergeCell ref="A5:B5"/>
    <mergeCell ref="C5:M5"/>
    <mergeCell ref="A6:B6"/>
    <mergeCell ref="C6:M6"/>
    <mergeCell ref="A7:B7"/>
    <mergeCell ref="C7:M7"/>
    <mergeCell ref="A8:B8"/>
    <mergeCell ref="C8:M8"/>
    <mergeCell ref="A9:B9"/>
    <mergeCell ref="C9:M9"/>
    <mergeCell ref="A10:M10"/>
    <mergeCell ref="A31:B31"/>
    <mergeCell ref="E31:F31"/>
    <mergeCell ref="G31:H31"/>
    <mergeCell ref="A32:B32"/>
    <mergeCell ref="E32:F32"/>
    <mergeCell ref="G32:H32"/>
    <mergeCell ref="A35:B35"/>
    <mergeCell ref="E35:F35"/>
    <mergeCell ref="G35:H35"/>
    <mergeCell ref="A33:B33"/>
    <mergeCell ref="E33:F33"/>
    <mergeCell ref="G33:H33"/>
    <mergeCell ref="A34:B34"/>
    <mergeCell ref="E34:F34"/>
    <mergeCell ref="G34:H34"/>
  </mergeCells>
  <pageMargins left="0.25" right="0.25" top="0.75" bottom="0.75" header="0.3" footer="0.3"/>
  <pageSetup paperSize="9" scale="79" orientation="landscape"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1002-E1E8-49BC-80B7-8DE42F27BCD4}">
  <sheetPr>
    <pageSetUpPr fitToPage="1"/>
  </sheetPr>
  <dimension ref="A1:M46"/>
  <sheetViews>
    <sheetView topLeftCell="A10" workbookViewId="0">
      <selection sqref="A1:M46"/>
    </sheetView>
  </sheetViews>
  <sheetFormatPr defaultRowHeight="14.5" x14ac:dyDescent="0.35"/>
  <cols>
    <col min="1" max="1" width="5.7265625" bestFit="1" customWidth="1"/>
    <col min="2" max="2" width="33.7265625" customWidth="1"/>
    <col min="3" max="3" width="17.453125" bestFit="1" customWidth="1"/>
    <col min="4" max="5" width="5.08984375" bestFit="1" customWidth="1"/>
    <col min="6" max="6" width="16.54296875" customWidth="1"/>
    <col min="7" max="7" width="14.36328125" customWidth="1"/>
    <col min="8" max="8" width="11.90625" customWidth="1"/>
    <col min="9" max="9" width="9.08984375" bestFit="1" customWidth="1"/>
    <col min="10" max="10" width="9.36328125" customWidth="1"/>
    <col min="11" max="11" width="25.08984375" customWidth="1"/>
    <col min="12" max="12" width="9.08984375" bestFit="1" customWidth="1"/>
    <col min="13" max="13" width="15.81640625" customWidth="1"/>
  </cols>
  <sheetData>
    <row r="1" spans="1:13" ht="36" customHeight="1" x14ac:dyDescent="0.35">
      <c r="A1" s="473" t="s">
        <v>352</v>
      </c>
      <c r="B1" s="474"/>
      <c r="C1" s="474"/>
      <c r="D1" s="474"/>
      <c r="E1" s="474"/>
      <c r="F1" s="474"/>
      <c r="G1" s="474"/>
      <c r="H1" s="474"/>
      <c r="I1" s="474"/>
      <c r="J1" s="474"/>
      <c r="K1" s="474"/>
      <c r="L1" s="474"/>
      <c r="M1" s="475"/>
    </row>
    <row r="2" spans="1:13" x14ac:dyDescent="0.35">
      <c r="A2" s="384" t="s">
        <v>1</v>
      </c>
      <c r="B2" s="385"/>
      <c r="C2" s="393" t="s">
        <v>2</v>
      </c>
      <c r="D2" s="394"/>
      <c r="E2" s="394"/>
      <c r="F2" s="394"/>
      <c r="G2" s="394"/>
      <c r="H2" s="394"/>
      <c r="I2" s="394"/>
      <c r="J2" s="394"/>
      <c r="K2" s="394"/>
      <c r="L2" s="394"/>
      <c r="M2" s="395"/>
    </row>
    <row r="3" spans="1:13" x14ac:dyDescent="0.35">
      <c r="A3" s="384" t="s">
        <v>3</v>
      </c>
      <c r="B3" s="385"/>
      <c r="C3" s="384" t="s">
        <v>559</v>
      </c>
      <c r="D3" s="403"/>
      <c r="E3" s="403"/>
      <c r="F3" s="403"/>
      <c r="G3" s="403"/>
      <c r="H3" s="403"/>
      <c r="I3" s="403"/>
      <c r="J3" s="403"/>
      <c r="K3" s="403"/>
      <c r="L3" s="403"/>
      <c r="M3" s="385"/>
    </row>
    <row r="4" spans="1:13" x14ac:dyDescent="0.35">
      <c r="A4" s="384" t="s">
        <v>4</v>
      </c>
      <c r="B4" s="385"/>
      <c r="C4" s="393" t="s">
        <v>546</v>
      </c>
      <c r="D4" s="394"/>
      <c r="E4" s="394"/>
      <c r="F4" s="394"/>
      <c r="G4" s="394"/>
      <c r="H4" s="394"/>
      <c r="I4" s="394"/>
      <c r="J4" s="394"/>
      <c r="K4" s="394"/>
      <c r="L4" s="394"/>
      <c r="M4" s="395"/>
    </row>
    <row r="5" spans="1:13" x14ac:dyDescent="0.35">
      <c r="A5" s="384" t="s">
        <v>5</v>
      </c>
      <c r="B5" s="385"/>
      <c r="C5" s="387">
        <v>46175</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H15</f>
        <v>7000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54" x14ac:dyDescent="0.35">
      <c r="A11" s="1" t="s">
        <v>10</v>
      </c>
      <c r="B11" s="2" t="s">
        <v>11</v>
      </c>
      <c r="C11" s="2" t="s">
        <v>12</v>
      </c>
      <c r="D11" s="2" t="s">
        <v>13</v>
      </c>
      <c r="E11" s="2" t="s">
        <v>14</v>
      </c>
      <c r="F11" s="3" t="s">
        <v>15</v>
      </c>
      <c r="G11" s="3" t="s">
        <v>16</v>
      </c>
      <c r="H11" s="3" t="s">
        <v>17</v>
      </c>
      <c r="I11" s="3" t="s">
        <v>561</v>
      </c>
      <c r="J11" s="3" t="s">
        <v>18</v>
      </c>
      <c r="K11" s="3" t="s">
        <v>19</v>
      </c>
      <c r="L11" s="3" t="s">
        <v>20</v>
      </c>
      <c r="M11" s="4" t="s">
        <v>21</v>
      </c>
    </row>
    <row r="12" spans="1:13" x14ac:dyDescent="0.35">
      <c r="A12" s="378">
        <v>1</v>
      </c>
      <c r="B12" s="71" t="s">
        <v>227</v>
      </c>
      <c r="C12" s="72" t="s">
        <v>49</v>
      </c>
      <c r="D12" s="73" t="s">
        <v>54</v>
      </c>
      <c r="E12" s="44" t="s">
        <v>24</v>
      </c>
      <c r="F12" s="44" t="s">
        <v>25</v>
      </c>
      <c r="G12" s="73" t="s">
        <v>562</v>
      </c>
      <c r="H12" s="379">
        <v>3000</v>
      </c>
      <c r="I12" s="379"/>
      <c r="J12" s="379"/>
      <c r="K12" s="379"/>
      <c r="L12" s="379"/>
      <c r="M12" s="17" t="s">
        <v>204</v>
      </c>
    </row>
    <row r="13" spans="1:13" x14ac:dyDescent="0.35">
      <c r="A13" s="378">
        <v>2</v>
      </c>
      <c r="B13" s="71" t="s">
        <v>227</v>
      </c>
      <c r="C13" s="72" t="s">
        <v>49</v>
      </c>
      <c r="D13" s="73" t="s">
        <v>54</v>
      </c>
      <c r="E13" s="44" t="s">
        <v>24</v>
      </c>
      <c r="F13" s="44" t="s">
        <v>25</v>
      </c>
      <c r="G13" s="73" t="s">
        <v>562</v>
      </c>
      <c r="H13" s="379">
        <v>2000</v>
      </c>
      <c r="I13" s="379"/>
      <c r="J13" s="379"/>
      <c r="K13" s="379"/>
      <c r="L13" s="379"/>
      <c r="M13" s="17" t="s">
        <v>204</v>
      </c>
    </row>
    <row r="14" spans="1:13" x14ac:dyDescent="0.35">
      <c r="A14" s="5">
        <v>3</v>
      </c>
      <c r="B14" s="71" t="s">
        <v>227</v>
      </c>
      <c r="C14" s="72" t="s">
        <v>49</v>
      </c>
      <c r="D14" s="73" t="s">
        <v>54</v>
      </c>
      <c r="E14" s="44" t="s">
        <v>24</v>
      </c>
      <c r="F14" s="44" t="s">
        <v>25</v>
      </c>
      <c r="G14" s="73" t="s">
        <v>562</v>
      </c>
      <c r="H14" s="379">
        <v>2000</v>
      </c>
      <c r="I14" s="10" t="s">
        <v>97</v>
      </c>
      <c r="J14" s="10" t="s">
        <v>97</v>
      </c>
      <c r="K14" s="11" t="s">
        <v>97</v>
      </c>
      <c r="L14" s="80"/>
      <c r="M14" s="17" t="s">
        <v>204</v>
      </c>
    </row>
    <row r="15" spans="1:13" x14ac:dyDescent="0.35">
      <c r="A15" s="347"/>
      <c r="B15" s="347"/>
      <c r="C15" s="347"/>
      <c r="D15" s="347"/>
      <c r="E15" s="347"/>
      <c r="F15" s="347"/>
      <c r="G15" s="272" t="s">
        <v>381</v>
      </c>
      <c r="H15" s="273">
        <v>7000</v>
      </c>
      <c r="I15" s="347"/>
      <c r="J15" s="347"/>
      <c r="K15" s="347"/>
      <c r="L15" s="347"/>
      <c r="M15" s="347"/>
    </row>
    <row r="16" spans="1:13" x14ac:dyDescent="0.35">
      <c r="A16" s="347"/>
      <c r="B16" s="347" t="s">
        <v>361</v>
      </c>
      <c r="C16" s="347"/>
      <c r="D16" s="347"/>
      <c r="E16" s="347"/>
      <c r="F16" s="347"/>
      <c r="G16" s="347"/>
      <c r="H16" s="347"/>
      <c r="I16" s="347"/>
      <c r="J16" s="347"/>
      <c r="K16" s="347"/>
      <c r="L16" s="347"/>
      <c r="M16" s="347"/>
    </row>
    <row r="17" spans="1:13" x14ac:dyDescent="0.35">
      <c r="A17" s="347"/>
      <c r="B17" s="347"/>
      <c r="C17" s="347"/>
      <c r="D17" s="347"/>
      <c r="E17" s="347"/>
      <c r="F17" s="347"/>
      <c r="G17" s="347"/>
      <c r="H17" s="347"/>
      <c r="I17" s="347"/>
      <c r="J17" s="347"/>
      <c r="K17" s="347"/>
      <c r="L17" s="347"/>
      <c r="M17" s="347"/>
    </row>
    <row r="18" spans="1:13" x14ac:dyDescent="0.35">
      <c r="A18" s="347"/>
      <c r="B18" s="347"/>
      <c r="C18" s="347"/>
      <c r="D18" s="347"/>
      <c r="E18" s="347"/>
      <c r="F18" s="347"/>
      <c r="G18" s="347"/>
      <c r="H18" s="347"/>
      <c r="I18" s="347"/>
      <c r="J18" s="347"/>
      <c r="K18" s="347"/>
      <c r="L18" s="347"/>
      <c r="M18" s="347"/>
    </row>
    <row r="19" spans="1:13" x14ac:dyDescent="0.35">
      <c r="A19" s="347"/>
      <c r="B19" s="412"/>
      <c r="C19" s="412"/>
      <c r="D19" s="412"/>
      <c r="E19" s="412"/>
      <c r="F19" s="412"/>
      <c r="G19" s="412"/>
      <c r="H19" s="347"/>
      <c r="I19" s="347"/>
      <c r="J19" s="347"/>
      <c r="K19" s="347"/>
      <c r="L19" s="347"/>
      <c r="M19" s="347"/>
    </row>
    <row r="20" spans="1:13" x14ac:dyDescent="0.35">
      <c r="A20" s="347"/>
      <c r="B20" s="412"/>
      <c r="C20" s="412"/>
      <c r="D20" s="412"/>
      <c r="E20" s="412"/>
      <c r="F20" s="412"/>
      <c r="G20" s="412"/>
      <c r="H20" s="347"/>
      <c r="I20" s="347"/>
      <c r="J20" s="347"/>
      <c r="K20" s="347"/>
      <c r="L20" s="347"/>
      <c r="M20" s="347"/>
    </row>
    <row r="21" spans="1:13" x14ac:dyDescent="0.35">
      <c r="A21" s="347"/>
      <c r="B21" s="347"/>
      <c r="C21" s="347"/>
      <c r="D21" s="347"/>
      <c r="E21" s="347"/>
      <c r="F21" s="347"/>
      <c r="G21" s="347"/>
      <c r="H21" s="347"/>
      <c r="I21" s="347"/>
      <c r="J21" s="347"/>
      <c r="K21" s="347"/>
      <c r="L21" s="347"/>
      <c r="M21" s="347"/>
    </row>
    <row r="22" spans="1:13" ht="15" thickBot="1" x14ac:dyDescent="0.4">
      <c r="A22" s="347"/>
      <c r="B22" s="347"/>
      <c r="C22" s="347"/>
      <c r="D22" s="347"/>
      <c r="E22" s="347"/>
      <c r="F22" s="347"/>
      <c r="G22" s="347"/>
      <c r="H22" s="347"/>
      <c r="I22" s="347"/>
      <c r="J22" s="347"/>
      <c r="K22" s="347"/>
      <c r="L22" s="347"/>
      <c r="M22" s="347"/>
    </row>
    <row r="23" spans="1:13" ht="15.5" thickTop="1" thickBot="1" x14ac:dyDescent="0.4">
      <c r="A23" s="347"/>
      <c r="B23" s="447" t="s">
        <v>267</v>
      </c>
      <c r="C23" s="448"/>
      <c r="D23" s="448"/>
      <c r="E23" s="448"/>
      <c r="F23" s="347"/>
      <c r="G23" s="347"/>
      <c r="H23" s="347"/>
      <c r="I23" s="347"/>
      <c r="J23" s="347"/>
      <c r="K23" s="347"/>
      <c r="L23" s="347"/>
      <c r="M23" s="347"/>
    </row>
    <row r="24" spans="1:13" ht="15.5" thickTop="1" thickBot="1" x14ac:dyDescent="0.4">
      <c r="A24" s="347"/>
      <c r="B24" s="448"/>
      <c r="C24" s="448"/>
      <c r="D24" s="448"/>
      <c r="E24" s="448"/>
      <c r="F24" s="347"/>
      <c r="G24" s="347"/>
      <c r="H24" s="347"/>
      <c r="I24" s="347"/>
      <c r="J24" s="347"/>
      <c r="K24" s="347"/>
      <c r="L24" s="347"/>
      <c r="M24" s="347"/>
    </row>
    <row r="25" spans="1:13" ht="34" customHeight="1" thickTop="1" thickBot="1" x14ac:dyDescent="0.4">
      <c r="A25" s="347"/>
      <c r="B25" s="448"/>
      <c r="C25" s="448"/>
      <c r="D25" s="448"/>
      <c r="E25" s="448"/>
      <c r="F25" s="347"/>
      <c r="G25" s="347"/>
      <c r="H25" s="347"/>
      <c r="I25" s="347"/>
      <c r="J25" s="347"/>
      <c r="K25" s="347"/>
      <c r="L25" s="347"/>
      <c r="M25" s="347"/>
    </row>
    <row r="26" spans="1:13" ht="15" thickTop="1" x14ac:dyDescent="0.35">
      <c r="A26" s="347"/>
      <c r="B26" s="347"/>
      <c r="C26" s="347"/>
      <c r="D26" s="347"/>
      <c r="E26" s="347"/>
      <c r="F26" s="347"/>
      <c r="G26" s="347"/>
      <c r="H26" s="347"/>
      <c r="I26" s="347"/>
      <c r="J26" s="347"/>
      <c r="K26" s="347"/>
      <c r="L26" s="347"/>
      <c r="M26" s="347"/>
    </row>
    <row r="27" spans="1:13" x14ac:dyDescent="0.35">
      <c r="A27" s="347"/>
      <c r="B27" s="347"/>
      <c r="C27" s="347"/>
      <c r="D27" s="347"/>
      <c r="E27" s="347"/>
      <c r="F27" s="347"/>
      <c r="G27" s="347"/>
      <c r="H27" s="347"/>
      <c r="I27" s="347"/>
      <c r="J27" s="347"/>
      <c r="K27" s="347"/>
      <c r="L27" s="347"/>
      <c r="M27" s="347"/>
    </row>
    <row r="28" spans="1:13" x14ac:dyDescent="0.35">
      <c r="A28" s="347"/>
      <c r="B28" s="347"/>
      <c r="C28" s="347"/>
      <c r="D28" s="347"/>
      <c r="E28" s="347"/>
      <c r="F28" s="347"/>
      <c r="G28" s="347"/>
      <c r="H28" s="347"/>
      <c r="I28" s="347"/>
      <c r="J28" s="347"/>
      <c r="K28" s="347"/>
      <c r="L28" s="347"/>
      <c r="M28" s="347"/>
    </row>
    <row r="29" spans="1:13" x14ac:dyDescent="0.35">
      <c r="A29" s="347"/>
      <c r="B29" s="347"/>
      <c r="C29" s="347"/>
      <c r="D29" s="347"/>
      <c r="E29" s="347"/>
      <c r="F29" s="347"/>
      <c r="G29" s="347"/>
      <c r="H29" s="347"/>
      <c r="I29" s="347"/>
      <c r="J29" s="347"/>
      <c r="K29" s="347"/>
      <c r="L29" s="347"/>
      <c r="M29" s="347"/>
    </row>
    <row r="30" spans="1:13" x14ac:dyDescent="0.35">
      <c r="A30" s="347"/>
      <c r="B30" s="347"/>
      <c r="C30" s="347"/>
      <c r="D30" s="347"/>
      <c r="E30" s="347"/>
      <c r="F30" s="347"/>
      <c r="G30" s="347"/>
      <c r="H30" s="347"/>
      <c r="I30" s="347"/>
      <c r="J30" s="347"/>
      <c r="K30" s="347"/>
      <c r="L30" s="347"/>
      <c r="M30" s="347"/>
    </row>
    <row r="31" spans="1:13" x14ac:dyDescent="0.35">
      <c r="A31" s="347"/>
      <c r="B31" s="347"/>
      <c r="C31" s="347"/>
      <c r="D31" s="347"/>
      <c r="E31" s="347"/>
      <c r="F31" s="347"/>
      <c r="G31" s="347"/>
      <c r="H31" s="347"/>
      <c r="I31" s="347"/>
      <c r="J31" s="347"/>
      <c r="K31" s="347"/>
      <c r="L31" s="347"/>
      <c r="M31" s="347"/>
    </row>
    <row r="32" spans="1:13" x14ac:dyDescent="0.35">
      <c r="A32" s="347"/>
      <c r="B32" s="347"/>
      <c r="C32" s="347"/>
      <c r="D32" s="347"/>
      <c r="E32" s="347"/>
      <c r="F32" s="347"/>
      <c r="G32" s="347"/>
      <c r="H32" s="347"/>
      <c r="I32" s="347"/>
      <c r="J32" s="347"/>
      <c r="K32" s="347"/>
      <c r="L32" s="347"/>
      <c r="M32" s="347"/>
    </row>
    <row r="33" spans="1:13" ht="15" thickBot="1" x14ac:dyDescent="0.4">
      <c r="A33" s="420" t="s">
        <v>66</v>
      </c>
      <c r="B33" s="420"/>
      <c r="C33" s="347"/>
      <c r="D33" s="347"/>
      <c r="E33" s="407" t="s">
        <v>67</v>
      </c>
      <c r="F33" s="407"/>
      <c r="G33" s="49"/>
      <c r="H33" s="49"/>
      <c r="I33" s="408"/>
      <c r="J33" s="408"/>
      <c r="K33" s="345"/>
      <c r="L33" s="346"/>
      <c r="M33" s="346"/>
    </row>
    <row r="34" spans="1:13" ht="15" thickTop="1" x14ac:dyDescent="0.35">
      <c r="A34" s="421" t="s">
        <v>69</v>
      </c>
      <c r="B34" s="421"/>
      <c r="D34" s="30"/>
      <c r="E34" s="410" t="s">
        <v>70</v>
      </c>
      <c r="F34" s="410"/>
      <c r="G34" s="410" t="s">
        <v>71</v>
      </c>
      <c r="H34" s="410"/>
      <c r="I34" s="346"/>
      <c r="J34" s="346"/>
      <c r="K34" s="346" t="s">
        <v>72</v>
      </c>
      <c r="L34" s="344"/>
      <c r="M34" s="344"/>
    </row>
    <row r="35" spans="1:13" x14ac:dyDescent="0.35">
      <c r="A35" s="414" t="s">
        <v>92</v>
      </c>
      <c r="B35" s="414"/>
      <c r="D35" s="348"/>
      <c r="E35" s="414" t="s">
        <v>73</v>
      </c>
      <c r="F35" s="414"/>
      <c r="G35" s="414" t="s">
        <v>74</v>
      </c>
      <c r="H35" s="414"/>
      <c r="I35" s="344"/>
      <c r="J35" s="344"/>
      <c r="K35" s="344" t="s">
        <v>75</v>
      </c>
      <c r="L35" s="343"/>
      <c r="M35" s="343"/>
    </row>
    <row r="36" spans="1:13" x14ac:dyDescent="0.35">
      <c r="A36" s="412" t="s">
        <v>94</v>
      </c>
      <c r="B36" s="412"/>
      <c r="D36" s="349"/>
      <c r="E36" s="414" t="s">
        <v>78</v>
      </c>
      <c r="F36" s="414"/>
      <c r="G36" s="414" t="s">
        <v>414</v>
      </c>
      <c r="H36" s="414"/>
      <c r="I36" s="343"/>
      <c r="J36" s="343"/>
      <c r="K36" s="343" t="s">
        <v>80</v>
      </c>
      <c r="L36" s="349"/>
      <c r="M36" s="349"/>
    </row>
    <row r="37" spans="1:13" x14ac:dyDescent="0.35">
      <c r="A37" s="412" t="s">
        <v>76</v>
      </c>
      <c r="B37" s="412"/>
      <c r="D37" s="349"/>
      <c r="E37" s="412" t="s">
        <v>76</v>
      </c>
      <c r="F37" s="412"/>
      <c r="G37" s="412" t="s">
        <v>76</v>
      </c>
      <c r="H37" s="412"/>
      <c r="I37" s="343"/>
      <c r="J37" s="343"/>
      <c r="K37" s="343"/>
    </row>
    <row r="43" spans="1:13" x14ac:dyDescent="0.35">
      <c r="A43" s="417" t="s">
        <v>114</v>
      </c>
      <c r="B43" s="417"/>
      <c r="C43" s="477"/>
      <c r="D43" s="477"/>
      <c r="E43" s="477"/>
    </row>
    <row r="44" spans="1:13" x14ac:dyDescent="0.35">
      <c r="A44" s="418" t="s">
        <v>115</v>
      </c>
      <c r="B44" s="418"/>
      <c r="C44" s="430"/>
      <c r="D44" s="430"/>
      <c r="E44" s="430"/>
    </row>
    <row r="45" spans="1:13" x14ac:dyDescent="0.35">
      <c r="A45" s="422" t="s">
        <v>116</v>
      </c>
      <c r="B45" s="418"/>
      <c r="C45" s="431"/>
      <c r="D45" s="431"/>
      <c r="E45" s="431"/>
    </row>
    <row r="46" spans="1:13" x14ac:dyDescent="0.35">
      <c r="A46" s="416" t="s">
        <v>117</v>
      </c>
      <c r="B46" s="416"/>
      <c r="C46" s="412"/>
      <c r="D46" s="412"/>
      <c r="E46" s="412"/>
    </row>
  </sheetData>
  <mergeCells count="43">
    <mergeCell ref="A46:B46"/>
    <mergeCell ref="C46:E46"/>
    <mergeCell ref="B23:E25"/>
    <mergeCell ref="A43:B43"/>
    <mergeCell ref="C43:E43"/>
    <mergeCell ref="A44:B44"/>
    <mergeCell ref="C44:E44"/>
    <mergeCell ref="A45:B45"/>
    <mergeCell ref="C45:E45"/>
    <mergeCell ref="A36:B36"/>
    <mergeCell ref="E36:F36"/>
    <mergeCell ref="G36:H36"/>
    <mergeCell ref="A37:B37"/>
    <mergeCell ref="E37:F37"/>
    <mergeCell ref="G37:H37"/>
    <mergeCell ref="I33:J33"/>
    <mergeCell ref="A34:B34"/>
    <mergeCell ref="E34:F34"/>
    <mergeCell ref="G34:H34"/>
    <mergeCell ref="A35:B35"/>
    <mergeCell ref="E35:F35"/>
    <mergeCell ref="G35:H35"/>
    <mergeCell ref="A33:B33"/>
    <mergeCell ref="E33:F33"/>
    <mergeCell ref="B19:G20"/>
    <mergeCell ref="A5:B5"/>
    <mergeCell ref="C5:M5"/>
    <mergeCell ref="A6:B6"/>
    <mergeCell ref="C6:M6"/>
    <mergeCell ref="A7:B7"/>
    <mergeCell ref="C7:M7"/>
    <mergeCell ref="A8:B8"/>
    <mergeCell ref="C8:M8"/>
    <mergeCell ref="A9:B9"/>
    <mergeCell ref="C9:M9"/>
    <mergeCell ref="A10:M10"/>
    <mergeCell ref="A4:B4"/>
    <mergeCell ref="C4:M4"/>
    <mergeCell ref="A1:M1"/>
    <mergeCell ref="A2:B2"/>
    <mergeCell ref="C2:M2"/>
    <mergeCell ref="A3:B3"/>
    <mergeCell ref="C3:M3"/>
  </mergeCells>
  <printOptions horizontalCentered="1" verticalCentered="1"/>
  <pageMargins left="0.25" right="0.25" top="0.75" bottom="0.75" header="0.3" footer="0.3"/>
  <pageSetup paperSize="9" scale="64" orientation="landscape"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0FBF-1A6C-4DAA-8F4B-B7A8E06139AE}">
  <sheetPr>
    <pageSetUpPr fitToPage="1"/>
  </sheetPr>
  <dimension ref="A1:M31"/>
  <sheetViews>
    <sheetView topLeftCell="A8" workbookViewId="0">
      <selection activeCell="H20" sqref="H20:H21"/>
    </sheetView>
  </sheetViews>
  <sheetFormatPr defaultRowHeight="14.5" x14ac:dyDescent="0.35"/>
  <cols>
    <col min="1" max="1" width="5.81640625" bestFit="1" customWidth="1"/>
    <col min="2" max="2" width="21.81640625" customWidth="1"/>
    <col min="3" max="3" width="17.81640625" bestFit="1" customWidth="1"/>
    <col min="4" max="4" width="8.90625" bestFit="1" customWidth="1"/>
    <col min="5" max="5" width="9.54296875" bestFit="1" customWidth="1"/>
    <col min="6" max="6" width="15.453125" customWidth="1"/>
    <col min="7" max="7" width="18.453125" customWidth="1"/>
    <col min="8" max="8" width="13.7265625" customWidth="1"/>
    <col min="9" max="9" width="12" customWidth="1"/>
    <col min="10" max="10" width="13.1796875" bestFit="1" customWidth="1"/>
    <col min="11" max="11" width="14" customWidth="1"/>
    <col min="12" max="12" width="13" customWidth="1"/>
    <col min="13" max="13" width="15.7265625" customWidth="1"/>
  </cols>
  <sheetData>
    <row r="1" spans="1:13" ht="37.5" customHeight="1" x14ac:dyDescent="0.35">
      <c r="A1" s="402" t="s">
        <v>520</v>
      </c>
      <c r="B1" s="402"/>
      <c r="C1" s="402"/>
      <c r="D1" s="402"/>
      <c r="E1" s="402"/>
      <c r="F1" s="402"/>
      <c r="G1" s="402"/>
      <c r="H1" s="402"/>
      <c r="I1" s="402"/>
      <c r="J1" s="402"/>
      <c r="K1" s="402"/>
      <c r="L1" s="402"/>
      <c r="M1" s="402"/>
    </row>
    <row r="2" spans="1:13" x14ac:dyDescent="0.35">
      <c r="A2" s="384" t="s">
        <v>1</v>
      </c>
      <c r="B2" s="385"/>
      <c r="C2" s="393" t="s">
        <v>83</v>
      </c>
      <c r="D2" s="394"/>
      <c r="E2" s="394"/>
      <c r="F2" s="394"/>
      <c r="G2" s="394"/>
      <c r="H2" s="394"/>
      <c r="I2" s="394"/>
      <c r="J2" s="394"/>
      <c r="K2" s="394"/>
      <c r="L2" s="394"/>
      <c r="M2" s="395"/>
    </row>
    <row r="3" spans="1:13" x14ac:dyDescent="0.35">
      <c r="A3" s="384" t="s">
        <v>3</v>
      </c>
      <c r="B3" s="385"/>
      <c r="C3" s="384" t="s">
        <v>578</v>
      </c>
      <c r="D3" s="403"/>
      <c r="E3" s="403"/>
      <c r="F3" s="403"/>
      <c r="G3" s="403"/>
      <c r="H3" s="403"/>
      <c r="I3" s="403"/>
      <c r="J3" s="403"/>
      <c r="K3" s="403"/>
      <c r="L3" s="403"/>
      <c r="M3" s="385"/>
    </row>
    <row r="4" spans="1:13" x14ac:dyDescent="0.35">
      <c r="A4" s="384" t="s">
        <v>4</v>
      </c>
      <c r="B4" s="385"/>
      <c r="C4" s="393" t="s">
        <v>560</v>
      </c>
      <c r="D4" s="394"/>
      <c r="E4" s="394"/>
      <c r="F4" s="394"/>
      <c r="G4" s="394"/>
      <c r="H4" s="394"/>
      <c r="I4" s="394"/>
      <c r="J4" s="394"/>
      <c r="K4" s="394"/>
      <c r="L4" s="394"/>
      <c r="M4" s="395"/>
    </row>
    <row r="5" spans="1:13" x14ac:dyDescent="0.35">
      <c r="A5" s="384" t="s">
        <v>5</v>
      </c>
      <c r="B5" s="385"/>
      <c r="C5" s="387">
        <v>46176</v>
      </c>
      <c r="D5" s="388"/>
      <c r="E5" s="388"/>
      <c r="F5" s="388"/>
      <c r="G5" s="388"/>
      <c r="H5" s="388"/>
      <c r="I5" s="388"/>
      <c r="J5" s="388"/>
      <c r="K5" s="388"/>
      <c r="L5" s="388"/>
      <c r="M5" s="389"/>
    </row>
    <row r="6" spans="1:13" x14ac:dyDescent="0.35">
      <c r="A6" s="384" t="s">
        <v>6</v>
      </c>
      <c r="B6" s="385"/>
      <c r="C6" s="390">
        <v>1703</v>
      </c>
      <c r="D6" s="391"/>
      <c r="E6" s="391"/>
      <c r="F6" s="391"/>
      <c r="G6" s="391"/>
      <c r="H6" s="391"/>
      <c r="I6" s="391"/>
      <c r="J6" s="391"/>
      <c r="K6" s="391"/>
      <c r="L6" s="391"/>
      <c r="M6" s="392"/>
    </row>
    <row r="7" spans="1:13" x14ac:dyDescent="0.35">
      <c r="A7" s="384" t="s">
        <v>7</v>
      </c>
      <c r="B7" s="385"/>
      <c r="C7" s="393" t="s">
        <v>92</v>
      </c>
      <c r="D7" s="394"/>
      <c r="E7" s="394"/>
      <c r="F7" s="394"/>
      <c r="G7" s="394"/>
      <c r="H7" s="394"/>
      <c r="I7" s="394"/>
      <c r="J7" s="394"/>
      <c r="K7" s="394"/>
      <c r="L7" s="394"/>
      <c r="M7" s="395"/>
    </row>
    <row r="8" spans="1:13" x14ac:dyDescent="0.35">
      <c r="A8" s="384" t="s">
        <v>8</v>
      </c>
      <c r="B8" s="385"/>
      <c r="C8" s="396">
        <f>H16</f>
        <v>35000</v>
      </c>
      <c r="D8" s="397"/>
      <c r="E8" s="397"/>
      <c r="F8" s="397"/>
      <c r="G8" s="397"/>
      <c r="H8" s="397"/>
      <c r="I8" s="397"/>
      <c r="J8" s="397"/>
      <c r="K8" s="397"/>
      <c r="L8" s="397"/>
      <c r="M8" s="398"/>
    </row>
    <row r="9" spans="1:13" x14ac:dyDescent="0.35">
      <c r="A9" s="384"/>
      <c r="B9" s="385"/>
      <c r="C9" s="399"/>
      <c r="D9" s="400"/>
      <c r="E9" s="400"/>
      <c r="F9" s="400"/>
      <c r="G9" s="400"/>
      <c r="H9" s="400"/>
      <c r="I9" s="400"/>
      <c r="J9" s="400"/>
      <c r="K9" s="400"/>
      <c r="L9" s="400"/>
      <c r="M9" s="401"/>
    </row>
    <row r="10" spans="1:13" x14ac:dyDescent="0.35">
      <c r="A10" s="404" t="s">
        <v>9</v>
      </c>
      <c r="B10" s="405"/>
      <c r="C10" s="405"/>
      <c r="D10" s="405"/>
      <c r="E10" s="405"/>
      <c r="F10" s="405"/>
      <c r="G10" s="405"/>
      <c r="H10" s="405"/>
      <c r="I10" s="405"/>
      <c r="J10" s="405"/>
      <c r="K10" s="405"/>
      <c r="L10" s="405"/>
      <c r="M10" s="406"/>
    </row>
    <row r="11" spans="1:13" ht="40.5" x14ac:dyDescent="0.35">
      <c r="A11" s="1" t="s">
        <v>10</v>
      </c>
      <c r="B11" s="2" t="s">
        <v>11</v>
      </c>
      <c r="C11" s="2" t="s">
        <v>12</v>
      </c>
      <c r="D11" s="2" t="s">
        <v>13</v>
      </c>
      <c r="E11" s="2" t="s">
        <v>14</v>
      </c>
      <c r="F11" s="3" t="s">
        <v>15</v>
      </c>
      <c r="G11" s="3" t="s">
        <v>16</v>
      </c>
      <c r="H11" s="3" t="s">
        <v>17</v>
      </c>
      <c r="I11" s="3" t="s">
        <v>379</v>
      </c>
      <c r="J11" s="3" t="s">
        <v>18</v>
      </c>
      <c r="K11" s="3" t="s">
        <v>19</v>
      </c>
      <c r="L11" s="3" t="s">
        <v>20</v>
      </c>
      <c r="M11" s="3" t="s">
        <v>84</v>
      </c>
    </row>
    <row r="12" spans="1:13" x14ac:dyDescent="0.35">
      <c r="A12" s="5">
        <v>1</v>
      </c>
      <c r="B12" s="14" t="s">
        <v>85</v>
      </c>
      <c r="C12" s="7" t="s">
        <v>86</v>
      </c>
      <c r="D12" s="8" t="s">
        <v>87</v>
      </c>
      <c r="E12" s="5" t="s">
        <v>24</v>
      </c>
      <c r="F12" s="5" t="s">
        <v>44</v>
      </c>
      <c r="G12" s="5">
        <v>35020062</v>
      </c>
      <c r="H12" s="228">
        <v>10000</v>
      </c>
      <c r="I12" s="10"/>
      <c r="J12" s="10"/>
      <c r="K12" s="35"/>
      <c r="L12" s="228"/>
      <c r="M12" s="48" t="s">
        <v>574</v>
      </c>
    </row>
    <row r="13" spans="1:13" x14ac:dyDescent="0.35">
      <c r="A13" s="5">
        <v>2</v>
      </c>
      <c r="B13" s="14" t="s">
        <v>85</v>
      </c>
      <c r="C13" s="7" t="s">
        <v>86</v>
      </c>
      <c r="D13" s="8" t="s">
        <v>87</v>
      </c>
      <c r="E13" s="5" t="s">
        <v>24</v>
      </c>
      <c r="F13" s="5" t="s">
        <v>44</v>
      </c>
      <c r="G13" s="5">
        <v>35020062</v>
      </c>
      <c r="H13" s="228">
        <v>10000</v>
      </c>
      <c r="I13" s="10"/>
      <c r="J13" s="10"/>
      <c r="K13" s="35"/>
      <c r="L13" s="228"/>
      <c r="M13" s="48" t="s">
        <v>574</v>
      </c>
    </row>
    <row r="14" spans="1:13" x14ac:dyDescent="0.35">
      <c r="A14" s="5">
        <v>3</v>
      </c>
      <c r="B14" s="14" t="s">
        <v>85</v>
      </c>
      <c r="C14" s="7" t="s">
        <v>86</v>
      </c>
      <c r="D14" s="8" t="s">
        <v>87</v>
      </c>
      <c r="E14" s="5" t="s">
        <v>24</v>
      </c>
      <c r="F14" s="5" t="s">
        <v>44</v>
      </c>
      <c r="G14" s="5">
        <v>35020062</v>
      </c>
      <c r="H14" s="228">
        <v>5000</v>
      </c>
      <c r="I14" s="10"/>
      <c r="J14" s="10"/>
      <c r="K14" s="35"/>
      <c r="L14" s="228"/>
      <c r="M14" s="48" t="s">
        <v>574</v>
      </c>
    </row>
    <row r="15" spans="1:13" x14ac:dyDescent="0.35">
      <c r="A15" s="5">
        <v>4</v>
      </c>
      <c r="B15" s="14" t="s">
        <v>158</v>
      </c>
      <c r="C15" s="7" t="s">
        <v>86</v>
      </c>
      <c r="D15" s="8">
        <v>269</v>
      </c>
      <c r="E15" s="5" t="s">
        <v>24</v>
      </c>
      <c r="F15" s="5" t="s">
        <v>44</v>
      </c>
      <c r="G15" s="5">
        <v>74023856</v>
      </c>
      <c r="H15" s="228">
        <v>10000</v>
      </c>
      <c r="I15" s="10"/>
      <c r="J15" s="10"/>
      <c r="K15" s="35"/>
      <c r="L15" s="228"/>
      <c r="M15" s="12" t="s">
        <v>369</v>
      </c>
    </row>
    <row r="16" spans="1:13" x14ac:dyDescent="0.35">
      <c r="A16" s="386" t="s">
        <v>8</v>
      </c>
      <c r="B16" s="386"/>
      <c r="C16" s="386"/>
      <c r="D16" s="386"/>
      <c r="E16" s="386"/>
      <c r="F16" s="386"/>
      <c r="G16" s="386"/>
      <c r="H16" s="23">
        <f>SUM(H12:H15)</f>
        <v>35000</v>
      </c>
      <c r="I16" s="24"/>
      <c r="J16" s="25"/>
      <c r="K16" s="25"/>
      <c r="L16" s="374"/>
      <c r="M16" s="374"/>
    </row>
    <row r="17" spans="1:13" x14ac:dyDescent="0.35">
      <c r="A17" s="374"/>
      <c r="B17" s="374"/>
      <c r="C17" s="374"/>
      <c r="D17" s="374"/>
      <c r="E17" s="374"/>
      <c r="F17" s="374"/>
      <c r="G17" s="374"/>
      <c r="H17" s="374"/>
      <c r="I17" s="38"/>
      <c r="J17" s="374"/>
      <c r="K17" s="374"/>
      <c r="L17" s="374"/>
      <c r="M17" s="374"/>
    </row>
    <row r="18" spans="1:13" x14ac:dyDescent="0.35">
      <c r="A18" s="374"/>
      <c r="B18" s="374" t="s">
        <v>579</v>
      </c>
      <c r="C18" s="374"/>
      <c r="D18" s="374"/>
      <c r="E18" s="374"/>
      <c r="F18" s="374"/>
      <c r="G18" s="374"/>
      <c r="H18" s="374"/>
      <c r="I18" s="38"/>
      <c r="J18" s="374"/>
      <c r="K18" s="374"/>
      <c r="L18" s="374"/>
      <c r="M18" s="374"/>
    </row>
    <row r="19" spans="1:13" x14ac:dyDescent="0.35">
      <c r="A19" s="374"/>
      <c r="B19" s="374"/>
      <c r="C19" s="374"/>
      <c r="D19" s="374"/>
      <c r="E19" s="374"/>
      <c r="F19" s="374"/>
      <c r="G19" s="374"/>
      <c r="H19" s="374"/>
      <c r="I19" s="38"/>
      <c r="J19" s="374"/>
      <c r="K19" s="374"/>
      <c r="L19" s="374"/>
      <c r="M19" s="374"/>
    </row>
    <row r="20" spans="1:13" x14ac:dyDescent="0.35">
      <c r="A20" s="374"/>
      <c r="B20" s="374"/>
      <c r="C20" s="374"/>
      <c r="D20" s="374"/>
      <c r="E20" s="374"/>
      <c r="F20" s="374"/>
      <c r="G20" s="374"/>
      <c r="H20" s="374"/>
      <c r="I20" s="38"/>
      <c r="J20" s="374"/>
      <c r="K20" s="374"/>
      <c r="L20" s="374"/>
      <c r="M20" s="374"/>
    </row>
    <row r="21" spans="1:13" x14ac:dyDescent="0.35">
      <c r="A21" s="374"/>
      <c r="B21" s="374"/>
      <c r="C21" s="374"/>
      <c r="D21" s="374"/>
      <c r="E21" s="374"/>
      <c r="F21" s="374"/>
      <c r="G21" s="374"/>
      <c r="H21" s="374"/>
      <c r="I21" s="38"/>
      <c r="J21" s="374"/>
      <c r="K21" s="374"/>
      <c r="L21" s="374"/>
      <c r="M21" s="374"/>
    </row>
    <row r="22" spans="1:13" x14ac:dyDescent="0.35">
      <c r="A22" s="374"/>
      <c r="B22" s="374"/>
      <c r="C22" s="374"/>
      <c r="D22" s="374"/>
      <c r="E22" s="374"/>
      <c r="F22" s="374"/>
      <c r="G22" s="374"/>
      <c r="H22" s="374"/>
      <c r="I22" s="38"/>
      <c r="J22" s="374"/>
      <c r="K22" s="374"/>
      <c r="L22" s="374"/>
      <c r="M22" s="374"/>
    </row>
    <row r="23" spans="1:13" x14ac:dyDescent="0.35">
      <c r="A23" s="374"/>
      <c r="B23" s="374"/>
      <c r="C23" s="374"/>
      <c r="D23" s="374"/>
      <c r="E23" s="374"/>
      <c r="F23" s="374"/>
      <c r="G23" s="374"/>
      <c r="H23" s="374"/>
      <c r="I23" s="38"/>
      <c r="J23" s="374"/>
      <c r="K23" s="374"/>
      <c r="L23" s="374"/>
      <c r="M23" s="374"/>
    </row>
    <row r="24" spans="1:13" x14ac:dyDescent="0.35">
      <c r="A24" s="374"/>
      <c r="B24" s="374"/>
      <c r="C24" s="374"/>
      <c r="D24" s="374"/>
      <c r="E24" s="374"/>
      <c r="F24" s="374"/>
      <c r="G24" s="374"/>
      <c r="H24" s="374"/>
      <c r="I24" s="38"/>
      <c r="J24" s="374"/>
      <c r="K24" s="374"/>
      <c r="L24" s="374"/>
      <c r="M24" s="374"/>
    </row>
    <row r="25" spans="1:13" x14ac:dyDescent="0.35">
      <c r="A25" s="374"/>
      <c r="B25" s="374"/>
      <c r="C25" s="374"/>
      <c r="D25" s="374"/>
      <c r="E25" s="374"/>
      <c r="F25" s="374"/>
      <c r="G25" s="374"/>
      <c r="H25" s="374"/>
      <c r="I25" s="38"/>
      <c r="J25" s="374"/>
      <c r="K25" s="374"/>
      <c r="L25" s="374"/>
      <c r="M25" s="374"/>
    </row>
    <row r="26" spans="1:13" x14ac:dyDescent="0.35">
      <c r="A26" s="374"/>
      <c r="B26" s="374"/>
      <c r="C26" s="374"/>
      <c r="D26" s="374"/>
      <c r="E26" s="374"/>
      <c r="F26" s="374"/>
      <c r="G26" s="374"/>
      <c r="H26" s="374"/>
      <c r="I26" s="38"/>
      <c r="J26" s="374"/>
      <c r="K26" s="374"/>
      <c r="L26" s="374"/>
      <c r="M26" s="374"/>
    </row>
    <row r="27" spans="1:13" x14ac:dyDescent="0.35">
      <c r="A27" s="407" t="s">
        <v>66</v>
      </c>
      <c r="B27" s="407"/>
      <c r="C27" s="374"/>
      <c r="D27" s="374"/>
      <c r="E27" s="407" t="s">
        <v>67</v>
      </c>
      <c r="F27" s="407"/>
      <c r="G27" s="408"/>
      <c r="H27" s="408"/>
      <c r="I27" s="370"/>
      <c r="J27" s="370"/>
      <c r="K27" s="370"/>
      <c r="L27" s="39"/>
      <c r="M27" s="375"/>
    </row>
    <row r="28" spans="1:13" x14ac:dyDescent="0.35">
      <c r="A28" s="421" t="s">
        <v>69</v>
      </c>
      <c r="B28" s="421"/>
      <c r="D28" s="371"/>
      <c r="E28" s="410" t="s">
        <v>70</v>
      </c>
      <c r="F28" s="410"/>
      <c r="G28" s="410" t="s">
        <v>71</v>
      </c>
      <c r="H28" s="410"/>
      <c r="I28" s="371"/>
      <c r="J28" s="371"/>
      <c r="K28" s="371" t="s">
        <v>72</v>
      </c>
      <c r="L28" s="373"/>
      <c r="M28" s="373"/>
    </row>
    <row r="29" spans="1:13" x14ac:dyDescent="0.35">
      <c r="A29" s="414" t="s">
        <v>92</v>
      </c>
      <c r="B29" s="414"/>
      <c r="D29" s="376"/>
      <c r="E29" s="414" t="s">
        <v>73</v>
      </c>
      <c r="F29" s="414"/>
      <c r="G29" s="414" t="s">
        <v>74</v>
      </c>
      <c r="H29" s="414"/>
      <c r="I29" s="373"/>
      <c r="J29" s="373"/>
      <c r="K29" s="373" t="s">
        <v>75</v>
      </c>
      <c r="L29" s="372"/>
      <c r="M29" s="372"/>
    </row>
    <row r="30" spans="1:13" x14ac:dyDescent="0.35">
      <c r="A30" s="414" t="s">
        <v>94</v>
      </c>
      <c r="B30" s="414"/>
      <c r="D30" s="377"/>
      <c r="E30" s="414" t="s">
        <v>78</v>
      </c>
      <c r="F30" s="414"/>
      <c r="G30" s="414" t="s">
        <v>414</v>
      </c>
      <c r="H30" s="414"/>
      <c r="I30" s="372"/>
      <c r="J30" s="372"/>
      <c r="K30" s="373" t="s">
        <v>80</v>
      </c>
      <c r="L30" s="377"/>
      <c r="M30" s="377"/>
    </row>
    <row r="31" spans="1:13" x14ac:dyDescent="0.35">
      <c r="A31" s="412" t="s">
        <v>76</v>
      </c>
      <c r="B31" s="412"/>
      <c r="D31" s="377"/>
      <c r="E31" s="412" t="s">
        <v>76</v>
      </c>
      <c r="F31" s="412"/>
      <c r="G31" s="412" t="s">
        <v>76</v>
      </c>
      <c r="H31" s="412"/>
      <c r="I31" s="372"/>
      <c r="J31" s="372"/>
      <c r="K31" s="372"/>
    </row>
  </sheetData>
  <mergeCells count="34">
    <mergeCell ref="A4:B4"/>
    <mergeCell ref="C4:M4"/>
    <mergeCell ref="A1:M1"/>
    <mergeCell ref="A2:B2"/>
    <mergeCell ref="C2:M2"/>
    <mergeCell ref="A3:B3"/>
    <mergeCell ref="C3:M3"/>
    <mergeCell ref="A16:G16"/>
    <mergeCell ref="A5:B5"/>
    <mergeCell ref="C5:M5"/>
    <mergeCell ref="A6:B6"/>
    <mergeCell ref="C6:M6"/>
    <mergeCell ref="A7:B7"/>
    <mergeCell ref="C7:M7"/>
    <mergeCell ref="A8:B8"/>
    <mergeCell ref="C8:M8"/>
    <mergeCell ref="A9:B9"/>
    <mergeCell ref="C9:M9"/>
    <mergeCell ref="A10:M10"/>
    <mergeCell ref="A27:B27"/>
    <mergeCell ref="E27:F27"/>
    <mergeCell ref="G27:H27"/>
    <mergeCell ref="A28:B28"/>
    <mergeCell ref="E28:F28"/>
    <mergeCell ref="G28:H28"/>
    <mergeCell ref="A31:B31"/>
    <mergeCell ref="E31:F31"/>
    <mergeCell ref="G31:H31"/>
    <mergeCell ref="A29:B29"/>
    <mergeCell ref="E29:F29"/>
    <mergeCell ref="G29:H29"/>
    <mergeCell ref="A30:B30"/>
    <mergeCell ref="E30:F30"/>
    <mergeCell ref="G30:H30"/>
  </mergeCells>
  <pageMargins left="0.25" right="0.25" top="0.75" bottom="0.75" header="0.3" footer="0.3"/>
  <pageSetup paperSize="9" scale="7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116</vt:i4>
      </vt:variant>
      <vt:variant>
        <vt:lpstr>Named Ranges</vt:lpstr>
      </vt:variant>
      <vt:variant>
        <vt:i4>2</vt:i4>
      </vt:variant>
    </vt:vector>
  </HeadingPairs>
  <TitlesOfParts>
    <vt:vector size="118" baseType="lpstr">
      <vt:lpstr>Nov-23 Info</vt:lpstr>
      <vt:lpstr>Nov-23 Scomm</vt:lpstr>
      <vt:lpstr>Sheet1</vt:lpstr>
      <vt:lpstr>Feb-24 Info</vt:lpstr>
      <vt:lpstr>Sheet2</vt:lpstr>
      <vt:lpstr>April 24 Info</vt:lpstr>
      <vt:lpstr>Sheet7</vt:lpstr>
      <vt:lpstr>May 24 Info</vt:lpstr>
      <vt:lpstr>Jun 24 Info</vt:lpstr>
      <vt:lpstr>July Info</vt:lpstr>
      <vt:lpstr>Nov Info</vt:lpstr>
      <vt:lpstr>Dec Info</vt:lpstr>
      <vt:lpstr>Feb 25 Info</vt:lpstr>
      <vt:lpstr>Mar 25 Info</vt:lpstr>
      <vt:lpstr>Apr 25 Info</vt:lpstr>
      <vt:lpstr>May 25 Info</vt:lpstr>
      <vt:lpstr>Jun 25 Info</vt:lpstr>
      <vt:lpstr>Sheet21</vt:lpstr>
      <vt:lpstr>Sheet25</vt:lpstr>
      <vt:lpstr>Sheet31</vt:lpstr>
      <vt:lpstr>Sheet32</vt:lpstr>
      <vt:lpstr>Sheet34</vt:lpstr>
      <vt:lpstr>Sheet19</vt:lpstr>
      <vt:lpstr>Sheet28</vt:lpstr>
      <vt:lpstr>Sheet30</vt:lpstr>
      <vt:lpstr>Sheet20</vt:lpstr>
      <vt:lpstr>Sheet18</vt:lpstr>
      <vt:lpstr>Sheet15</vt:lpstr>
      <vt:lpstr>Jan 25 Info </vt:lpstr>
      <vt:lpstr>Sheet23</vt:lpstr>
      <vt:lpstr>Sheet9</vt:lpstr>
      <vt:lpstr>Sheet10</vt:lpstr>
      <vt:lpstr>Sheet12</vt:lpstr>
      <vt:lpstr>July SComm</vt:lpstr>
      <vt:lpstr>Nov Scomm</vt:lpstr>
      <vt:lpstr>Dec Scomm</vt:lpstr>
      <vt:lpstr>Mar 25 Scomm</vt:lpstr>
      <vt:lpstr>Sheet16</vt:lpstr>
      <vt:lpstr>Sheet17</vt:lpstr>
      <vt:lpstr>Apr 25 Scomm</vt:lpstr>
      <vt:lpstr>May 25 SCOmm</vt:lpstr>
      <vt:lpstr>Sheet13</vt:lpstr>
      <vt:lpstr>Sheet11</vt:lpstr>
      <vt:lpstr>Sheet14</vt:lpstr>
      <vt:lpstr>Info July 25</vt:lpstr>
      <vt:lpstr>Info Aug 25</vt:lpstr>
      <vt:lpstr>Sheet35</vt:lpstr>
      <vt:lpstr>Sheet36</vt:lpstr>
      <vt:lpstr>Jan 25 SComm</vt:lpstr>
      <vt:lpstr>Feb 25 Scomm</vt:lpstr>
      <vt:lpstr>June 24 scomm</vt:lpstr>
      <vt:lpstr>May 24 Scomm</vt:lpstr>
      <vt:lpstr>Sheet27</vt:lpstr>
      <vt:lpstr>Sheet3</vt:lpstr>
      <vt:lpstr>Feb-24 Scomm</vt:lpstr>
      <vt:lpstr>April 24 Scomm</vt:lpstr>
      <vt:lpstr>Sheet4</vt:lpstr>
      <vt:lpstr>Sheet5</vt:lpstr>
      <vt:lpstr>Sheet22</vt:lpstr>
      <vt:lpstr>Sheet33</vt:lpstr>
      <vt:lpstr>Sheet29</vt:lpstr>
      <vt:lpstr>Sheet24</vt:lpstr>
      <vt:lpstr>Sheet26</vt:lpstr>
      <vt:lpstr>Sheet8</vt:lpstr>
      <vt:lpstr>Sheet6</vt:lpstr>
      <vt:lpstr>Jun 25 Scomm</vt:lpstr>
      <vt:lpstr>Sheet43</vt:lpstr>
      <vt:lpstr>Jul 25 Scomm</vt:lpstr>
      <vt:lpstr>Aug 25 Scomm</vt:lpstr>
      <vt:lpstr>Sheet37</vt:lpstr>
      <vt:lpstr>Sheet38</vt:lpstr>
      <vt:lpstr>Sheet39</vt:lpstr>
      <vt:lpstr>Sheet41</vt:lpstr>
      <vt:lpstr>Sheet40</vt:lpstr>
      <vt:lpstr>Sheet42</vt:lpstr>
      <vt:lpstr>Info Oct 25</vt:lpstr>
      <vt:lpstr>Scomm Oct 25</vt:lpstr>
      <vt:lpstr>Sheet44</vt:lpstr>
      <vt:lpstr>Sheet45</vt:lpstr>
      <vt:lpstr>Sheet46</vt:lpstr>
      <vt:lpstr>Sheet47</vt:lpstr>
      <vt:lpstr>Nov 25 Info</vt:lpstr>
      <vt:lpstr>Nov 25 Scomm</vt:lpstr>
      <vt:lpstr>Dec 25 Info</vt:lpstr>
      <vt:lpstr>Dec 25 Scomm</vt:lpstr>
      <vt:lpstr>Jan 26 Info</vt:lpstr>
      <vt:lpstr>Sheet52</vt:lpstr>
      <vt:lpstr>Jan 26 Scomm</vt:lpstr>
      <vt:lpstr>Sheet56</vt:lpstr>
      <vt:lpstr>Sheet48</vt:lpstr>
      <vt:lpstr>Sheet50</vt:lpstr>
      <vt:lpstr>Sheet49</vt:lpstr>
      <vt:lpstr>Sheet51</vt:lpstr>
      <vt:lpstr>Feb 26 Info</vt:lpstr>
      <vt:lpstr>Sheet53</vt:lpstr>
      <vt:lpstr>Sheet54</vt:lpstr>
      <vt:lpstr>Sheet55</vt:lpstr>
      <vt:lpstr>Sheet57</vt:lpstr>
      <vt:lpstr>Info Mar 26</vt:lpstr>
      <vt:lpstr>Mar 26 SComm</vt:lpstr>
      <vt:lpstr>Sheet59</vt:lpstr>
      <vt:lpstr>April 26 Info</vt:lpstr>
      <vt:lpstr>Sheet65</vt:lpstr>
      <vt:lpstr>April 26 Scomm</vt:lpstr>
      <vt:lpstr>Sheet58</vt:lpstr>
      <vt:lpstr>Sheet60</vt:lpstr>
      <vt:lpstr>May Info 2026</vt:lpstr>
      <vt:lpstr>May Scomm 2026</vt:lpstr>
      <vt:lpstr>Sheet61</vt:lpstr>
      <vt:lpstr>Sheet62</vt:lpstr>
      <vt:lpstr>Sheet63</vt:lpstr>
      <vt:lpstr>Sheet64</vt:lpstr>
      <vt:lpstr>June 2026 Info</vt:lpstr>
      <vt:lpstr>June 2026 Scomm</vt:lpstr>
      <vt:lpstr>Sheet66</vt:lpstr>
      <vt:lpstr>Sheet67</vt:lpstr>
      <vt:lpstr>'Nov-23 Info'!Print_Area</vt:lpstr>
      <vt:lpstr>'Nov-23 Scomm'!Print_Area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m.kamruzzaman/Administration SComm</dc:creator>
  <cp:lastModifiedBy>Kh. Nafiz Rahman/Administration SComm</cp:lastModifiedBy>
  <cp:lastPrinted>2026-06-03T07:59:19Z</cp:lastPrinted>
  <dcterms:created xsi:type="dcterms:W3CDTF">2023-09-18T05:03:08Z</dcterms:created>
  <dcterms:modified xsi:type="dcterms:W3CDTF">2026-06-09T12:28:11Z</dcterms:modified>
</cp:coreProperties>
</file>